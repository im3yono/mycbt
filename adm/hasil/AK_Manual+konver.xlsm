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OB\SMA\BEESMART\"/>
    </mc:Choice>
  </mc:AlternateContent>
  <xr:revisionPtr revIDLastSave="0" documentId="13_ncr:1_{1CE6B1E5-8F67-4920-BB2E-B55BA9F6A3DA}" xr6:coauthVersionLast="47" xr6:coauthVersionMax="47" xr10:uidLastSave="{00000000-0000-0000-0000-000000000000}"/>
  <bookViews>
    <workbookView xWindow="-120" yWindow="-120" windowWidth="20730" windowHeight="11040" tabRatio="725" activeTab="1" xr2:uid="{1A79AC36-D7F5-4B09-AB50-5A801C2845B0}"/>
  </bookViews>
  <sheets>
    <sheet name="DATAINFO" sheetId="12" r:id="rId1"/>
    <sheet name="SEKOR" sheetId="3" r:id="rId2"/>
    <sheet name="DATA" sheetId="4" r:id="rId3"/>
    <sheet name="Ujian" sheetId="1" r:id="rId4"/>
    <sheet name="Praktik" sheetId="2" r:id="rId5"/>
    <sheet name="Pengumuman" sheetId="6" r:id="rId6"/>
    <sheet name="Konversi" sheetId="10" r:id="rId7"/>
    <sheet name="Tugas" sheetId="13" r:id="rId8"/>
    <sheet name="IF" sheetId="5" state="hidden" r:id="rId9"/>
    <sheet name="PILGAN" sheetId="11" state="hidden" r:id="rId10"/>
  </sheets>
  <definedNames>
    <definedName name="_xlnm.Print_Area" localSheetId="7">Tugas!$A$8:$AK$240</definedName>
    <definedName name="_xlnm.Print_Titles" localSheetId="6">Konversi!$10:$10</definedName>
    <definedName name="_xlnm.Print_Titles" localSheetId="5">Pengumuman!$7:$7</definedName>
    <definedName name="_xlnm.Print_Titles" localSheetId="7">Tugas!$10:$11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S59" i="3" l="1"/>
  <c r="BS60" i="3"/>
  <c r="BS61" i="3"/>
  <c r="BS62" i="3"/>
  <c r="BS63" i="3"/>
  <c r="BS64" i="3"/>
  <c r="BS65" i="3"/>
  <c r="BS66" i="3"/>
  <c r="BS67" i="3"/>
  <c r="BS68" i="3"/>
  <c r="BS69" i="3"/>
  <c r="BS70" i="3"/>
  <c r="BS71" i="3"/>
  <c r="BS72" i="3"/>
  <c r="BS73" i="3"/>
  <c r="BS74" i="3"/>
  <c r="BS75" i="3"/>
  <c r="BS76" i="3"/>
  <c r="BS77" i="3"/>
  <c r="BS78" i="3"/>
  <c r="BS79" i="3"/>
  <c r="BS80" i="3"/>
  <c r="BS81" i="3"/>
  <c r="BS82" i="3"/>
  <c r="BS83" i="3"/>
  <c r="BS84" i="3"/>
  <c r="BS85" i="3"/>
  <c r="BS86" i="3"/>
  <c r="BS87" i="3"/>
  <c r="BS88" i="3"/>
  <c r="BS89" i="3"/>
  <c r="BS90" i="3"/>
  <c r="BS91" i="3"/>
  <c r="BS92" i="3"/>
  <c r="BS93" i="3"/>
  <c r="BS94" i="3"/>
  <c r="BS95" i="3"/>
  <c r="BS96" i="3"/>
  <c r="BS97" i="3"/>
  <c r="BS98" i="3"/>
  <c r="BS99" i="3"/>
  <c r="BS100" i="3"/>
  <c r="BS101" i="3"/>
  <c r="BS102" i="3"/>
  <c r="BS103" i="3"/>
  <c r="BS104" i="3"/>
  <c r="BS105" i="3"/>
  <c r="BS106" i="3"/>
  <c r="BS107" i="3"/>
  <c r="BS108" i="3"/>
  <c r="BS109" i="3"/>
  <c r="BS110" i="3"/>
  <c r="BS111" i="3"/>
  <c r="BS112" i="3"/>
  <c r="BS113" i="3"/>
  <c r="BS114" i="3"/>
  <c r="BS115" i="3"/>
  <c r="BS116" i="3"/>
  <c r="BS117" i="3"/>
  <c r="BS118" i="3"/>
  <c r="BS119" i="3"/>
  <c r="BS120" i="3"/>
  <c r="BS121" i="3"/>
  <c r="BS122" i="3"/>
  <c r="BS123" i="3"/>
  <c r="BS124" i="3"/>
  <c r="BS125" i="3"/>
  <c r="BS126" i="3"/>
  <c r="BS127" i="3"/>
  <c r="BS128" i="3"/>
  <c r="BS129" i="3"/>
  <c r="BS130" i="3"/>
  <c r="BS131" i="3"/>
  <c r="BS132" i="3"/>
  <c r="BS133" i="3"/>
  <c r="BS134" i="3"/>
  <c r="BS135" i="3"/>
  <c r="BS136" i="3"/>
  <c r="BS137" i="3"/>
  <c r="BS138" i="3"/>
  <c r="BS139" i="3"/>
  <c r="BS140" i="3"/>
  <c r="BS141" i="3"/>
  <c r="BS142" i="3"/>
  <c r="BS143" i="3"/>
  <c r="BS144" i="3"/>
  <c r="BS145" i="3"/>
  <c r="BS146" i="3"/>
  <c r="BS147" i="3"/>
  <c r="BS148" i="3"/>
  <c r="BS149" i="3"/>
  <c r="BS150" i="3"/>
  <c r="BS151" i="3"/>
  <c r="BS152" i="3"/>
  <c r="BS153" i="3"/>
  <c r="BS154" i="3"/>
  <c r="BS155" i="3"/>
  <c r="BS156" i="3"/>
  <c r="BS157" i="3"/>
  <c r="BS158" i="3"/>
  <c r="BS159" i="3"/>
  <c r="BS160" i="3"/>
  <c r="BS161" i="3"/>
  <c r="BS162" i="3"/>
  <c r="BS163" i="3"/>
  <c r="BS164" i="3"/>
  <c r="BS165" i="3"/>
  <c r="BS166" i="3"/>
  <c r="BS167" i="3"/>
  <c r="BS168" i="3"/>
  <c r="BS169" i="3"/>
  <c r="BS170" i="3"/>
  <c r="BS171" i="3"/>
  <c r="BS172" i="3"/>
  <c r="BS173" i="3"/>
  <c r="BS174" i="3"/>
  <c r="BS175" i="3"/>
  <c r="BS176" i="3"/>
  <c r="BS177" i="3"/>
  <c r="BS178" i="3"/>
  <c r="BS179" i="3"/>
  <c r="BS180" i="3"/>
  <c r="BS181" i="3"/>
  <c r="BS182" i="3"/>
  <c r="BS183" i="3"/>
  <c r="BS184" i="3"/>
  <c r="BS185" i="3"/>
  <c r="BS186" i="3"/>
  <c r="BS187" i="3"/>
  <c r="BS188" i="3"/>
  <c r="BS189" i="3"/>
  <c r="BS190" i="3"/>
  <c r="BS191" i="3"/>
  <c r="BS192" i="3"/>
  <c r="BS193" i="3"/>
  <c r="BS194" i="3"/>
  <c r="BS195" i="3"/>
  <c r="BS196" i="3"/>
  <c r="BS197" i="3"/>
  <c r="BS198" i="3"/>
  <c r="BS199" i="3"/>
  <c r="BS200" i="3"/>
  <c r="BS201" i="3"/>
  <c r="BS202" i="3"/>
  <c r="BS203" i="3"/>
  <c r="BS204" i="3"/>
  <c r="BS205" i="3"/>
  <c r="BS206" i="3"/>
  <c r="BS207" i="3"/>
  <c r="BS208" i="3"/>
  <c r="BS209" i="3"/>
  <c r="BS210" i="3"/>
  <c r="BS211" i="3"/>
  <c r="BS212" i="3"/>
  <c r="BS213" i="3"/>
  <c r="BS214" i="3"/>
  <c r="BS215" i="3"/>
  <c r="BS216" i="3"/>
  <c r="BS217" i="3"/>
  <c r="BS218" i="3"/>
  <c r="BS219" i="3"/>
  <c r="BS220" i="3"/>
  <c r="BS221" i="3"/>
  <c r="BS222" i="3"/>
  <c r="AC13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AC212" i="13"/>
  <c r="AC213" i="13"/>
  <c r="AC214" i="13"/>
  <c r="AC215" i="13"/>
  <c r="AC216" i="13"/>
  <c r="AC217" i="13"/>
  <c r="AC218" i="13"/>
  <c r="AC219" i="13"/>
  <c r="AC220" i="13"/>
  <c r="AC221" i="13"/>
  <c r="AC222" i="13"/>
  <c r="AC223" i="13"/>
  <c r="AC224" i="13"/>
  <c r="AC225" i="13"/>
  <c r="AC226" i="13"/>
  <c r="AC227" i="13"/>
  <c r="AC228" i="13"/>
  <c r="AC229" i="13"/>
  <c r="AC230" i="13"/>
  <c r="AC231" i="13"/>
  <c r="AC12" i="13"/>
  <c r="AG68" i="13"/>
  <c r="AG69" i="13"/>
  <c r="AG70" i="13"/>
  <c r="AG71" i="13"/>
  <c r="AG72" i="13"/>
  <c r="AG73" i="13"/>
  <c r="AG74" i="13"/>
  <c r="AG75" i="13"/>
  <c r="AG76" i="13"/>
  <c r="AG77" i="13"/>
  <c r="AG78" i="13"/>
  <c r="AG79" i="13"/>
  <c r="AG80" i="13"/>
  <c r="AG81" i="13"/>
  <c r="AG82" i="13"/>
  <c r="AG83" i="13"/>
  <c r="AG84" i="13"/>
  <c r="AG85" i="13"/>
  <c r="AG86" i="13"/>
  <c r="AG87" i="13"/>
  <c r="AG88" i="13"/>
  <c r="AG89" i="13"/>
  <c r="AG90" i="13"/>
  <c r="AG91" i="13"/>
  <c r="AG92" i="13"/>
  <c r="AG93" i="13"/>
  <c r="AG94" i="13"/>
  <c r="AG95" i="13"/>
  <c r="AG96" i="13"/>
  <c r="AG97" i="13"/>
  <c r="AG98" i="13"/>
  <c r="AG99" i="13"/>
  <c r="AG100" i="13"/>
  <c r="AG101" i="13"/>
  <c r="AG102" i="13"/>
  <c r="AG103" i="13"/>
  <c r="AG104" i="13"/>
  <c r="AG105" i="13"/>
  <c r="AG106" i="13"/>
  <c r="AG107" i="13"/>
  <c r="AG108" i="13"/>
  <c r="AG109" i="13"/>
  <c r="AG110" i="13"/>
  <c r="AG111" i="13"/>
  <c r="AG112" i="13"/>
  <c r="AG113" i="13"/>
  <c r="AG114" i="13"/>
  <c r="AG115" i="13"/>
  <c r="AG116" i="13"/>
  <c r="AG117" i="13"/>
  <c r="AG118" i="13"/>
  <c r="AG119" i="13"/>
  <c r="AG120" i="13"/>
  <c r="AG121" i="13"/>
  <c r="AG122" i="13"/>
  <c r="AG123" i="13"/>
  <c r="AG124" i="13"/>
  <c r="AG125" i="13"/>
  <c r="AG126" i="13"/>
  <c r="AG127" i="13"/>
  <c r="AG128" i="13"/>
  <c r="AG129" i="13"/>
  <c r="AG130" i="13"/>
  <c r="AG131" i="13"/>
  <c r="AG132" i="13"/>
  <c r="AG133" i="13"/>
  <c r="AG134" i="13"/>
  <c r="AG135" i="13"/>
  <c r="AG136" i="13"/>
  <c r="AG137" i="13"/>
  <c r="AG138" i="13"/>
  <c r="AG139" i="13"/>
  <c r="AG140" i="13"/>
  <c r="AG141" i="13"/>
  <c r="AG142" i="13"/>
  <c r="AG143" i="13"/>
  <c r="AG144" i="13"/>
  <c r="AG145" i="13"/>
  <c r="AG146" i="13"/>
  <c r="AG147" i="13"/>
  <c r="AG148" i="13"/>
  <c r="AG149" i="13"/>
  <c r="AG150" i="13"/>
  <c r="AG151" i="13"/>
  <c r="AG152" i="13"/>
  <c r="AG153" i="13"/>
  <c r="AG154" i="13"/>
  <c r="AG155" i="13"/>
  <c r="AG156" i="13"/>
  <c r="AG157" i="13"/>
  <c r="AG158" i="13"/>
  <c r="AG159" i="13"/>
  <c r="AG160" i="13"/>
  <c r="AG161" i="13"/>
  <c r="AG162" i="13"/>
  <c r="AG163" i="13"/>
  <c r="AG164" i="13"/>
  <c r="AG165" i="13"/>
  <c r="AG166" i="13"/>
  <c r="AG167" i="13"/>
  <c r="AG168" i="13"/>
  <c r="AG169" i="13"/>
  <c r="AG170" i="13"/>
  <c r="AG171" i="13"/>
  <c r="AG172" i="13"/>
  <c r="AG173" i="13"/>
  <c r="AG174" i="13"/>
  <c r="AG175" i="13"/>
  <c r="AG176" i="13"/>
  <c r="AG177" i="13"/>
  <c r="AG178" i="13"/>
  <c r="AG179" i="13"/>
  <c r="AG180" i="13"/>
  <c r="AG181" i="13"/>
  <c r="AG182" i="13"/>
  <c r="AG183" i="13"/>
  <c r="AG184" i="13"/>
  <c r="AG185" i="13"/>
  <c r="AG186" i="13"/>
  <c r="AG187" i="13"/>
  <c r="AG188" i="13"/>
  <c r="AG189" i="13"/>
  <c r="AG190" i="13"/>
  <c r="AG191" i="13"/>
  <c r="AG192" i="13"/>
  <c r="AG193" i="13"/>
  <c r="AG194" i="13"/>
  <c r="AG195" i="13"/>
  <c r="AG196" i="13"/>
  <c r="AG197" i="13"/>
  <c r="AG198" i="13"/>
  <c r="AG199" i="13"/>
  <c r="AG200" i="13"/>
  <c r="AG201" i="13"/>
  <c r="AG202" i="13"/>
  <c r="AG203" i="13"/>
  <c r="AG204" i="13"/>
  <c r="AG205" i="13"/>
  <c r="AG206" i="13"/>
  <c r="AG207" i="13"/>
  <c r="AG208" i="13"/>
  <c r="AG209" i="13"/>
  <c r="AG210" i="13"/>
  <c r="AG211" i="13"/>
  <c r="AG212" i="13"/>
  <c r="AG213" i="13"/>
  <c r="AG214" i="13"/>
  <c r="AG215" i="13"/>
  <c r="AG216" i="13"/>
  <c r="AG217" i="13"/>
  <c r="AG218" i="13"/>
  <c r="AG219" i="13"/>
  <c r="AG220" i="13"/>
  <c r="AG221" i="13"/>
  <c r="AG222" i="13"/>
  <c r="AG223" i="13"/>
  <c r="AG224" i="13"/>
  <c r="AG225" i="13"/>
  <c r="AG226" i="13"/>
  <c r="AG227" i="13"/>
  <c r="AG228" i="13"/>
  <c r="AG229" i="13"/>
  <c r="AG230" i="13"/>
  <c r="AG231" i="13"/>
  <c r="AG13" i="13"/>
  <c r="AG14" i="13"/>
  <c r="AG15" i="13"/>
  <c r="AG16" i="13"/>
  <c r="AG17" i="13"/>
  <c r="AG18" i="13"/>
  <c r="AG19" i="13"/>
  <c r="AG20" i="13"/>
  <c r="AG21" i="13"/>
  <c r="AG22" i="13"/>
  <c r="AG23" i="13"/>
  <c r="AG24" i="13"/>
  <c r="AG25" i="13"/>
  <c r="AG26" i="13"/>
  <c r="AG27" i="13"/>
  <c r="AG28" i="13"/>
  <c r="AG29" i="13"/>
  <c r="AG30" i="13"/>
  <c r="AG31" i="13"/>
  <c r="AG32" i="13"/>
  <c r="AG33" i="13"/>
  <c r="AG34" i="13"/>
  <c r="AG35" i="13"/>
  <c r="AG36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53" i="13"/>
  <c r="AG54" i="13"/>
  <c r="AG55" i="13"/>
  <c r="AG56" i="13"/>
  <c r="AG57" i="13"/>
  <c r="AG58" i="13"/>
  <c r="AG59" i="13"/>
  <c r="AG60" i="13"/>
  <c r="AG61" i="13"/>
  <c r="AG62" i="13"/>
  <c r="AG63" i="13"/>
  <c r="AG64" i="13"/>
  <c r="AG65" i="13"/>
  <c r="AG66" i="13"/>
  <c r="AG67" i="13"/>
  <c r="AG12" i="13"/>
  <c r="AH13" i="13"/>
  <c r="AH23" i="13"/>
  <c r="J5" i="12"/>
  <c r="J4" i="12"/>
  <c r="J6" i="12"/>
  <c r="K6" i="12" s="1"/>
  <c r="A8" i="13"/>
  <c r="H13" i="13"/>
  <c r="H14" i="13"/>
  <c r="H15" i="13"/>
  <c r="H16" i="13"/>
  <c r="H17" i="13"/>
  <c r="AI17" i="13" s="1"/>
  <c r="H18" i="13"/>
  <c r="H19" i="13"/>
  <c r="H20" i="13"/>
  <c r="H21" i="13"/>
  <c r="H22" i="13"/>
  <c r="H23" i="13"/>
  <c r="H24" i="13"/>
  <c r="H25" i="13"/>
  <c r="H26" i="13"/>
  <c r="H27" i="13"/>
  <c r="AI27" i="13" s="1"/>
  <c r="H28" i="13"/>
  <c r="H29" i="13"/>
  <c r="H30" i="13"/>
  <c r="H31" i="13"/>
  <c r="H32" i="13"/>
  <c r="H33" i="13"/>
  <c r="H34" i="13"/>
  <c r="H35" i="13"/>
  <c r="AI35" i="13" s="1"/>
  <c r="H36" i="13"/>
  <c r="H37" i="13"/>
  <c r="H38" i="13"/>
  <c r="H39" i="13"/>
  <c r="H40" i="13"/>
  <c r="H41" i="13"/>
  <c r="H42" i="13"/>
  <c r="H43" i="13"/>
  <c r="AI43" i="13" s="1"/>
  <c r="H44" i="13"/>
  <c r="H45" i="13"/>
  <c r="H46" i="13"/>
  <c r="H47" i="13"/>
  <c r="H48" i="13"/>
  <c r="H49" i="13"/>
  <c r="H50" i="13"/>
  <c r="H51" i="13"/>
  <c r="AI51" i="13" s="1"/>
  <c r="H52" i="13"/>
  <c r="H53" i="13"/>
  <c r="H54" i="13"/>
  <c r="H55" i="13"/>
  <c r="H56" i="13"/>
  <c r="H57" i="13"/>
  <c r="H58" i="13"/>
  <c r="H59" i="13"/>
  <c r="AI59" i="13" s="1"/>
  <c r="H60" i="13"/>
  <c r="H61" i="13"/>
  <c r="H62" i="13"/>
  <c r="H63" i="13"/>
  <c r="H64" i="13"/>
  <c r="H65" i="13"/>
  <c r="H66" i="13"/>
  <c r="H67" i="13"/>
  <c r="AI67" i="13" s="1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12" i="13"/>
  <c r="B239" i="13"/>
  <c r="B235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F12" i="13"/>
  <c r="E12" i="13"/>
  <c r="C12" i="13"/>
  <c r="B64" i="6"/>
  <c r="C64" i="6"/>
  <c r="B65" i="6"/>
  <c r="C65" i="6"/>
  <c r="B66" i="6"/>
  <c r="C66" i="6"/>
  <c r="B67" i="6"/>
  <c r="C67" i="6"/>
  <c r="B68" i="6"/>
  <c r="C68" i="6"/>
  <c r="B69" i="6"/>
  <c r="C69" i="6"/>
  <c r="B70" i="6"/>
  <c r="C70" i="6"/>
  <c r="B71" i="6"/>
  <c r="C71" i="6"/>
  <c r="B72" i="6"/>
  <c r="C72" i="6"/>
  <c r="B73" i="6"/>
  <c r="C73" i="6"/>
  <c r="B74" i="6"/>
  <c r="C74" i="6"/>
  <c r="B75" i="6"/>
  <c r="C75" i="6"/>
  <c r="B76" i="6"/>
  <c r="C76" i="6"/>
  <c r="B77" i="6"/>
  <c r="C77" i="6"/>
  <c r="B78" i="6"/>
  <c r="C78" i="6"/>
  <c r="B79" i="6"/>
  <c r="C79" i="6"/>
  <c r="B80" i="6"/>
  <c r="C80" i="6"/>
  <c r="B81" i="6"/>
  <c r="C81" i="6"/>
  <c r="B82" i="6"/>
  <c r="C82" i="6"/>
  <c r="B83" i="6"/>
  <c r="C83" i="6"/>
  <c r="B84" i="6"/>
  <c r="C84" i="6"/>
  <c r="B85" i="6"/>
  <c r="C85" i="6"/>
  <c r="B86" i="6"/>
  <c r="C86" i="6"/>
  <c r="B87" i="6"/>
  <c r="C87" i="6"/>
  <c r="B88" i="6"/>
  <c r="C88" i="6"/>
  <c r="B89" i="6"/>
  <c r="C89" i="6"/>
  <c r="B90" i="6"/>
  <c r="C90" i="6"/>
  <c r="B91" i="6"/>
  <c r="C91" i="6"/>
  <c r="B92" i="6"/>
  <c r="C92" i="6"/>
  <c r="B93" i="6"/>
  <c r="C93" i="6"/>
  <c r="B94" i="6"/>
  <c r="C94" i="6"/>
  <c r="B95" i="6"/>
  <c r="C95" i="6"/>
  <c r="B96" i="6"/>
  <c r="C96" i="6"/>
  <c r="B97" i="6"/>
  <c r="C97" i="6"/>
  <c r="B98" i="6"/>
  <c r="C98" i="6"/>
  <c r="B99" i="6"/>
  <c r="C99" i="6"/>
  <c r="B100" i="6"/>
  <c r="C100" i="6"/>
  <c r="B101" i="6"/>
  <c r="C101" i="6"/>
  <c r="B102" i="6"/>
  <c r="C102" i="6"/>
  <c r="B103" i="6"/>
  <c r="C103" i="6"/>
  <c r="B104" i="6"/>
  <c r="C104" i="6"/>
  <c r="B105" i="6"/>
  <c r="C105" i="6"/>
  <c r="B106" i="6"/>
  <c r="C106" i="6"/>
  <c r="B107" i="6"/>
  <c r="C107" i="6"/>
  <c r="B108" i="6"/>
  <c r="C108" i="6"/>
  <c r="B109" i="6"/>
  <c r="C109" i="6"/>
  <c r="B110" i="6"/>
  <c r="C110" i="6"/>
  <c r="B111" i="6"/>
  <c r="C111" i="6"/>
  <c r="B112" i="6"/>
  <c r="C112" i="6"/>
  <c r="B113" i="6"/>
  <c r="C113" i="6"/>
  <c r="B114" i="6"/>
  <c r="C114" i="6"/>
  <c r="B115" i="6"/>
  <c r="C115" i="6"/>
  <c r="B116" i="6"/>
  <c r="C116" i="6"/>
  <c r="B117" i="6"/>
  <c r="C117" i="6"/>
  <c r="B118" i="6"/>
  <c r="C118" i="6"/>
  <c r="B119" i="6"/>
  <c r="C119" i="6"/>
  <c r="B120" i="6"/>
  <c r="C120" i="6"/>
  <c r="B121" i="6"/>
  <c r="C121" i="6"/>
  <c r="B122" i="6"/>
  <c r="C122" i="6"/>
  <c r="B123" i="6"/>
  <c r="C123" i="6"/>
  <c r="B124" i="6"/>
  <c r="C124" i="6"/>
  <c r="B125" i="6"/>
  <c r="C125" i="6"/>
  <c r="B126" i="6"/>
  <c r="C126" i="6"/>
  <c r="B127" i="6"/>
  <c r="C127" i="6"/>
  <c r="B128" i="6"/>
  <c r="C128" i="6"/>
  <c r="B129" i="6"/>
  <c r="C129" i="6"/>
  <c r="B130" i="6"/>
  <c r="C130" i="6"/>
  <c r="B131" i="6"/>
  <c r="C131" i="6"/>
  <c r="B132" i="6"/>
  <c r="C132" i="6"/>
  <c r="B133" i="6"/>
  <c r="C133" i="6"/>
  <c r="B134" i="6"/>
  <c r="C134" i="6"/>
  <c r="B135" i="6"/>
  <c r="C135" i="6"/>
  <c r="B136" i="6"/>
  <c r="C136" i="6"/>
  <c r="B137" i="6"/>
  <c r="C137" i="6"/>
  <c r="B138" i="6"/>
  <c r="C138" i="6"/>
  <c r="B139" i="6"/>
  <c r="C139" i="6"/>
  <c r="B140" i="6"/>
  <c r="C140" i="6"/>
  <c r="B141" i="6"/>
  <c r="C141" i="6"/>
  <c r="B142" i="6"/>
  <c r="C142" i="6"/>
  <c r="B143" i="6"/>
  <c r="C143" i="6"/>
  <c r="B144" i="6"/>
  <c r="C144" i="6"/>
  <c r="B145" i="6"/>
  <c r="C145" i="6"/>
  <c r="B146" i="6"/>
  <c r="C146" i="6"/>
  <c r="B147" i="6"/>
  <c r="C147" i="6"/>
  <c r="B148" i="6"/>
  <c r="C148" i="6"/>
  <c r="B149" i="6"/>
  <c r="C149" i="6"/>
  <c r="B150" i="6"/>
  <c r="C150" i="6"/>
  <c r="B151" i="6"/>
  <c r="C151" i="6"/>
  <c r="B152" i="6"/>
  <c r="C152" i="6"/>
  <c r="B153" i="6"/>
  <c r="C153" i="6"/>
  <c r="B154" i="6"/>
  <c r="C154" i="6"/>
  <c r="B155" i="6"/>
  <c r="C155" i="6"/>
  <c r="B156" i="6"/>
  <c r="C156" i="6"/>
  <c r="B157" i="6"/>
  <c r="C157" i="6"/>
  <c r="B158" i="6"/>
  <c r="C158" i="6"/>
  <c r="B159" i="6"/>
  <c r="C159" i="6"/>
  <c r="B160" i="6"/>
  <c r="C160" i="6"/>
  <c r="B161" i="6"/>
  <c r="C161" i="6"/>
  <c r="B162" i="6"/>
  <c r="C162" i="6"/>
  <c r="B163" i="6"/>
  <c r="C163" i="6"/>
  <c r="B164" i="6"/>
  <c r="C164" i="6"/>
  <c r="B165" i="6"/>
  <c r="C165" i="6"/>
  <c r="B166" i="6"/>
  <c r="C166" i="6"/>
  <c r="B167" i="6"/>
  <c r="C167" i="6"/>
  <c r="B168" i="6"/>
  <c r="C168" i="6"/>
  <c r="B169" i="6"/>
  <c r="C169" i="6"/>
  <c r="B170" i="6"/>
  <c r="C170" i="6"/>
  <c r="B171" i="6"/>
  <c r="C171" i="6"/>
  <c r="B172" i="6"/>
  <c r="C172" i="6"/>
  <c r="B173" i="6"/>
  <c r="C173" i="6"/>
  <c r="B174" i="6"/>
  <c r="C174" i="6"/>
  <c r="B175" i="6"/>
  <c r="C175" i="6"/>
  <c r="B176" i="6"/>
  <c r="C176" i="6"/>
  <c r="B177" i="6"/>
  <c r="C177" i="6"/>
  <c r="B178" i="6"/>
  <c r="C178" i="6"/>
  <c r="B179" i="6"/>
  <c r="C179" i="6"/>
  <c r="B180" i="6"/>
  <c r="C180" i="6"/>
  <c r="B181" i="6"/>
  <c r="C181" i="6"/>
  <c r="B182" i="6"/>
  <c r="C182" i="6"/>
  <c r="B183" i="6"/>
  <c r="C183" i="6"/>
  <c r="B184" i="6"/>
  <c r="C184" i="6"/>
  <c r="B185" i="6"/>
  <c r="C185" i="6"/>
  <c r="B186" i="6"/>
  <c r="C186" i="6"/>
  <c r="B187" i="6"/>
  <c r="C187" i="6"/>
  <c r="B188" i="6"/>
  <c r="C188" i="6"/>
  <c r="B189" i="6"/>
  <c r="C189" i="6"/>
  <c r="B190" i="6"/>
  <c r="C190" i="6"/>
  <c r="B191" i="6"/>
  <c r="C191" i="6"/>
  <c r="B192" i="6"/>
  <c r="C192" i="6"/>
  <c r="B193" i="6"/>
  <c r="C193" i="6"/>
  <c r="B194" i="6"/>
  <c r="C194" i="6"/>
  <c r="B195" i="6"/>
  <c r="C195" i="6"/>
  <c r="B196" i="6"/>
  <c r="C196" i="6"/>
  <c r="B197" i="6"/>
  <c r="C197" i="6"/>
  <c r="B198" i="6"/>
  <c r="C198" i="6"/>
  <c r="B199" i="6"/>
  <c r="C199" i="6"/>
  <c r="B200" i="6"/>
  <c r="C200" i="6"/>
  <c r="B201" i="6"/>
  <c r="C201" i="6"/>
  <c r="B202" i="6"/>
  <c r="C202" i="6"/>
  <c r="B203" i="6"/>
  <c r="C203" i="6"/>
  <c r="B204" i="6"/>
  <c r="C204" i="6"/>
  <c r="B205" i="6"/>
  <c r="C205" i="6"/>
  <c r="B206" i="6"/>
  <c r="C206" i="6"/>
  <c r="B207" i="6"/>
  <c r="C207" i="6"/>
  <c r="B208" i="6"/>
  <c r="C208" i="6"/>
  <c r="B209" i="6"/>
  <c r="C209" i="6"/>
  <c r="B210" i="6"/>
  <c r="C210" i="6"/>
  <c r="B211" i="6"/>
  <c r="C211" i="6"/>
  <c r="B212" i="6"/>
  <c r="C212" i="6"/>
  <c r="B213" i="6"/>
  <c r="C213" i="6"/>
  <c r="B214" i="6"/>
  <c r="C214" i="6"/>
  <c r="B215" i="6"/>
  <c r="C215" i="6"/>
  <c r="B216" i="6"/>
  <c r="C216" i="6"/>
  <c r="B217" i="6"/>
  <c r="C217" i="6"/>
  <c r="B218" i="6"/>
  <c r="C218" i="6"/>
  <c r="B219" i="6"/>
  <c r="C219" i="6"/>
  <c r="B220" i="6"/>
  <c r="C220" i="6"/>
  <c r="B221" i="6"/>
  <c r="C221" i="6"/>
  <c r="B222" i="6"/>
  <c r="C222" i="6"/>
  <c r="B223" i="6"/>
  <c r="C223" i="6"/>
  <c r="B224" i="6"/>
  <c r="C224" i="6"/>
  <c r="B225" i="6"/>
  <c r="C225" i="6"/>
  <c r="B226" i="6"/>
  <c r="C226" i="6"/>
  <c r="B227" i="6"/>
  <c r="C227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B18" i="6"/>
  <c r="C18" i="6"/>
  <c r="B19" i="6"/>
  <c r="C19" i="6"/>
  <c r="B20" i="6"/>
  <c r="C20" i="6"/>
  <c r="B21" i="6"/>
  <c r="C21" i="6"/>
  <c r="B22" i="6"/>
  <c r="C22" i="6"/>
  <c r="B23" i="6"/>
  <c r="C23" i="6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B63" i="6"/>
  <c r="C63" i="6"/>
  <c r="C8" i="6"/>
  <c r="D8" i="6" s="1"/>
  <c r="E8" i="6"/>
  <c r="F8" i="6"/>
  <c r="G8" i="6"/>
  <c r="D9" i="6"/>
  <c r="E9" i="6"/>
  <c r="F9" i="6"/>
  <c r="G9" i="6"/>
  <c r="B13" i="13"/>
  <c r="B14" i="13"/>
  <c r="B15" i="13"/>
  <c r="AH15" i="13" s="1"/>
  <c r="B16" i="13"/>
  <c r="B17" i="13"/>
  <c r="AH17" i="13" s="1"/>
  <c r="B18" i="13"/>
  <c r="B19" i="13"/>
  <c r="B20" i="13"/>
  <c r="B21" i="13"/>
  <c r="AH21" i="13" s="1"/>
  <c r="B22" i="13"/>
  <c r="B23" i="13"/>
  <c r="B24" i="13"/>
  <c r="B25" i="13"/>
  <c r="AH25" i="13" s="1"/>
  <c r="B26" i="13"/>
  <c r="B27" i="13"/>
  <c r="AH27" i="13" s="1"/>
  <c r="B28" i="13"/>
  <c r="AH28" i="13" s="1"/>
  <c r="B29" i="13"/>
  <c r="AH29" i="13" s="1"/>
  <c r="B30" i="13"/>
  <c r="B31" i="13"/>
  <c r="AH31" i="13" s="1"/>
  <c r="B32" i="13"/>
  <c r="AH32" i="13" s="1"/>
  <c r="B33" i="13"/>
  <c r="AH33" i="13" s="1"/>
  <c r="B34" i="13"/>
  <c r="AH34" i="13" s="1"/>
  <c r="B35" i="13"/>
  <c r="AH35" i="13" s="1"/>
  <c r="B36" i="13"/>
  <c r="AH36" i="13" s="1"/>
  <c r="B37" i="13"/>
  <c r="AH37" i="13" s="1"/>
  <c r="B38" i="13"/>
  <c r="B39" i="13"/>
  <c r="AH39" i="13" s="1"/>
  <c r="B40" i="13"/>
  <c r="AH40" i="13" s="1"/>
  <c r="B41" i="13"/>
  <c r="AH41" i="13" s="1"/>
  <c r="B42" i="13"/>
  <c r="AH42" i="13" s="1"/>
  <c r="B43" i="13"/>
  <c r="AH43" i="13" s="1"/>
  <c r="B44" i="13"/>
  <c r="AH44" i="13" s="1"/>
  <c r="B45" i="13"/>
  <c r="AH45" i="13" s="1"/>
  <c r="B46" i="13"/>
  <c r="B47" i="13"/>
  <c r="AH47" i="13" s="1"/>
  <c r="B48" i="13"/>
  <c r="AH48" i="13" s="1"/>
  <c r="B49" i="13"/>
  <c r="AH49" i="13" s="1"/>
  <c r="B50" i="13"/>
  <c r="AH50" i="13" s="1"/>
  <c r="B51" i="13"/>
  <c r="AH51" i="13" s="1"/>
  <c r="B52" i="13"/>
  <c r="AH52" i="13" s="1"/>
  <c r="B53" i="13"/>
  <c r="AH53" i="13" s="1"/>
  <c r="B54" i="13"/>
  <c r="B55" i="13"/>
  <c r="AH55" i="13" s="1"/>
  <c r="B56" i="13"/>
  <c r="AH56" i="13" s="1"/>
  <c r="B57" i="13"/>
  <c r="AH57" i="13" s="1"/>
  <c r="B58" i="13"/>
  <c r="AH58" i="13" s="1"/>
  <c r="B59" i="13"/>
  <c r="AH59" i="13" s="1"/>
  <c r="B60" i="13"/>
  <c r="AH60" i="13" s="1"/>
  <c r="B61" i="13"/>
  <c r="AH61" i="13" s="1"/>
  <c r="B62" i="13"/>
  <c r="B63" i="13"/>
  <c r="AH63" i="13" s="1"/>
  <c r="B64" i="13"/>
  <c r="AH64" i="13" s="1"/>
  <c r="B65" i="13"/>
  <c r="AH65" i="13" s="1"/>
  <c r="B66" i="13"/>
  <c r="AH66" i="13" s="1"/>
  <c r="B67" i="13"/>
  <c r="AH67" i="13" s="1"/>
  <c r="B68" i="13"/>
  <c r="B69" i="13"/>
  <c r="AE69" i="13" s="1"/>
  <c r="B70" i="13"/>
  <c r="B71" i="13"/>
  <c r="AD71" i="13" s="1"/>
  <c r="B72" i="13"/>
  <c r="AE72" i="13" s="1"/>
  <c r="B73" i="13"/>
  <c r="AD73" i="13" s="1"/>
  <c r="B74" i="13"/>
  <c r="B75" i="13"/>
  <c r="AF75" i="13" s="1"/>
  <c r="B76" i="13"/>
  <c r="AD76" i="13" s="1"/>
  <c r="B77" i="13"/>
  <c r="B78" i="13"/>
  <c r="B79" i="13"/>
  <c r="AD79" i="13" s="1"/>
  <c r="B80" i="13"/>
  <c r="AD80" i="13" s="1"/>
  <c r="B81" i="13"/>
  <c r="AF81" i="13" s="1"/>
  <c r="B82" i="13"/>
  <c r="B83" i="13"/>
  <c r="AK83" i="13" s="1"/>
  <c r="B84" i="13"/>
  <c r="B85" i="13"/>
  <c r="AE85" i="13" s="1"/>
  <c r="B86" i="13"/>
  <c r="B87" i="13"/>
  <c r="AD87" i="13" s="1"/>
  <c r="B88" i="13"/>
  <c r="AE88" i="13" s="1"/>
  <c r="B89" i="13"/>
  <c r="AD89" i="13" s="1"/>
  <c r="B90" i="13"/>
  <c r="B91" i="13"/>
  <c r="AF91" i="13" s="1"/>
  <c r="B92" i="13"/>
  <c r="AD92" i="13" s="1"/>
  <c r="B93" i="13"/>
  <c r="B94" i="13"/>
  <c r="B95" i="13"/>
  <c r="AD95" i="13" s="1"/>
  <c r="B96" i="13"/>
  <c r="AD96" i="13" s="1"/>
  <c r="B97" i="13"/>
  <c r="AF97" i="13" s="1"/>
  <c r="B98" i="13"/>
  <c r="B99" i="13"/>
  <c r="AD99" i="13" s="1"/>
  <c r="B100" i="13"/>
  <c r="B101" i="13"/>
  <c r="AE101" i="13" s="1"/>
  <c r="B102" i="13"/>
  <c r="B103" i="13"/>
  <c r="AD103" i="13" s="1"/>
  <c r="B104" i="13"/>
  <c r="AE104" i="13" s="1"/>
  <c r="B105" i="13"/>
  <c r="AD105" i="13" s="1"/>
  <c r="B106" i="13"/>
  <c r="B107" i="13"/>
  <c r="AF107" i="13" s="1"/>
  <c r="B108" i="13"/>
  <c r="AD108" i="13" s="1"/>
  <c r="B109" i="13"/>
  <c r="B110" i="13"/>
  <c r="B111" i="13"/>
  <c r="AD111" i="13" s="1"/>
  <c r="B112" i="13"/>
  <c r="AD112" i="13" s="1"/>
  <c r="B113" i="13"/>
  <c r="AF113" i="13" s="1"/>
  <c r="B114" i="13"/>
  <c r="B115" i="13"/>
  <c r="AK115" i="13" s="1"/>
  <c r="B116" i="13"/>
  <c r="B117" i="13"/>
  <c r="AE117" i="13" s="1"/>
  <c r="B118" i="13"/>
  <c r="B119" i="13"/>
  <c r="AD119" i="13" s="1"/>
  <c r="B120" i="13"/>
  <c r="AE120" i="13" s="1"/>
  <c r="B121" i="13"/>
  <c r="AD121" i="13" s="1"/>
  <c r="B122" i="13"/>
  <c r="B123" i="13"/>
  <c r="AF123" i="13" s="1"/>
  <c r="B124" i="13"/>
  <c r="AD124" i="13" s="1"/>
  <c r="B125" i="13"/>
  <c r="B126" i="13"/>
  <c r="B127" i="13"/>
  <c r="AD127" i="13" s="1"/>
  <c r="B128" i="13"/>
  <c r="AD128" i="13" s="1"/>
  <c r="B129" i="13"/>
  <c r="AF129" i="13" s="1"/>
  <c r="B130" i="13"/>
  <c r="B131" i="13"/>
  <c r="AD131" i="13" s="1"/>
  <c r="B132" i="13"/>
  <c r="AE132" i="13" s="1"/>
  <c r="B133" i="13"/>
  <c r="AE133" i="13" s="1"/>
  <c r="B134" i="13"/>
  <c r="B135" i="13"/>
  <c r="AD135" i="13" s="1"/>
  <c r="B136" i="13"/>
  <c r="AE136" i="13" s="1"/>
  <c r="B137" i="13"/>
  <c r="AD137" i="13" s="1"/>
  <c r="B138" i="13"/>
  <c r="B139" i="13"/>
  <c r="AF139" i="13" s="1"/>
  <c r="B140" i="13"/>
  <c r="AD140" i="13" s="1"/>
  <c r="B141" i="13"/>
  <c r="B142" i="13"/>
  <c r="B143" i="13"/>
  <c r="AD143" i="13" s="1"/>
  <c r="B144" i="13"/>
  <c r="AD144" i="13" s="1"/>
  <c r="B145" i="13"/>
  <c r="AF145" i="13" s="1"/>
  <c r="B146" i="13"/>
  <c r="B147" i="13"/>
  <c r="AK147" i="13" s="1"/>
  <c r="B148" i="13"/>
  <c r="AE148" i="13" s="1"/>
  <c r="B149" i="13"/>
  <c r="AE149" i="13" s="1"/>
  <c r="B150" i="13"/>
  <c r="B151" i="13"/>
  <c r="AD151" i="13" s="1"/>
  <c r="B152" i="13"/>
  <c r="AE152" i="13" s="1"/>
  <c r="B153" i="13"/>
  <c r="AD153" i="13" s="1"/>
  <c r="B154" i="13"/>
  <c r="B155" i="13"/>
  <c r="AF155" i="13" s="1"/>
  <c r="B156" i="13"/>
  <c r="AD156" i="13" s="1"/>
  <c r="B157" i="13"/>
  <c r="B158" i="13"/>
  <c r="B159" i="13"/>
  <c r="AD159" i="13" s="1"/>
  <c r="B160" i="13"/>
  <c r="AD160" i="13" s="1"/>
  <c r="B161" i="13"/>
  <c r="AF161" i="13" s="1"/>
  <c r="B162" i="13"/>
  <c r="B163" i="13"/>
  <c r="AD163" i="13" s="1"/>
  <c r="B164" i="13"/>
  <c r="AE164" i="13" s="1"/>
  <c r="B165" i="13"/>
  <c r="AE165" i="13" s="1"/>
  <c r="B166" i="13"/>
  <c r="B167" i="13"/>
  <c r="AD167" i="13" s="1"/>
  <c r="B168" i="13"/>
  <c r="AE168" i="13" s="1"/>
  <c r="B169" i="13"/>
  <c r="AD169" i="13" s="1"/>
  <c r="B170" i="13"/>
  <c r="B171" i="13"/>
  <c r="AF171" i="13" s="1"/>
  <c r="B172" i="13"/>
  <c r="AD172" i="13" s="1"/>
  <c r="B173" i="13"/>
  <c r="B174" i="13"/>
  <c r="B175" i="13"/>
  <c r="AD175" i="13" s="1"/>
  <c r="B176" i="13"/>
  <c r="AD176" i="13" s="1"/>
  <c r="B177" i="13"/>
  <c r="AF177" i="13" s="1"/>
  <c r="B178" i="13"/>
  <c r="B179" i="13"/>
  <c r="AD179" i="13" s="1"/>
  <c r="B180" i="13"/>
  <c r="AE180" i="13" s="1"/>
  <c r="B181" i="13"/>
  <c r="AE181" i="13" s="1"/>
  <c r="B182" i="13"/>
  <c r="B183" i="13"/>
  <c r="AD183" i="13" s="1"/>
  <c r="B184" i="13"/>
  <c r="AE184" i="13" s="1"/>
  <c r="B185" i="13"/>
  <c r="AD185" i="13" s="1"/>
  <c r="B186" i="13"/>
  <c r="B187" i="13"/>
  <c r="AF187" i="13" s="1"/>
  <c r="B188" i="13"/>
  <c r="AD188" i="13" s="1"/>
  <c r="B189" i="13"/>
  <c r="B190" i="13"/>
  <c r="B191" i="13"/>
  <c r="AD191" i="13" s="1"/>
  <c r="B192" i="13"/>
  <c r="AD192" i="13" s="1"/>
  <c r="B193" i="13"/>
  <c r="AF193" i="13" s="1"/>
  <c r="B194" i="13"/>
  <c r="B195" i="13"/>
  <c r="AD195" i="13" s="1"/>
  <c r="B196" i="13"/>
  <c r="AE196" i="13" s="1"/>
  <c r="B197" i="13"/>
  <c r="AD197" i="13" s="1"/>
  <c r="B198" i="13"/>
  <c r="B199" i="13"/>
  <c r="AD199" i="13" s="1"/>
  <c r="B200" i="13"/>
  <c r="AF200" i="13" s="1"/>
  <c r="B201" i="13"/>
  <c r="AD201" i="13" s="1"/>
  <c r="B202" i="13"/>
  <c r="B203" i="13"/>
  <c r="AD203" i="13" s="1"/>
  <c r="B204" i="13"/>
  <c r="AE204" i="13" s="1"/>
  <c r="B205" i="13"/>
  <c r="AD205" i="13" s="1"/>
  <c r="B206" i="13"/>
  <c r="B207" i="13"/>
  <c r="AD207" i="13" s="1"/>
  <c r="B208" i="13"/>
  <c r="AF208" i="13" s="1"/>
  <c r="B209" i="13"/>
  <c r="AD209" i="13" s="1"/>
  <c r="B210" i="13"/>
  <c r="B211" i="13"/>
  <c r="AD211" i="13" s="1"/>
  <c r="B212" i="13"/>
  <c r="AE212" i="13" s="1"/>
  <c r="B213" i="13"/>
  <c r="AD213" i="13" s="1"/>
  <c r="B214" i="13"/>
  <c r="B215" i="13"/>
  <c r="AD215" i="13" s="1"/>
  <c r="B216" i="13"/>
  <c r="AF216" i="13" s="1"/>
  <c r="B217" i="13"/>
  <c r="AD217" i="13" s="1"/>
  <c r="B218" i="13"/>
  <c r="B219" i="13"/>
  <c r="AD219" i="13" s="1"/>
  <c r="B220" i="13"/>
  <c r="AE220" i="13" s="1"/>
  <c r="B221" i="13"/>
  <c r="AD221" i="13" s="1"/>
  <c r="B222" i="13"/>
  <c r="B223" i="13"/>
  <c r="AD223" i="13" s="1"/>
  <c r="B224" i="13"/>
  <c r="AE224" i="13" s="1"/>
  <c r="B225" i="13"/>
  <c r="AD225" i="13" s="1"/>
  <c r="B226" i="13"/>
  <c r="B227" i="13"/>
  <c r="AD227" i="13" s="1"/>
  <c r="B228" i="13"/>
  <c r="AH228" i="13" s="1"/>
  <c r="B229" i="13"/>
  <c r="AD229" i="13" s="1"/>
  <c r="B230" i="13"/>
  <c r="B231" i="13"/>
  <c r="AD231" i="13" s="1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A131" i="13"/>
  <c r="H20" i="4"/>
  <c r="H18" i="4"/>
  <c r="D19" i="3"/>
  <c r="O19" i="3"/>
  <c r="W19" i="3"/>
  <c r="AF19" i="3"/>
  <c r="AK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Q20" i="3"/>
  <c r="U20" i="3"/>
  <c r="V20" i="3"/>
  <c r="AQ20" i="3"/>
  <c r="AT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D21" i="3"/>
  <c r="O21" i="3"/>
  <c r="Q21" i="3"/>
  <c r="AC21" i="3"/>
  <c r="AT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K22" i="3"/>
  <c r="P22" i="3"/>
  <c r="V22" i="3"/>
  <c r="X22" i="3"/>
  <c r="AQ22" i="3"/>
  <c r="AS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M23" i="3"/>
  <c r="T23" i="3"/>
  <c r="U23" i="3"/>
  <c r="AA23" i="3"/>
  <c r="AT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J24" i="3"/>
  <c r="AL24" i="3"/>
  <c r="AN24" i="3"/>
  <c r="AP24" i="3"/>
  <c r="AU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P25" i="3"/>
  <c r="Q25" i="3"/>
  <c r="AC25" i="3"/>
  <c r="AE25" i="3"/>
  <c r="AK25" i="3"/>
  <c r="AM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N26" i="3"/>
  <c r="S26" i="3"/>
  <c r="AC26" i="3"/>
  <c r="AJ26" i="3"/>
  <c r="AU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Z27" i="3"/>
  <c r="AH27" i="3"/>
  <c r="AL27" i="3"/>
  <c r="AN27" i="3"/>
  <c r="AQ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E28" i="3"/>
  <c r="K28" i="3"/>
  <c r="AD28" i="3"/>
  <c r="AN28" i="3"/>
  <c r="AP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L29" i="3"/>
  <c r="M29" i="3"/>
  <c r="N29" i="3"/>
  <c r="AG29" i="3"/>
  <c r="AM29" i="3"/>
  <c r="AR29" i="3"/>
  <c r="AS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O30" i="3"/>
  <c r="AQ30" i="3"/>
  <c r="AR30" i="3"/>
  <c r="AS30" i="3"/>
  <c r="AT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G31" i="3"/>
  <c r="S31" i="3"/>
  <c r="X31" i="3"/>
  <c r="AA31" i="3"/>
  <c r="AK31" i="3"/>
  <c r="AQ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D32" i="3"/>
  <c r="S32" i="3"/>
  <c r="AD32" i="3"/>
  <c r="AG32" i="3"/>
  <c r="AO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E33" i="3"/>
  <c r="M33" i="3"/>
  <c r="R33" i="3"/>
  <c r="AC33" i="3"/>
  <c r="AD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I34" i="3"/>
  <c r="Z34" i="3"/>
  <c r="AH34" i="3"/>
  <c r="AM34" i="3"/>
  <c r="AQ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K35" i="3"/>
  <c r="AC35" i="3"/>
  <c r="AK35" i="3"/>
  <c r="AO35" i="3"/>
  <c r="AR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D36" i="3"/>
  <c r="T36" i="3"/>
  <c r="AN36" i="3"/>
  <c r="AO36" i="3"/>
  <c r="AT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S37" i="3"/>
  <c r="AB37" i="3"/>
  <c r="AD37" i="3"/>
  <c r="AE37" i="3"/>
  <c r="AL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D38" i="3"/>
  <c r="N38" i="3"/>
  <c r="R38" i="3"/>
  <c r="Z38" i="3"/>
  <c r="AK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J39" i="3"/>
  <c r="S39" i="3"/>
  <c r="V39" i="3"/>
  <c r="AD39" i="3"/>
  <c r="AG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L40" i="3"/>
  <c r="U40" i="3"/>
  <c r="AC40" i="3"/>
  <c r="AO40" i="3"/>
  <c r="AS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F41" i="3"/>
  <c r="O41" i="3"/>
  <c r="AJ41" i="3"/>
  <c r="AT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T42" i="3"/>
  <c r="W42" i="3"/>
  <c r="AC42" i="3"/>
  <c r="AI42" i="3"/>
  <c r="AT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E43" i="3"/>
  <c r="Z43" i="3"/>
  <c r="AL43" i="3"/>
  <c r="AM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E44" i="3"/>
  <c r="F44" i="3"/>
  <c r="AG44" i="3"/>
  <c r="AH44" i="3"/>
  <c r="AO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D45" i="3"/>
  <c r="I45" i="3"/>
  <c r="N45" i="3"/>
  <c r="Y45" i="3"/>
  <c r="Z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D46" i="3"/>
  <c r="H46" i="3"/>
  <c r="AN46" i="3"/>
  <c r="AR46" i="3"/>
  <c r="AT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N47" i="3"/>
  <c r="X47" i="3"/>
  <c r="AA47" i="3"/>
  <c r="AF47" i="3"/>
  <c r="AG47" i="3"/>
  <c r="AQ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J48" i="3"/>
  <c r="L48" i="3"/>
  <c r="AD48" i="3"/>
  <c r="AL48" i="3"/>
  <c r="AP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R49" i="3"/>
  <c r="W49" i="3"/>
  <c r="AE49" i="3"/>
  <c r="AG49" i="3"/>
  <c r="AQ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K50" i="3"/>
  <c r="Q50" i="3"/>
  <c r="U50" i="3"/>
  <c r="Z50" i="3"/>
  <c r="AP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AB51" i="3"/>
  <c r="AL51" i="3"/>
  <c r="AP51" i="3"/>
  <c r="AQ51" i="3"/>
  <c r="AS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E52" i="3"/>
  <c r="T52" i="3"/>
  <c r="AE52" i="3"/>
  <c r="AK52" i="3"/>
  <c r="AR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F53" i="3"/>
  <c r="H53" i="3"/>
  <c r="T53" i="3"/>
  <c r="AB53" i="3"/>
  <c r="AK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H54" i="3"/>
  <c r="O54" i="3"/>
  <c r="Z54" i="3"/>
  <c r="AE54" i="3"/>
  <c r="AL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I55" i="3"/>
  <c r="V55" i="3"/>
  <c r="AI55" i="3"/>
  <c r="AN55" i="3"/>
  <c r="AO55" i="3"/>
  <c r="AR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K56" i="3"/>
  <c r="T56" i="3"/>
  <c r="AA56" i="3"/>
  <c r="AI56" i="3"/>
  <c r="AL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W57" i="3"/>
  <c r="Z57" i="3"/>
  <c r="AG57" i="3"/>
  <c r="AJ57" i="3"/>
  <c r="AM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G58" i="3"/>
  <c r="I58" i="3"/>
  <c r="K58" i="3"/>
  <c r="AB58" i="3"/>
  <c r="AD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BB70" i="3"/>
  <c r="BC70" i="3"/>
  <c r="BD70" i="3"/>
  <c r="BE70" i="3"/>
  <c r="BF70" i="3"/>
  <c r="BG70" i="3"/>
  <c r="BH70" i="3"/>
  <c r="BI70" i="3"/>
  <c r="BJ70" i="3"/>
  <c r="BK70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Z71" i="3"/>
  <c r="BA71" i="3"/>
  <c r="BB71" i="3"/>
  <c r="BC71" i="3"/>
  <c r="BD71" i="3"/>
  <c r="BE71" i="3"/>
  <c r="BF71" i="3"/>
  <c r="BG71" i="3"/>
  <c r="BH71" i="3"/>
  <c r="BI71" i="3"/>
  <c r="BJ71" i="3"/>
  <c r="BK71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Z72" i="3"/>
  <c r="BA72" i="3"/>
  <c r="BB72" i="3"/>
  <c r="BC72" i="3"/>
  <c r="BD72" i="3"/>
  <c r="BE72" i="3"/>
  <c r="BF72" i="3"/>
  <c r="BG72" i="3"/>
  <c r="BH72" i="3"/>
  <c r="BI72" i="3"/>
  <c r="BJ72" i="3"/>
  <c r="BK72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BC73" i="3"/>
  <c r="BD73" i="3"/>
  <c r="BE73" i="3"/>
  <c r="BF73" i="3"/>
  <c r="BG73" i="3"/>
  <c r="BH73" i="3"/>
  <c r="BI73" i="3"/>
  <c r="BJ73" i="3"/>
  <c r="BK73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Z74" i="3"/>
  <c r="BA74" i="3"/>
  <c r="BB74" i="3"/>
  <c r="BC74" i="3"/>
  <c r="BD74" i="3"/>
  <c r="BE74" i="3"/>
  <c r="BF74" i="3"/>
  <c r="BG74" i="3"/>
  <c r="BH74" i="3"/>
  <c r="BI74" i="3"/>
  <c r="BJ74" i="3"/>
  <c r="BK74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AZ75" i="3"/>
  <c r="BA75" i="3"/>
  <c r="BB75" i="3"/>
  <c r="BC75" i="3"/>
  <c r="BD75" i="3"/>
  <c r="BE75" i="3"/>
  <c r="BF75" i="3"/>
  <c r="BG75" i="3"/>
  <c r="BH75" i="3"/>
  <c r="BI75" i="3"/>
  <c r="BJ75" i="3"/>
  <c r="BK75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AZ76" i="3"/>
  <c r="BA76" i="3"/>
  <c r="BB76" i="3"/>
  <c r="BC76" i="3"/>
  <c r="BD76" i="3"/>
  <c r="BE76" i="3"/>
  <c r="BF76" i="3"/>
  <c r="BG76" i="3"/>
  <c r="BH76" i="3"/>
  <c r="BI76" i="3"/>
  <c r="BJ76" i="3"/>
  <c r="BK76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AZ77" i="3"/>
  <c r="BA77" i="3"/>
  <c r="BB77" i="3"/>
  <c r="BC77" i="3"/>
  <c r="BD77" i="3"/>
  <c r="BE77" i="3"/>
  <c r="BF77" i="3"/>
  <c r="BG77" i="3"/>
  <c r="BH77" i="3"/>
  <c r="BI77" i="3"/>
  <c r="BJ77" i="3"/>
  <c r="BK77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AZ78" i="3"/>
  <c r="BA78" i="3"/>
  <c r="BB78" i="3"/>
  <c r="BC78" i="3"/>
  <c r="BD78" i="3"/>
  <c r="BE78" i="3"/>
  <c r="BF78" i="3"/>
  <c r="BG78" i="3"/>
  <c r="BH78" i="3"/>
  <c r="BI78" i="3"/>
  <c r="BJ78" i="3"/>
  <c r="BK78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AZ79" i="3"/>
  <c r="BA79" i="3"/>
  <c r="BB79" i="3"/>
  <c r="BC79" i="3"/>
  <c r="BD79" i="3"/>
  <c r="BE79" i="3"/>
  <c r="BF79" i="3"/>
  <c r="BG79" i="3"/>
  <c r="BH79" i="3"/>
  <c r="BI79" i="3"/>
  <c r="BJ79" i="3"/>
  <c r="BK79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BB80" i="3"/>
  <c r="BC80" i="3"/>
  <c r="BD80" i="3"/>
  <c r="BE80" i="3"/>
  <c r="BF80" i="3"/>
  <c r="BG80" i="3"/>
  <c r="BH80" i="3"/>
  <c r="BI80" i="3"/>
  <c r="BJ80" i="3"/>
  <c r="BK80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AZ81" i="3"/>
  <c r="BA81" i="3"/>
  <c r="BB81" i="3"/>
  <c r="BC81" i="3"/>
  <c r="BD81" i="3"/>
  <c r="BE81" i="3"/>
  <c r="BF81" i="3"/>
  <c r="BG81" i="3"/>
  <c r="BH81" i="3"/>
  <c r="BI81" i="3"/>
  <c r="BJ81" i="3"/>
  <c r="BK81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AZ82" i="3"/>
  <c r="BA82" i="3"/>
  <c r="BB82" i="3"/>
  <c r="BC82" i="3"/>
  <c r="BD82" i="3"/>
  <c r="BE82" i="3"/>
  <c r="BF82" i="3"/>
  <c r="BG82" i="3"/>
  <c r="BH82" i="3"/>
  <c r="BI82" i="3"/>
  <c r="BJ82" i="3"/>
  <c r="BK82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AZ83" i="3"/>
  <c r="BA83" i="3"/>
  <c r="BB83" i="3"/>
  <c r="BC83" i="3"/>
  <c r="BD83" i="3"/>
  <c r="BE83" i="3"/>
  <c r="BF83" i="3"/>
  <c r="BG83" i="3"/>
  <c r="BH83" i="3"/>
  <c r="BI83" i="3"/>
  <c r="BJ83" i="3"/>
  <c r="BK83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BC84" i="3"/>
  <c r="BD84" i="3"/>
  <c r="BE84" i="3"/>
  <c r="BF84" i="3"/>
  <c r="BG84" i="3"/>
  <c r="BH84" i="3"/>
  <c r="BI84" i="3"/>
  <c r="BJ84" i="3"/>
  <c r="BK84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AZ85" i="3"/>
  <c r="BA85" i="3"/>
  <c r="BB85" i="3"/>
  <c r="BC85" i="3"/>
  <c r="BD85" i="3"/>
  <c r="BE85" i="3"/>
  <c r="BF85" i="3"/>
  <c r="BG85" i="3"/>
  <c r="BH85" i="3"/>
  <c r="BI85" i="3"/>
  <c r="BJ85" i="3"/>
  <c r="BK85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Z87" i="3"/>
  <c r="BA87" i="3"/>
  <c r="BB87" i="3"/>
  <c r="BC87" i="3"/>
  <c r="BD87" i="3"/>
  <c r="BE87" i="3"/>
  <c r="BF87" i="3"/>
  <c r="BG87" i="3"/>
  <c r="BH87" i="3"/>
  <c r="BI87" i="3"/>
  <c r="BJ87" i="3"/>
  <c r="BK87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Z88" i="3"/>
  <c r="BA88" i="3"/>
  <c r="BB88" i="3"/>
  <c r="BC88" i="3"/>
  <c r="BD88" i="3"/>
  <c r="BE88" i="3"/>
  <c r="BF88" i="3"/>
  <c r="BG88" i="3"/>
  <c r="BH88" i="3"/>
  <c r="BI88" i="3"/>
  <c r="BJ88" i="3"/>
  <c r="BK88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Z89" i="3"/>
  <c r="BA89" i="3"/>
  <c r="BB89" i="3"/>
  <c r="BC89" i="3"/>
  <c r="BD89" i="3"/>
  <c r="BE89" i="3"/>
  <c r="BF89" i="3"/>
  <c r="BG89" i="3"/>
  <c r="BH89" i="3"/>
  <c r="BI89" i="3"/>
  <c r="BJ89" i="3"/>
  <c r="BK89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AZ90" i="3"/>
  <c r="BA90" i="3"/>
  <c r="BB90" i="3"/>
  <c r="BC90" i="3"/>
  <c r="BD90" i="3"/>
  <c r="BE90" i="3"/>
  <c r="BF90" i="3"/>
  <c r="BG90" i="3"/>
  <c r="BH90" i="3"/>
  <c r="BI90" i="3"/>
  <c r="BJ90" i="3"/>
  <c r="BK90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AZ91" i="3"/>
  <c r="BA91" i="3"/>
  <c r="BB91" i="3"/>
  <c r="BC91" i="3"/>
  <c r="BD91" i="3"/>
  <c r="BE91" i="3"/>
  <c r="BF91" i="3"/>
  <c r="BG91" i="3"/>
  <c r="BH91" i="3"/>
  <c r="BI91" i="3"/>
  <c r="BJ91" i="3"/>
  <c r="BK91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AZ92" i="3"/>
  <c r="BA92" i="3"/>
  <c r="BB92" i="3"/>
  <c r="BC92" i="3"/>
  <c r="BD92" i="3"/>
  <c r="BE92" i="3"/>
  <c r="BF92" i="3"/>
  <c r="BG92" i="3"/>
  <c r="BH92" i="3"/>
  <c r="BI92" i="3"/>
  <c r="BJ92" i="3"/>
  <c r="BK92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AZ93" i="3"/>
  <c r="BA93" i="3"/>
  <c r="BB93" i="3"/>
  <c r="BC93" i="3"/>
  <c r="BD93" i="3"/>
  <c r="BE93" i="3"/>
  <c r="BF93" i="3"/>
  <c r="BG93" i="3"/>
  <c r="BH93" i="3"/>
  <c r="BI93" i="3"/>
  <c r="BJ93" i="3"/>
  <c r="BK93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AZ94" i="3"/>
  <c r="BA94" i="3"/>
  <c r="BB94" i="3"/>
  <c r="BC94" i="3"/>
  <c r="BD94" i="3"/>
  <c r="BE94" i="3"/>
  <c r="BF94" i="3"/>
  <c r="BG94" i="3"/>
  <c r="BH94" i="3"/>
  <c r="BI94" i="3"/>
  <c r="BJ94" i="3"/>
  <c r="BK94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AZ95" i="3"/>
  <c r="BA95" i="3"/>
  <c r="BB95" i="3"/>
  <c r="BC95" i="3"/>
  <c r="BD95" i="3"/>
  <c r="BE95" i="3"/>
  <c r="BF95" i="3"/>
  <c r="BG95" i="3"/>
  <c r="BH95" i="3"/>
  <c r="BI95" i="3"/>
  <c r="BJ95" i="3"/>
  <c r="BK95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BC96" i="3"/>
  <c r="BD96" i="3"/>
  <c r="BE96" i="3"/>
  <c r="BF96" i="3"/>
  <c r="BG96" i="3"/>
  <c r="BH96" i="3"/>
  <c r="BI96" i="3"/>
  <c r="BJ96" i="3"/>
  <c r="BK96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AZ97" i="3"/>
  <c r="BA97" i="3"/>
  <c r="BB97" i="3"/>
  <c r="BC97" i="3"/>
  <c r="BD97" i="3"/>
  <c r="BE97" i="3"/>
  <c r="BF97" i="3"/>
  <c r="BG97" i="3"/>
  <c r="BH97" i="3"/>
  <c r="BI97" i="3"/>
  <c r="BJ97" i="3"/>
  <c r="BK97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AZ98" i="3"/>
  <c r="BA98" i="3"/>
  <c r="BB98" i="3"/>
  <c r="BC98" i="3"/>
  <c r="BD98" i="3"/>
  <c r="BE98" i="3"/>
  <c r="BF98" i="3"/>
  <c r="BG98" i="3"/>
  <c r="BH98" i="3"/>
  <c r="BI98" i="3"/>
  <c r="BJ98" i="3"/>
  <c r="BK98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AZ99" i="3"/>
  <c r="BA99" i="3"/>
  <c r="BB99" i="3"/>
  <c r="BC99" i="3"/>
  <c r="BD99" i="3"/>
  <c r="BE99" i="3"/>
  <c r="BF99" i="3"/>
  <c r="BG99" i="3"/>
  <c r="BH99" i="3"/>
  <c r="BI99" i="3"/>
  <c r="BJ99" i="3"/>
  <c r="BK99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AZ100" i="3"/>
  <c r="BA100" i="3"/>
  <c r="BB100" i="3"/>
  <c r="BC100" i="3"/>
  <c r="BD100" i="3"/>
  <c r="BE100" i="3"/>
  <c r="BF100" i="3"/>
  <c r="BG100" i="3"/>
  <c r="BH100" i="3"/>
  <c r="BI100" i="3"/>
  <c r="BJ100" i="3"/>
  <c r="BK100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AZ101" i="3"/>
  <c r="BA101" i="3"/>
  <c r="BB101" i="3"/>
  <c r="BC101" i="3"/>
  <c r="BD101" i="3"/>
  <c r="BE101" i="3"/>
  <c r="BF101" i="3"/>
  <c r="BG101" i="3"/>
  <c r="BH101" i="3"/>
  <c r="BI101" i="3"/>
  <c r="BJ101" i="3"/>
  <c r="BK101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BC102" i="3"/>
  <c r="BD102" i="3"/>
  <c r="BE102" i="3"/>
  <c r="BF102" i="3"/>
  <c r="BG102" i="3"/>
  <c r="BH102" i="3"/>
  <c r="BI102" i="3"/>
  <c r="BJ102" i="3"/>
  <c r="BK102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AZ103" i="3"/>
  <c r="BA103" i="3"/>
  <c r="BB103" i="3"/>
  <c r="BC103" i="3"/>
  <c r="BD103" i="3"/>
  <c r="BE103" i="3"/>
  <c r="BF103" i="3"/>
  <c r="BG103" i="3"/>
  <c r="BH103" i="3"/>
  <c r="BI103" i="3"/>
  <c r="BJ103" i="3"/>
  <c r="BK103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AZ104" i="3"/>
  <c r="BA104" i="3"/>
  <c r="BB104" i="3"/>
  <c r="BC104" i="3"/>
  <c r="BD104" i="3"/>
  <c r="BE104" i="3"/>
  <c r="BF104" i="3"/>
  <c r="BG104" i="3"/>
  <c r="BH104" i="3"/>
  <c r="BI104" i="3"/>
  <c r="BJ104" i="3"/>
  <c r="BK104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AZ105" i="3"/>
  <c r="BA105" i="3"/>
  <c r="BB105" i="3"/>
  <c r="BC105" i="3"/>
  <c r="BD105" i="3"/>
  <c r="BE105" i="3"/>
  <c r="BF105" i="3"/>
  <c r="BG105" i="3"/>
  <c r="BH105" i="3"/>
  <c r="BI105" i="3"/>
  <c r="BJ105" i="3"/>
  <c r="BK105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AZ106" i="3"/>
  <c r="BA106" i="3"/>
  <c r="BB106" i="3"/>
  <c r="BC106" i="3"/>
  <c r="BD106" i="3"/>
  <c r="BE106" i="3"/>
  <c r="BF106" i="3"/>
  <c r="BG106" i="3"/>
  <c r="BH106" i="3"/>
  <c r="BI106" i="3"/>
  <c r="BJ106" i="3"/>
  <c r="BK106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AZ107" i="3"/>
  <c r="BA107" i="3"/>
  <c r="BB107" i="3"/>
  <c r="BC107" i="3"/>
  <c r="BD107" i="3"/>
  <c r="BE107" i="3"/>
  <c r="BF107" i="3"/>
  <c r="BG107" i="3"/>
  <c r="BH107" i="3"/>
  <c r="BI107" i="3"/>
  <c r="BJ107" i="3"/>
  <c r="BK107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AZ110" i="3"/>
  <c r="BA110" i="3"/>
  <c r="BB110" i="3"/>
  <c r="BC110" i="3"/>
  <c r="BD110" i="3"/>
  <c r="BE110" i="3"/>
  <c r="BF110" i="3"/>
  <c r="BG110" i="3"/>
  <c r="BH110" i="3"/>
  <c r="BI110" i="3"/>
  <c r="BJ110" i="3"/>
  <c r="BK110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AZ111" i="3"/>
  <c r="BA111" i="3"/>
  <c r="BB111" i="3"/>
  <c r="BC111" i="3"/>
  <c r="BD111" i="3"/>
  <c r="BE111" i="3"/>
  <c r="BF111" i="3"/>
  <c r="BG111" i="3"/>
  <c r="BH111" i="3"/>
  <c r="BI111" i="3"/>
  <c r="BJ111" i="3"/>
  <c r="BK111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AZ112" i="3"/>
  <c r="BA112" i="3"/>
  <c r="BB112" i="3"/>
  <c r="BC112" i="3"/>
  <c r="BD112" i="3"/>
  <c r="BE112" i="3"/>
  <c r="BF112" i="3"/>
  <c r="BG112" i="3"/>
  <c r="BH112" i="3"/>
  <c r="BI112" i="3"/>
  <c r="BJ112" i="3"/>
  <c r="BK112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AZ113" i="3"/>
  <c r="BA113" i="3"/>
  <c r="BB113" i="3"/>
  <c r="BC113" i="3"/>
  <c r="BD113" i="3"/>
  <c r="BE113" i="3"/>
  <c r="BF113" i="3"/>
  <c r="BG113" i="3"/>
  <c r="BH113" i="3"/>
  <c r="BI113" i="3"/>
  <c r="BJ113" i="3"/>
  <c r="BK113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AZ114" i="3"/>
  <c r="BA114" i="3"/>
  <c r="BB114" i="3"/>
  <c r="BC114" i="3"/>
  <c r="BD114" i="3"/>
  <c r="BE114" i="3"/>
  <c r="BF114" i="3"/>
  <c r="BG114" i="3"/>
  <c r="BH114" i="3"/>
  <c r="BI114" i="3"/>
  <c r="BJ114" i="3"/>
  <c r="BK114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AZ115" i="3"/>
  <c r="BA115" i="3"/>
  <c r="BB115" i="3"/>
  <c r="BC115" i="3"/>
  <c r="BD115" i="3"/>
  <c r="BE115" i="3"/>
  <c r="BF115" i="3"/>
  <c r="BG115" i="3"/>
  <c r="BH115" i="3"/>
  <c r="BI115" i="3"/>
  <c r="BJ115" i="3"/>
  <c r="BK115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AZ116" i="3"/>
  <c r="BA116" i="3"/>
  <c r="BB116" i="3"/>
  <c r="BC116" i="3"/>
  <c r="BD116" i="3"/>
  <c r="BE116" i="3"/>
  <c r="BF116" i="3"/>
  <c r="BG116" i="3"/>
  <c r="BH116" i="3"/>
  <c r="BI116" i="3"/>
  <c r="BJ116" i="3"/>
  <c r="BK116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AZ117" i="3"/>
  <c r="BA117" i="3"/>
  <c r="BB117" i="3"/>
  <c r="BC117" i="3"/>
  <c r="BD117" i="3"/>
  <c r="BE117" i="3"/>
  <c r="BF117" i="3"/>
  <c r="BG117" i="3"/>
  <c r="BH117" i="3"/>
  <c r="BI117" i="3"/>
  <c r="BJ117" i="3"/>
  <c r="BK117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AZ118" i="3"/>
  <c r="BA118" i="3"/>
  <c r="BB118" i="3"/>
  <c r="BC118" i="3"/>
  <c r="BD118" i="3"/>
  <c r="BE118" i="3"/>
  <c r="BF118" i="3"/>
  <c r="BG118" i="3"/>
  <c r="BH118" i="3"/>
  <c r="BI118" i="3"/>
  <c r="BJ118" i="3"/>
  <c r="BK118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AZ119" i="3"/>
  <c r="BA119" i="3"/>
  <c r="BB119" i="3"/>
  <c r="BC119" i="3"/>
  <c r="BD119" i="3"/>
  <c r="BE119" i="3"/>
  <c r="BF119" i="3"/>
  <c r="BG119" i="3"/>
  <c r="BH119" i="3"/>
  <c r="BI119" i="3"/>
  <c r="BJ119" i="3"/>
  <c r="BK119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AZ120" i="3"/>
  <c r="BA120" i="3"/>
  <c r="BB120" i="3"/>
  <c r="BC120" i="3"/>
  <c r="BD120" i="3"/>
  <c r="BE120" i="3"/>
  <c r="BF120" i="3"/>
  <c r="BG120" i="3"/>
  <c r="BH120" i="3"/>
  <c r="BI120" i="3"/>
  <c r="BJ120" i="3"/>
  <c r="BK120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AZ121" i="3"/>
  <c r="BA121" i="3"/>
  <c r="BB121" i="3"/>
  <c r="BC121" i="3"/>
  <c r="BD121" i="3"/>
  <c r="BE121" i="3"/>
  <c r="BF121" i="3"/>
  <c r="BG121" i="3"/>
  <c r="BH121" i="3"/>
  <c r="BI121" i="3"/>
  <c r="BJ121" i="3"/>
  <c r="BK121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AZ122" i="3"/>
  <c r="BA122" i="3"/>
  <c r="BB122" i="3"/>
  <c r="BC122" i="3"/>
  <c r="BD122" i="3"/>
  <c r="BE122" i="3"/>
  <c r="BF122" i="3"/>
  <c r="BG122" i="3"/>
  <c r="BH122" i="3"/>
  <c r="BI122" i="3"/>
  <c r="BJ122" i="3"/>
  <c r="BK122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AZ123" i="3"/>
  <c r="BA123" i="3"/>
  <c r="BB123" i="3"/>
  <c r="BC123" i="3"/>
  <c r="BD123" i="3"/>
  <c r="BE123" i="3"/>
  <c r="BF123" i="3"/>
  <c r="BG123" i="3"/>
  <c r="BH123" i="3"/>
  <c r="BI123" i="3"/>
  <c r="BJ123" i="3"/>
  <c r="BK123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AZ124" i="3"/>
  <c r="BA124" i="3"/>
  <c r="BB124" i="3"/>
  <c r="BC124" i="3"/>
  <c r="BD124" i="3"/>
  <c r="BE124" i="3"/>
  <c r="BF124" i="3"/>
  <c r="BG124" i="3"/>
  <c r="BH124" i="3"/>
  <c r="BI124" i="3"/>
  <c r="BJ124" i="3"/>
  <c r="BK124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AZ125" i="3"/>
  <c r="BA125" i="3"/>
  <c r="BB125" i="3"/>
  <c r="BC125" i="3"/>
  <c r="BD125" i="3"/>
  <c r="BE125" i="3"/>
  <c r="BF125" i="3"/>
  <c r="BG125" i="3"/>
  <c r="BH125" i="3"/>
  <c r="BI125" i="3"/>
  <c r="BJ125" i="3"/>
  <c r="BK125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BC126" i="3"/>
  <c r="BD126" i="3"/>
  <c r="BE126" i="3"/>
  <c r="BF126" i="3"/>
  <c r="BG126" i="3"/>
  <c r="BH126" i="3"/>
  <c r="BI126" i="3"/>
  <c r="BJ126" i="3"/>
  <c r="BK126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K127" i="3"/>
  <c r="AL127" i="3"/>
  <c r="AM127" i="3"/>
  <c r="AN127" i="3"/>
  <c r="AO127" i="3"/>
  <c r="AP127" i="3"/>
  <c r="AQ127" i="3"/>
  <c r="AR127" i="3"/>
  <c r="AS127" i="3"/>
  <c r="AT127" i="3"/>
  <c r="AU127" i="3"/>
  <c r="AV127" i="3"/>
  <c r="AW127" i="3"/>
  <c r="AX127" i="3"/>
  <c r="AY127" i="3"/>
  <c r="AZ127" i="3"/>
  <c r="BA127" i="3"/>
  <c r="BB127" i="3"/>
  <c r="BC127" i="3"/>
  <c r="BD127" i="3"/>
  <c r="BE127" i="3"/>
  <c r="BF127" i="3"/>
  <c r="BG127" i="3"/>
  <c r="BH127" i="3"/>
  <c r="BI127" i="3"/>
  <c r="BJ127" i="3"/>
  <c r="BK127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K128" i="3"/>
  <c r="AL128" i="3"/>
  <c r="AM128" i="3"/>
  <c r="AN128" i="3"/>
  <c r="AO128" i="3"/>
  <c r="AP128" i="3"/>
  <c r="AQ128" i="3"/>
  <c r="AR128" i="3"/>
  <c r="AS128" i="3"/>
  <c r="AT128" i="3"/>
  <c r="AU128" i="3"/>
  <c r="AV128" i="3"/>
  <c r="AW128" i="3"/>
  <c r="AX128" i="3"/>
  <c r="AY128" i="3"/>
  <c r="AZ128" i="3"/>
  <c r="BA128" i="3"/>
  <c r="BB128" i="3"/>
  <c r="BC128" i="3"/>
  <c r="BD128" i="3"/>
  <c r="BE128" i="3"/>
  <c r="BF128" i="3"/>
  <c r="BG128" i="3"/>
  <c r="BH128" i="3"/>
  <c r="BI128" i="3"/>
  <c r="BJ128" i="3"/>
  <c r="BK128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AK129" i="3"/>
  <c r="AL129" i="3"/>
  <c r="AM129" i="3"/>
  <c r="AN129" i="3"/>
  <c r="AO129" i="3"/>
  <c r="AP129" i="3"/>
  <c r="AQ129" i="3"/>
  <c r="AR129" i="3"/>
  <c r="AS129" i="3"/>
  <c r="AT129" i="3"/>
  <c r="AU129" i="3"/>
  <c r="AV129" i="3"/>
  <c r="AW129" i="3"/>
  <c r="AX129" i="3"/>
  <c r="AY129" i="3"/>
  <c r="AZ129" i="3"/>
  <c r="BA129" i="3"/>
  <c r="BB129" i="3"/>
  <c r="BC129" i="3"/>
  <c r="BD129" i="3"/>
  <c r="BE129" i="3"/>
  <c r="BF129" i="3"/>
  <c r="BG129" i="3"/>
  <c r="BH129" i="3"/>
  <c r="BI129" i="3"/>
  <c r="BJ129" i="3"/>
  <c r="BK129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T130" i="3"/>
  <c r="U130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AK130" i="3"/>
  <c r="AL130" i="3"/>
  <c r="AM130" i="3"/>
  <c r="AN130" i="3"/>
  <c r="AO130" i="3"/>
  <c r="AP130" i="3"/>
  <c r="AQ130" i="3"/>
  <c r="AR130" i="3"/>
  <c r="AS130" i="3"/>
  <c r="AT130" i="3"/>
  <c r="AU130" i="3"/>
  <c r="AV130" i="3"/>
  <c r="AW130" i="3"/>
  <c r="AX130" i="3"/>
  <c r="AY130" i="3"/>
  <c r="AZ130" i="3"/>
  <c r="BA130" i="3"/>
  <c r="BB130" i="3"/>
  <c r="BC130" i="3"/>
  <c r="BD130" i="3"/>
  <c r="BE130" i="3"/>
  <c r="BF130" i="3"/>
  <c r="BG130" i="3"/>
  <c r="BH130" i="3"/>
  <c r="BI130" i="3"/>
  <c r="BJ130" i="3"/>
  <c r="BK130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T131" i="3"/>
  <c r="U131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AK131" i="3"/>
  <c r="AL131" i="3"/>
  <c r="AM131" i="3"/>
  <c r="AN131" i="3"/>
  <c r="AO131" i="3"/>
  <c r="AP131" i="3"/>
  <c r="AQ131" i="3"/>
  <c r="AR131" i="3"/>
  <c r="AS131" i="3"/>
  <c r="AT131" i="3"/>
  <c r="AU131" i="3"/>
  <c r="AV131" i="3"/>
  <c r="AW131" i="3"/>
  <c r="AX131" i="3"/>
  <c r="AY131" i="3"/>
  <c r="AZ131" i="3"/>
  <c r="BA131" i="3"/>
  <c r="BB131" i="3"/>
  <c r="BC131" i="3"/>
  <c r="BD131" i="3"/>
  <c r="BE131" i="3"/>
  <c r="BF131" i="3"/>
  <c r="BG131" i="3"/>
  <c r="BH131" i="3"/>
  <c r="BI131" i="3"/>
  <c r="BJ131" i="3"/>
  <c r="BK131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AK132" i="3"/>
  <c r="AL132" i="3"/>
  <c r="AM132" i="3"/>
  <c r="AN132" i="3"/>
  <c r="AO132" i="3"/>
  <c r="AP132" i="3"/>
  <c r="AQ132" i="3"/>
  <c r="AR132" i="3"/>
  <c r="AS132" i="3"/>
  <c r="AT132" i="3"/>
  <c r="AU132" i="3"/>
  <c r="AV132" i="3"/>
  <c r="AW132" i="3"/>
  <c r="AX132" i="3"/>
  <c r="AY132" i="3"/>
  <c r="AZ132" i="3"/>
  <c r="BA132" i="3"/>
  <c r="BB132" i="3"/>
  <c r="BC132" i="3"/>
  <c r="BD132" i="3"/>
  <c r="BE132" i="3"/>
  <c r="BF132" i="3"/>
  <c r="BG132" i="3"/>
  <c r="BH132" i="3"/>
  <c r="BI132" i="3"/>
  <c r="BJ132" i="3"/>
  <c r="BK132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P133" i="3"/>
  <c r="Q133" i="3"/>
  <c r="R133" i="3"/>
  <c r="S133" i="3"/>
  <c r="T133" i="3"/>
  <c r="U133" i="3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AK133" i="3"/>
  <c r="AL133" i="3"/>
  <c r="AM133" i="3"/>
  <c r="AN133" i="3"/>
  <c r="AO133" i="3"/>
  <c r="AP133" i="3"/>
  <c r="AQ133" i="3"/>
  <c r="AR133" i="3"/>
  <c r="AS133" i="3"/>
  <c r="AT133" i="3"/>
  <c r="AU133" i="3"/>
  <c r="AV133" i="3"/>
  <c r="AW133" i="3"/>
  <c r="AX133" i="3"/>
  <c r="AY133" i="3"/>
  <c r="AZ133" i="3"/>
  <c r="BA133" i="3"/>
  <c r="BB133" i="3"/>
  <c r="BC133" i="3"/>
  <c r="BD133" i="3"/>
  <c r="BE133" i="3"/>
  <c r="BF133" i="3"/>
  <c r="BG133" i="3"/>
  <c r="BH133" i="3"/>
  <c r="BI133" i="3"/>
  <c r="BJ133" i="3"/>
  <c r="BK133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T134" i="3"/>
  <c r="U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AK134" i="3"/>
  <c r="AL134" i="3"/>
  <c r="AM134" i="3"/>
  <c r="AN134" i="3"/>
  <c r="AO134" i="3"/>
  <c r="AP134" i="3"/>
  <c r="AQ134" i="3"/>
  <c r="AR134" i="3"/>
  <c r="AS134" i="3"/>
  <c r="AT134" i="3"/>
  <c r="AU134" i="3"/>
  <c r="AV134" i="3"/>
  <c r="AW134" i="3"/>
  <c r="AX134" i="3"/>
  <c r="AY134" i="3"/>
  <c r="AZ134" i="3"/>
  <c r="BA134" i="3"/>
  <c r="BB134" i="3"/>
  <c r="BC134" i="3"/>
  <c r="BD134" i="3"/>
  <c r="BE134" i="3"/>
  <c r="BF134" i="3"/>
  <c r="BG134" i="3"/>
  <c r="BH134" i="3"/>
  <c r="BI134" i="3"/>
  <c r="BJ134" i="3"/>
  <c r="BK134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T135" i="3"/>
  <c r="U135" i="3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AK135" i="3"/>
  <c r="AL135" i="3"/>
  <c r="AM135" i="3"/>
  <c r="AN135" i="3"/>
  <c r="AO135" i="3"/>
  <c r="AP135" i="3"/>
  <c r="AQ135" i="3"/>
  <c r="AR135" i="3"/>
  <c r="AS135" i="3"/>
  <c r="AT135" i="3"/>
  <c r="AU135" i="3"/>
  <c r="AV135" i="3"/>
  <c r="AW135" i="3"/>
  <c r="AX135" i="3"/>
  <c r="AY135" i="3"/>
  <c r="AZ135" i="3"/>
  <c r="BA135" i="3"/>
  <c r="BB135" i="3"/>
  <c r="BC135" i="3"/>
  <c r="BD135" i="3"/>
  <c r="BE135" i="3"/>
  <c r="BF135" i="3"/>
  <c r="BG135" i="3"/>
  <c r="BH135" i="3"/>
  <c r="BI135" i="3"/>
  <c r="BJ135" i="3"/>
  <c r="BK135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T136" i="3"/>
  <c r="U136" i="3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AK136" i="3"/>
  <c r="AL136" i="3"/>
  <c r="AM136" i="3"/>
  <c r="AN136" i="3"/>
  <c r="AO136" i="3"/>
  <c r="AP136" i="3"/>
  <c r="AQ136" i="3"/>
  <c r="AR136" i="3"/>
  <c r="AS136" i="3"/>
  <c r="AT136" i="3"/>
  <c r="AU136" i="3"/>
  <c r="AV136" i="3"/>
  <c r="AW136" i="3"/>
  <c r="AX136" i="3"/>
  <c r="AY136" i="3"/>
  <c r="AZ136" i="3"/>
  <c r="BA136" i="3"/>
  <c r="BB136" i="3"/>
  <c r="BC136" i="3"/>
  <c r="BD136" i="3"/>
  <c r="BE136" i="3"/>
  <c r="BF136" i="3"/>
  <c r="BG136" i="3"/>
  <c r="BH136" i="3"/>
  <c r="BI136" i="3"/>
  <c r="BJ136" i="3"/>
  <c r="BK136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T137" i="3"/>
  <c r="U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AK137" i="3"/>
  <c r="AL137" i="3"/>
  <c r="AM137" i="3"/>
  <c r="AN137" i="3"/>
  <c r="AO137" i="3"/>
  <c r="AP137" i="3"/>
  <c r="AQ137" i="3"/>
  <c r="AR137" i="3"/>
  <c r="AS137" i="3"/>
  <c r="AT137" i="3"/>
  <c r="AU137" i="3"/>
  <c r="AV137" i="3"/>
  <c r="AW137" i="3"/>
  <c r="AX137" i="3"/>
  <c r="AY137" i="3"/>
  <c r="AZ137" i="3"/>
  <c r="BA137" i="3"/>
  <c r="BB137" i="3"/>
  <c r="BC137" i="3"/>
  <c r="BD137" i="3"/>
  <c r="BE137" i="3"/>
  <c r="BF137" i="3"/>
  <c r="BG137" i="3"/>
  <c r="BH137" i="3"/>
  <c r="BI137" i="3"/>
  <c r="BJ137" i="3"/>
  <c r="BK137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P138" i="3"/>
  <c r="Q138" i="3"/>
  <c r="R138" i="3"/>
  <c r="S138" i="3"/>
  <c r="T138" i="3"/>
  <c r="U138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AK138" i="3"/>
  <c r="AL138" i="3"/>
  <c r="AM138" i="3"/>
  <c r="AN138" i="3"/>
  <c r="AO138" i="3"/>
  <c r="AP138" i="3"/>
  <c r="AQ138" i="3"/>
  <c r="AR138" i="3"/>
  <c r="AS138" i="3"/>
  <c r="AT138" i="3"/>
  <c r="AU138" i="3"/>
  <c r="AV138" i="3"/>
  <c r="AW138" i="3"/>
  <c r="AX138" i="3"/>
  <c r="AY138" i="3"/>
  <c r="AZ138" i="3"/>
  <c r="BA138" i="3"/>
  <c r="BB138" i="3"/>
  <c r="BC138" i="3"/>
  <c r="BD138" i="3"/>
  <c r="BE138" i="3"/>
  <c r="BF138" i="3"/>
  <c r="BG138" i="3"/>
  <c r="BH138" i="3"/>
  <c r="BI138" i="3"/>
  <c r="BJ138" i="3"/>
  <c r="BK138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P139" i="3"/>
  <c r="Q139" i="3"/>
  <c r="R139" i="3"/>
  <c r="S139" i="3"/>
  <c r="T139" i="3"/>
  <c r="U139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AK139" i="3"/>
  <c r="AL139" i="3"/>
  <c r="AM139" i="3"/>
  <c r="AN139" i="3"/>
  <c r="AO139" i="3"/>
  <c r="AP139" i="3"/>
  <c r="AQ139" i="3"/>
  <c r="AR139" i="3"/>
  <c r="AS139" i="3"/>
  <c r="AT139" i="3"/>
  <c r="AU139" i="3"/>
  <c r="AV139" i="3"/>
  <c r="AW139" i="3"/>
  <c r="AX139" i="3"/>
  <c r="AY139" i="3"/>
  <c r="AZ139" i="3"/>
  <c r="BA139" i="3"/>
  <c r="BB139" i="3"/>
  <c r="BC139" i="3"/>
  <c r="BD139" i="3"/>
  <c r="BE139" i="3"/>
  <c r="BF139" i="3"/>
  <c r="BG139" i="3"/>
  <c r="BH139" i="3"/>
  <c r="BI139" i="3"/>
  <c r="BJ139" i="3"/>
  <c r="BK139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P140" i="3"/>
  <c r="Q140" i="3"/>
  <c r="R140" i="3"/>
  <c r="S140" i="3"/>
  <c r="T140" i="3"/>
  <c r="U140" i="3"/>
  <c r="V140" i="3"/>
  <c r="W140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AK140" i="3"/>
  <c r="AL140" i="3"/>
  <c r="AM140" i="3"/>
  <c r="AN140" i="3"/>
  <c r="AO140" i="3"/>
  <c r="AP140" i="3"/>
  <c r="AQ140" i="3"/>
  <c r="AR140" i="3"/>
  <c r="AS140" i="3"/>
  <c r="AT140" i="3"/>
  <c r="AU140" i="3"/>
  <c r="AV140" i="3"/>
  <c r="AW140" i="3"/>
  <c r="AX140" i="3"/>
  <c r="AY140" i="3"/>
  <c r="AZ140" i="3"/>
  <c r="BA140" i="3"/>
  <c r="BB140" i="3"/>
  <c r="BC140" i="3"/>
  <c r="BD140" i="3"/>
  <c r="BE140" i="3"/>
  <c r="BF140" i="3"/>
  <c r="BG140" i="3"/>
  <c r="BH140" i="3"/>
  <c r="BI140" i="3"/>
  <c r="BJ140" i="3"/>
  <c r="BK140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P141" i="3"/>
  <c r="Q141" i="3"/>
  <c r="R141" i="3"/>
  <c r="S141" i="3"/>
  <c r="T141" i="3"/>
  <c r="U141" i="3"/>
  <c r="V141" i="3"/>
  <c r="W141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AK141" i="3"/>
  <c r="AL141" i="3"/>
  <c r="AM141" i="3"/>
  <c r="AN141" i="3"/>
  <c r="AO141" i="3"/>
  <c r="AP141" i="3"/>
  <c r="AQ141" i="3"/>
  <c r="AR141" i="3"/>
  <c r="AS141" i="3"/>
  <c r="AT141" i="3"/>
  <c r="AU141" i="3"/>
  <c r="AV141" i="3"/>
  <c r="AW141" i="3"/>
  <c r="AX141" i="3"/>
  <c r="AY141" i="3"/>
  <c r="AZ141" i="3"/>
  <c r="BA141" i="3"/>
  <c r="BB141" i="3"/>
  <c r="BC141" i="3"/>
  <c r="BD141" i="3"/>
  <c r="BE141" i="3"/>
  <c r="BF141" i="3"/>
  <c r="BG141" i="3"/>
  <c r="BH141" i="3"/>
  <c r="BI141" i="3"/>
  <c r="BJ141" i="3"/>
  <c r="BK141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R142" i="3"/>
  <c r="S142" i="3"/>
  <c r="T142" i="3"/>
  <c r="U142" i="3"/>
  <c r="V142" i="3"/>
  <c r="W142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AK142" i="3"/>
  <c r="AL142" i="3"/>
  <c r="AM142" i="3"/>
  <c r="AN142" i="3"/>
  <c r="AO142" i="3"/>
  <c r="AP142" i="3"/>
  <c r="AQ142" i="3"/>
  <c r="AR142" i="3"/>
  <c r="AS142" i="3"/>
  <c r="AT142" i="3"/>
  <c r="AU142" i="3"/>
  <c r="AV142" i="3"/>
  <c r="AW142" i="3"/>
  <c r="AX142" i="3"/>
  <c r="AY142" i="3"/>
  <c r="AZ142" i="3"/>
  <c r="BA142" i="3"/>
  <c r="BB142" i="3"/>
  <c r="BC142" i="3"/>
  <c r="BD142" i="3"/>
  <c r="BE142" i="3"/>
  <c r="BF142" i="3"/>
  <c r="BG142" i="3"/>
  <c r="BH142" i="3"/>
  <c r="BI142" i="3"/>
  <c r="BJ142" i="3"/>
  <c r="BK142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P143" i="3"/>
  <c r="Q143" i="3"/>
  <c r="R143" i="3"/>
  <c r="S143" i="3"/>
  <c r="T143" i="3"/>
  <c r="U143" i="3"/>
  <c r="V143" i="3"/>
  <c r="W143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AK143" i="3"/>
  <c r="AL143" i="3"/>
  <c r="AM143" i="3"/>
  <c r="AN143" i="3"/>
  <c r="AO143" i="3"/>
  <c r="AP143" i="3"/>
  <c r="AQ143" i="3"/>
  <c r="AR143" i="3"/>
  <c r="AS143" i="3"/>
  <c r="AT143" i="3"/>
  <c r="AU143" i="3"/>
  <c r="AV143" i="3"/>
  <c r="AW143" i="3"/>
  <c r="AX143" i="3"/>
  <c r="AY143" i="3"/>
  <c r="AZ143" i="3"/>
  <c r="BA143" i="3"/>
  <c r="BB143" i="3"/>
  <c r="BC143" i="3"/>
  <c r="BD143" i="3"/>
  <c r="BE143" i="3"/>
  <c r="BF143" i="3"/>
  <c r="BG143" i="3"/>
  <c r="BH143" i="3"/>
  <c r="BI143" i="3"/>
  <c r="BJ143" i="3"/>
  <c r="BK143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P144" i="3"/>
  <c r="Q144" i="3"/>
  <c r="R144" i="3"/>
  <c r="S144" i="3"/>
  <c r="T144" i="3"/>
  <c r="U144" i="3"/>
  <c r="V144" i="3"/>
  <c r="W144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AK144" i="3"/>
  <c r="AL144" i="3"/>
  <c r="AM144" i="3"/>
  <c r="AN144" i="3"/>
  <c r="AO144" i="3"/>
  <c r="AP144" i="3"/>
  <c r="AQ144" i="3"/>
  <c r="AR144" i="3"/>
  <c r="AS144" i="3"/>
  <c r="AT144" i="3"/>
  <c r="AU144" i="3"/>
  <c r="AV144" i="3"/>
  <c r="AW144" i="3"/>
  <c r="AX144" i="3"/>
  <c r="AY144" i="3"/>
  <c r="AZ144" i="3"/>
  <c r="BA144" i="3"/>
  <c r="BB144" i="3"/>
  <c r="BC144" i="3"/>
  <c r="BD144" i="3"/>
  <c r="BE144" i="3"/>
  <c r="BF144" i="3"/>
  <c r="BG144" i="3"/>
  <c r="BH144" i="3"/>
  <c r="BI144" i="3"/>
  <c r="BJ144" i="3"/>
  <c r="BK144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R145" i="3"/>
  <c r="S145" i="3"/>
  <c r="T145" i="3"/>
  <c r="U145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K145" i="3"/>
  <c r="AL145" i="3"/>
  <c r="AM145" i="3"/>
  <c r="AN145" i="3"/>
  <c r="AO145" i="3"/>
  <c r="AP145" i="3"/>
  <c r="AQ145" i="3"/>
  <c r="AR145" i="3"/>
  <c r="AS145" i="3"/>
  <c r="AT145" i="3"/>
  <c r="AU145" i="3"/>
  <c r="AV145" i="3"/>
  <c r="AW145" i="3"/>
  <c r="AX145" i="3"/>
  <c r="AY145" i="3"/>
  <c r="AZ145" i="3"/>
  <c r="BA145" i="3"/>
  <c r="BB145" i="3"/>
  <c r="BC145" i="3"/>
  <c r="BD145" i="3"/>
  <c r="BE145" i="3"/>
  <c r="BF145" i="3"/>
  <c r="BG145" i="3"/>
  <c r="BH145" i="3"/>
  <c r="BI145" i="3"/>
  <c r="BJ145" i="3"/>
  <c r="BK145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P146" i="3"/>
  <c r="Q146" i="3"/>
  <c r="R146" i="3"/>
  <c r="S146" i="3"/>
  <c r="T146" i="3"/>
  <c r="U146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AK146" i="3"/>
  <c r="AL146" i="3"/>
  <c r="AM146" i="3"/>
  <c r="AN146" i="3"/>
  <c r="AO146" i="3"/>
  <c r="AP146" i="3"/>
  <c r="AQ146" i="3"/>
  <c r="AR146" i="3"/>
  <c r="AS146" i="3"/>
  <c r="AT146" i="3"/>
  <c r="AU146" i="3"/>
  <c r="AV146" i="3"/>
  <c r="AW146" i="3"/>
  <c r="AX146" i="3"/>
  <c r="AY146" i="3"/>
  <c r="AZ146" i="3"/>
  <c r="BA146" i="3"/>
  <c r="BB146" i="3"/>
  <c r="BC146" i="3"/>
  <c r="BD146" i="3"/>
  <c r="BE146" i="3"/>
  <c r="BF146" i="3"/>
  <c r="BG146" i="3"/>
  <c r="BH146" i="3"/>
  <c r="BI146" i="3"/>
  <c r="BJ146" i="3"/>
  <c r="BK146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P147" i="3"/>
  <c r="Q147" i="3"/>
  <c r="R147" i="3"/>
  <c r="S147" i="3"/>
  <c r="T147" i="3"/>
  <c r="U147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AK147" i="3"/>
  <c r="AL147" i="3"/>
  <c r="AM147" i="3"/>
  <c r="AN147" i="3"/>
  <c r="AO147" i="3"/>
  <c r="AP147" i="3"/>
  <c r="AQ147" i="3"/>
  <c r="AR147" i="3"/>
  <c r="AS147" i="3"/>
  <c r="AT147" i="3"/>
  <c r="AU147" i="3"/>
  <c r="AV147" i="3"/>
  <c r="AW147" i="3"/>
  <c r="AX147" i="3"/>
  <c r="AY147" i="3"/>
  <c r="AZ147" i="3"/>
  <c r="BA147" i="3"/>
  <c r="BB147" i="3"/>
  <c r="BC147" i="3"/>
  <c r="BD147" i="3"/>
  <c r="BE147" i="3"/>
  <c r="BF147" i="3"/>
  <c r="BG147" i="3"/>
  <c r="BH147" i="3"/>
  <c r="BI147" i="3"/>
  <c r="BJ147" i="3"/>
  <c r="BK147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P148" i="3"/>
  <c r="Q148" i="3"/>
  <c r="R148" i="3"/>
  <c r="S148" i="3"/>
  <c r="T148" i="3"/>
  <c r="U148" i="3"/>
  <c r="V148" i="3"/>
  <c r="W148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AK148" i="3"/>
  <c r="AL148" i="3"/>
  <c r="AM148" i="3"/>
  <c r="AN148" i="3"/>
  <c r="AO148" i="3"/>
  <c r="AP148" i="3"/>
  <c r="AQ148" i="3"/>
  <c r="AR148" i="3"/>
  <c r="AS148" i="3"/>
  <c r="AT148" i="3"/>
  <c r="AU148" i="3"/>
  <c r="AV148" i="3"/>
  <c r="AW148" i="3"/>
  <c r="AX148" i="3"/>
  <c r="AY148" i="3"/>
  <c r="AZ148" i="3"/>
  <c r="BA148" i="3"/>
  <c r="BB148" i="3"/>
  <c r="BC148" i="3"/>
  <c r="BD148" i="3"/>
  <c r="BE148" i="3"/>
  <c r="BF148" i="3"/>
  <c r="BG148" i="3"/>
  <c r="BH148" i="3"/>
  <c r="BI148" i="3"/>
  <c r="BJ148" i="3"/>
  <c r="BK148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R149" i="3"/>
  <c r="S149" i="3"/>
  <c r="T149" i="3"/>
  <c r="U149" i="3"/>
  <c r="V149" i="3"/>
  <c r="W149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AK149" i="3"/>
  <c r="AL149" i="3"/>
  <c r="AM149" i="3"/>
  <c r="AN149" i="3"/>
  <c r="AO149" i="3"/>
  <c r="AP149" i="3"/>
  <c r="AQ149" i="3"/>
  <c r="AR149" i="3"/>
  <c r="AS149" i="3"/>
  <c r="AT149" i="3"/>
  <c r="AU149" i="3"/>
  <c r="AV149" i="3"/>
  <c r="AW149" i="3"/>
  <c r="AX149" i="3"/>
  <c r="AY149" i="3"/>
  <c r="AZ149" i="3"/>
  <c r="BA149" i="3"/>
  <c r="BB149" i="3"/>
  <c r="BC149" i="3"/>
  <c r="BD149" i="3"/>
  <c r="BE149" i="3"/>
  <c r="BF149" i="3"/>
  <c r="BG149" i="3"/>
  <c r="BH149" i="3"/>
  <c r="BI149" i="3"/>
  <c r="BJ149" i="3"/>
  <c r="BK149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R150" i="3"/>
  <c r="S150" i="3"/>
  <c r="T150" i="3"/>
  <c r="U150" i="3"/>
  <c r="V150" i="3"/>
  <c r="W150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AK150" i="3"/>
  <c r="AL150" i="3"/>
  <c r="AM150" i="3"/>
  <c r="AN150" i="3"/>
  <c r="AO150" i="3"/>
  <c r="AP150" i="3"/>
  <c r="AQ150" i="3"/>
  <c r="AR150" i="3"/>
  <c r="AS150" i="3"/>
  <c r="AT150" i="3"/>
  <c r="AU150" i="3"/>
  <c r="AV150" i="3"/>
  <c r="AW150" i="3"/>
  <c r="AX150" i="3"/>
  <c r="AY150" i="3"/>
  <c r="AZ150" i="3"/>
  <c r="BA150" i="3"/>
  <c r="BB150" i="3"/>
  <c r="BC150" i="3"/>
  <c r="BD150" i="3"/>
  <c r="BE150" i="3"/>
  <c r="BF150" i="3"/>
  <c r="BG150" i="3"/>
  <c r="BH150" i="3"/>
  <c r="BI150" i="3"/>
  <c r="BJ150" i="3"/>
  <c r="BK150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AZ151" i="3"/>
  <c r="BA151" i="3"/>
  <c r="BB151" i="3"/>
  <c r="BC151" i="3"/>
  <c r="BD151" i="3"/>
  <c r="BE151" i="3"/>
  <c r="BF151" i="3"/>
  <c r="BG151" i="3"/>
  <c r="BH151" i="3"/>
  <c r="BI151" i="3"/>
  <c r="BJ151" i="3"/>
  <c r="BK151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P152" i="3"/>
  <c r="Q152" i="3"/>
  <c r="R152" i="3"/>
  <c r="S152" i="3"/>
  <c r="T152" i="3"/>
  <c r="U152" i="3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K152" i="3"/>
  <c r="AL152" i="3"/>
  <c r="AM152" i="3"/>
  <c r="AN152" i="3"/>
  <c r="AO152" i="3"/>
  <c r="AP152" i="3"/>
  <c r="AQ152" i="3"/>
  <c r="AR152" i="3"/>
  <c r="AS152" i="3"/>
  <c r="AT152" i="3"/>
  <c r="AU152" i="3"/>
  <c r="AV152" i="3"/>
  <c r="AW152" i="3"/>
  <c r="AX152" i="3"/>
  <c r="AY152" i="3"/>
  <c r="AZ152" i="3"/>
  <c r="BA152" i="3"/>
  <c r="BB152" i="3"/>
  <c r="BC152" i="3"/>
  <c r="BD152" i="3"/>
  <c r="BE152" i="3"/>
  <c r="BF152" i="3"/>
  <c r="BG152" i="3"/>
  <c r="BH152" i="3"/>
  <c r="BI152" i="3"/>
  <c r="BJ152" i="3"/>
  <c r="BK152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P153" i="3"/>
  <c r="Q153" i="3"/>
  <c r="R153" i="3"/>
  <c r="S153" i="3"/>
  <c r="T153" i="3"/>
  <c r="U153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AK153" i="3"/>
  <c r="AL153" i="3"/>
  <c r="AM153" i="3"/>
  <c r="AN153" i="3"/>
  <c r="AO153" i="3"/>
  <c r="AP153" i="3"/>
  <c r="AQ153" i="3"/>
  <c r="AR153" i="3"/>
  <c r="AS153" i="3"/>
  <c r="AT153" i="3"/>
  <c r="AU153" i="3"/>
  <c r="AV153" i="3"/>
  <c r="AW153" i="3"/>
  <c r="AX153" i="3"/>
  <c r="AY153" i="3"/>
  <c r="AZ153" i="3"/>
  <c r="BA153" i="3"/>
  <c r="BB153" i="3"/>
  <c r="BC153" i="3"/>
  <c r="BD153" i="3"/>
  <c r="BE153" i="3"/>
  <c r="BF153" i="3"/>
  <c r="BG153" i="3"/>
  <c r="BH153" i="3"/>
  <c r="BI153" i="3"/>
  <c r="BJ153" i="3"/>
  <c r="BK153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P154" i="3"/>
  <c r="Q154" i="3"/>
  <c r="R154" i="3"/>
  <c r="S154" i="3"/>
  <c r="T154" i="3"/>
  <c r="U154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AK154" i="3"/>
  <c r="AL154" i="3"/>
  <c r="AM154" i="3"/>
  <c r="AN154" i="3"/>
  <c r="AO154" i="3"/>
  <c r="AP154" i="3"/>
  <c r="AQ154" i="3"/>
  <c r="AR154" i="3"/>
  <c r="AS154" i="3"/>
  <c r="AT154" i="3"/>
  <c r="AU154" i="3"/>
  <c r="AV154" i="3"/>
  <c r="AW154" i="3"/>
  <c r="AX154" i="3"/>
  <c r="AY154" i="3"/>
  <c r="AZ154" i="3"/>
  <c r="BA154" i="3"/>
  <c r="BB154" i="3"/>
  <c r="BC154" i="3"/>
  <c r="BD154" i="3"/>
  <c r="BE154" i="3"/>
  <c r="BF154" i="3"/>
  <c r="BG154" i="3"/>
  <c r="BH154" i="3"/>
  <c r="BI154" i="3"/>
  <c r="BJ154" i="3"/>
  <c r="BK154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P155" i="3"/>
  <c r="Q155" i="3"/>
  <c r="R155" i="3"/>
  <c r="S155" i="3"/>
  <c r="T155" i="3"/>
  <c r="U155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AK155" i="3"/>
  <c r="AL155" i="3"/>
  <c r="AM155" i="3"/>
  <c r="AN155" i="3"/>
  <c r="AO155" i="3"/>
  <c r="AP155" i="3"/>
  <c r="AQ155" i="3"/>
  <c r="AR155" i="3"/>
  <c r="AS155" i="3"/>
  <c r="AT155" i="3"/>
  <c r="AU155" i="3"/>
  <c r="AV155" i="3"/>
  <c r="AW155" i="3"/>
  <c r="AX155" i="3"/>
  <c r="AY155" i="3"/>
  <c r="AZ155" i="3"/>
  <c r="BA155" i="3"/>
  <c r="BB155" i="3"/>
  <c r="BC155" i="3"/>
  <c r="BD155" i="3"/>
  <c r="BE155" i="3"/>
  <c r="BF155" i="3"/>
  <c r="BG155" i="3"/>
  <c r="BH155" i="3"/>
  <c r="BI155" i="3"/>
  <c r="BJ155" i="3"/>
  <c r="BK155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T156" i="3"/>
  <c r="U156" i="3"/>
  <c r="V156" i="3"/>
  <c r="W156" i="3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AK156" i="3"/>
  <c r="AL156" i="3"/>
  <c r="AM156" i="3"/>
  <c r="AN156" i="3"/>
  <c r="AO156" i="3"/>
  <c r="AP156" i="3"/>
  <c r="AQ156" i="3"/>
  <c r="AR156" i="3"/>
  <c r="AS156" i="3"/>
  <c r="AT156" i="3"/>
  <c r="AU156" i="3"/>
  <c r="AV156" i="3"/>
  <c r="AW156" i="3"/>
  <c r="AX156" i="3"/>
  <c r="AY156" i="3"/>
  <c r="AZ156" i="3"/>
  <c r="BA156" i="3"/>
  <c r="BB156" i="3"/>
  <c r="BC156" i="3"/>
  <c r="BD156" i="3"/>
  <c r="BE156" i="3"/>
  <c r="BF156" i="3"/>
  <c r="BG156" i="3"/>
  <c r="BH156" i="3"/>
  <c r="BI156" i="3"/>
  <c r="BJ156" i="3"/>
  <c r="BK156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T157" i="3"/>
  <c r="U157" i="3"/>
  <c r="V157" i="3"/>
  <c r="W157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K157" i="3"/>
  <c r="AL157" i="3"/>
  <c r="AM157" i="3"/>
  <c r="AN157" i="3"/>
  <c r="AO157" i="3"/>
  <c r="AP157" i="3"/>
  <c r="AQ157" i="3"/>
  <c r="AR157" i="3"/>
  <c r="AS157" i="3"/>
  <c r="AT157" i="3"/>
  <c r="AU157" i="3"/>
  <c r="AV157" i="3"/>
  <c r="AW157" i="3"/>
  <c r="AX157" i="3"/>
  <c r="AY157" i="3"/>
  <c r="AZ157" i="3"/>
  <c r="BA157" i="3"/>
  <c r="BB157" i="3"/>
  <c r="BC157" i="3"/>
  <c r="BD157" i="3"/>
  <c r="BE157" i="3"/>
  <c r="BF157" i="3"/>
  <c r="BG157" i="3"/>
  <c r="BH157" i="3"/>
  <c r="BI157" i="3"/>
  <c r="BJ157" i="3"/>
  <c r="BK157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R158" i="3"/>
  <c r="S158" i="3"/>
  <c r="T158" i="3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AL158" i="3"/>
  <c r="AM158" i="3"/>
  <c r="AN158" i="3"/>
  <c r="AO158" i="3"/>
  <c r="AP158" i="3"/>
  <c r="AQ158" i="3"/>
  <c r="AR158" i="3"/>
  <c r="AS158" i="3"/>
  <c r="AT158" i="3"/>
  <c r="AU158" i="3"/>
  <c r="AV158" i="3"/>
  <c r="AW158" i="3"/>
  <c r="AX158" i="3"/>
  <c r="AY158" i="3"/>
  <c r="AZ158" i="3"/>
  <c r="BA158" i="3"/>
  <c r="BB158" i="3"/>
  <c r="BC158" i="3"/>
  <c r="BD158" i="3"/>
  <c r="BE158" i="3"/>
  <c r="BF158" i="3"/>
  <c r="BG158" i="3"/>
  <c r="BH158" i="3"/>
  <c r="BI158" i="3"/>
  <c r="BJ158" i="3"/>
  <c r="BK158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P159" i="3"/>
  <c r="Q159" i="3"/>
  <c r="R159" i="3"/>
  <c r="S159" i="3"/>
  <c r="T159" i="3"/>
  <c r="U159" i="3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AL159" i="3"/>
  <c r="AM159" i="3"/>
  <c r="AN159" i="3"/>
  <c r="AO159" i="3"/>
  <c r="AP159" i="3"/>
  <c r="AQ159" i="3"/>
  <c r="AR159" i="3"/>
  <c r="AS159" i="3"/>
  <c r="AT159" i="3"/>
  <c r="AU159" i="3"/>
  <c r="AV159" i="3"/>
  <c r="AW159" i="3"/>
  <c r="AX159" i="3"/>
  <c r="AY159" i="3"/>
  <c r="AZ159" i="3"/>
  <c r="BA159" i="3"/>
  <c r="BB159" i="3"/>
  <c r="BC159" i="3"/>
  <c r="BD159" i="3"/>
  <c r="BE159" i="3"/>
  <c r="BF159" i="3"/>
  <c r="BG159" i="3"/>
  <c r="BH159" i="3"/>
  <c r="BI159" i="3"/>
  <c r="BJ159" i="3"/>
  <c r="BK159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AL160" i="3"/>
  <c r="AM160" i="3"/>
  <c r="AN160" i="3"/>
  <c r="AO160" i="3"/>
  <c r="AP160" i="3"/>
  <c r="AQ160" i="3"/>
  <c r="AR160" i="3"/>
  <c r="AS160" i="3"/>
  <c r="AT160" i="3"/>
  <c r="AU160" i="3"/>
  <c r="AV160" i="3"/>
  <c r="AW160" i="3"/>
  <c r="AX160" i="3"/>
  <c r="AY160" i="3"/>
  <c r="AZ160" i="3"/>
  <c r="BA160" i="3"/>
  <c r="BB160" i="3"/>
  <c r="BC160" i="3"/>
  <c r="BD160" i="3"/>
  <c r="BE160" i="3"/>
  <c r="BF160" i="3"/>
  <c r="BG160" i="3"/>
  <c r="BH160" i="3"/>
  <c r="BI160" i="3"/>
  <c r="BJ160" i="3"/>
  <c r="BK160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T161" i="3"/>
  <c r="U161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K161" i="3"/>
  <c r="AL161" i="3"/>
  <c r="AM161" i="3"/>
  <c r="AN161" i="3"/>
  <c r="AO161" i="3"/>
  <c r="AP161" i="3"/>
  <c r="AQ161" i="3"/>
  <c r="AR161" i="3"/>
  <c r="AS161" i="3"/>
  <c r="AT161" i="3"/>
  <c r="AU161" i="3"/>
  <c r="AV161" i="3"/>
  <c r="AW161" i="3"/>
  <c r="AX161" i="3"/>
  <c r="AY161" i="3"/>
  <c r="AZ161" i="3"/>
  <c r="BA161" i="3"/>
  <c r="BB161" i="3"/>
  <c r="BC161" i="3"/>
  <c r="BD161" i="3"/>
  <c r="BE161" i="3"/>
  <c r="BF161" i="3"/>
  <c r="BG161" i="3"/>
  <c r="BH161" i="3"/>
  <c r="BI161" i="3"/>
  <c r="BJ161" i="3"/>
  <c r="BK161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R162" i="3"/>
  <c r="S162" i="3"/>
  <c r="T162" i="3"/>
  <c r="U162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K162" i="3"/>
  <c r="AL162" i="3"/>
  <c r="AM162" i="3"/>
  <c r="AN162" i="3"/>
  <c r="AO162" i="3"/>
  <c r="AP162" i="3"/>
  <c r="AQ162" i="3"/>
  <c r="AR162" i="3"/>
  <c r="AS162" i="3"/>
  <c r="AT162" i="3"/>
  <c r="AU162" i="3"/>
  <c r="AV162" i="3"/>
  <c r="AW162" i="3"/>
  <c r="AX162" i="3"/>
  <c r="AY162" i="3"/>
  <c r="AZ162" i="3"/>
  <c r="BA162" i="3"/>
  <c r="BB162" i="3"/>
  <c r="BC162" i="3"/>
  <c r="BD162" i="3"/>
  <c r="BE162" i="3"/>
  <c r="BF162" i="3"/>
  <c r="BG162" i="3"/>
  <c r="BH162" i="3"/>
  <c r="BI162" i="3"/>
  <c r="BJ162" i="3"/>
  <c r="BK162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P163" i="3"/>
  <c r="Q163" i="3"/>
  <c r="R163" i="3"/>
  <c r="S163" i="3"/>
  <c r="T163" i="3"/>
  <c r="U163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K163" i="3"/>
  <c r="AL163" i="3"/>
  <c r="AM163" i="3"/>
  <c r="AN163" i="3"/>
  <c r="AO163" i="3"/>
  <c r="AP163" i="3"/>
  <c r="AQ163" i="3"/>
  <c r="AR163" i="3"/>
  <c r="AS163" i="3"/>
  <c r="AT163" i="3"/>
  <c r="AU163" i="3"/>
  <c r="AV163" i="3"/>
  <c r="AW163" i="3"/>
  <c r="AX163" i="3"/>
  <c r="AY163" i="3"/>
  <c r="AZ163" i="3"/>
  <c r="BA163" i="3"/>
  <c r="BB163" i="3"/>
  <c r="BC163" i="3"/>
  <c r="BD163" i="3"/>
  <c r="BE163" i="3"/>
  <c r="BF163" i="3"/>
  <c r="BG163" i="3"/>
  <c r="BH163" i="3"/>
  <c r="BI163" i="3"/>
  <c r="BJ163" i="3"/>
  <c r="BK163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P164" i="3"/>
  <c r="Q164" i="3"/>
  <c r="R164" i="3"/>
  <c r="S164" i="3"/>
  <c r="T164" i="3"/>
  <c r="U164" i="3"/>
  <c r="V164" i="3"/>
  <c r="W164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K164" i="3"/>
  <c r="AL164" i="3"/>
  <c r="AM164" i="3"/>
  <c r="AN164" i="3"/>
  <c r="AO164" i="3"/>
  <c r="AP164" i="3"/>
  <c r="AQ164" i="3"/>
  <c r="AR164" i="3"/>
  <c r="AS164" i="3"/>
  <c r="AT164" i="3"/>
  <c r="AU164" i="3"/>
  <c r="AV164" i="3"/>
  <c r="AW164" i="3"/>
  <c r="AX164" i="3"/>
  <c r="AY164" i="3"/>
  <c r="AZ164" i="3"/>
  <c r="BA164" i="3"/>
  <c r="BB164" i="3"/>
  <c r="BC164" i="3"/>
  <c r="BD164" i="3"/>
  <c r="BE164" i="3"/>
  <c r="BF164" i="3"/>
  <c r="BG164" i="3"/>
  <c r="BH164" i="3"/>
  <c r="BI164" i="3"/>
  <c r="BJ164" i="3"/>
  <c r="BK164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P165" i="3"/>
  <c r="Q165" i="3"/>
  <c r="R165" i="3"/>
  <c r="S165" i="3"/>
  <c r="T165" i="3"/>
  <c r="U165" i="3"/>
  <c r="V165" i="3"/>
  <c r="W165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K165" i="3"/>
  <c r="AL165" i="3"/>
  <c r="AM165" i="3"/>
  <c r="AN165" i="3"/>
  <c r="AO165" i="3"/>
  <c r="AP165" i="3"/>
  <c r="AQ165" i="3"/>
  <c r="AR165" i="3"/>
  <c r="AS165" i="3"/>
  <c r="AT165" i="3"/>
  <c r="AU165" i="3"/>
  <c r="AV165" i="3"/>
  <c r="AW165" i="3"/>
  <c r="AX165" i="3"/>
  <c r="AY165" i="3"/>
  <c r="AZ165" i="3"/>
  <c r="BA165" i="3"/>
  <c r="BB165" i="3"/>
  <c r="BC165" i="3"/>
  <c r="BD165" i="3"/>
  <c r="BE165" i="3"/>
  <c r="BF165" i="3"/>
  <c r="BG165" i="3"/>
  <c r="BH165" i="3"/>
  <c r="BI165" i="3"/>
  <c r="BJ165" i="3"/>
  <c r="BK165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T166" i="3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AL166" i="3"/>
  <c r="AM166" i="3"/>
  <c r="AN166" i="3"/>
  <c r="AO166" i="3"/>
  <c r="AP166" i="3"/>
  <c r="AQ166" i="3"/>
  <c r="AR166" i="3"/>
  <c r="AS166" i="3"/>
  <c r="AT166" i="3"/>
  <c r="AU166" i="3"/>
  <c r="AV166" i="3"/>
  <c r="AW166" i="3"/>
  <c r="AX166" i="3"/>
  <c r="AY166" i="3"/>
  <c r="AZ166" i="3"/>
  <c r="BA166" i="3"/>
  <c r="BB166" i="3"/>
  <c r="BC166" i="3"/>
  <c r="BD166" i="3"/>
  <c r="BE166" i="3"/>
  <c r="BF166" i="3"/>
  <c r="BG166" i="3"/>
  <c r="BH166" i="3"/>
  <c r="BI166" i="3"/>
  <c r="BJ166" i="3"/>
  <c r="BK166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T167" i="3"/>
  <c r="U167" i="3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AL167" i="3"/>
  <c r="AM167" i="3"/>
  <c r="AN167" i="3"/>
  <c r="AO167" i="3"/>
  <c r="AP167" i="3"/>
  <c r="AQ167" i="3"/>
  <c r="AR167" i="3"/>
  <c r="AS167" i="3"/>
  <c r="AT167" i="3"/>
  <c r="AU167" i="3"/>
  <c r="AV167" i="3"/>
  <c r="AW167" i="3"/>
  <c r="AX167" i="3"/>
  <c r="AY167" i="3"/>
  <c r="AZ167" i="3"/>
  <c r="BA167" i="3"/>
  <c r="BB167" i="3"/>
  <c r="BC167" i="3"/>
  <c r="BD167" i="3"/>
  <c r="BE167" i="3"/>
  <c r="BF167" i="3"/>
  <c r="BG167" i="3"/>
  <c r="BH167" i="3"/>
  <c r="BI167" i="3"/>
  <c r="BJ167" i="3"/>
  <c r="BK167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P168" i="3"/>
  <c r="Q168" i="3"/>
  <c r="R168" i="3"/>
  <c r="S168" i="3"/>
  <c r="T168" i="3"/>
  <c r="U168" i="3"/>
  <c r="V168" i="3"/>
  <c r="W168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K168" i="3"/>
  <c r="AL168" i="3"/>
  <c r="AM168" i="3"/>
  <c r="AN168" i="3"/>
  <c r="AO168" i="3"/>
  <c r="AP168" i="3"/>
  <c r="AQ168" i="3"/>
  <c r="AR168" i="3"/>
  <c r="AS168" i="3"/>
  <c r="AT168" i="3"/>
  <c r="AU168" i="3"/>
  <c r="AV168" i="3"/>
  <c r="AW168" i="3"/>
  <c r="AX168" i="3"/>
  <c r="AY168" i="3"/>
  <c r="AZ168" i="3"/>
  <c r="BA168" i="3"/>
  <c r="BB168" i="3"/>
  <c r="BC168" i="3"/>
  <c r="BD168" i="3"/>
  <c r="BE168" i="3"/>
  <c r="BF168" i="3"/>
  <c r="BG168" i="3"/>
  <c r="BH168" i="3"/>
  <c r="BI168" i="3"/>
  <c r="BJ168" i="3"/>
  <c r="BK168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T169" i="3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AL169" i="3"/>
  <c r="AM169" i="3"/>
  <c r="AN169" i="3"/>
  <c r="AO169" i="3"/>
  <c r="AP169" i="3"/>
  <c r="AQ169" i="3"/>
  <c r="AR169" i="3"/>
  <c r="AS169" i="3"/>
  <c r="AT169" i="3"/>
  <c r="AU169" i="3"/>
  <c r="AV169" i="3"/>
  <c r="AW169" i="3"/>
  <c r="AX169" i="3"/>
  <c r="AY169" i="3"/>
  <c r="AZ169" i="3"/>
  <c r="BA169" i="3"/>
  <c r="BB169" i="3"/>
  <c r="BC169" i="3"/>
  <c r="BD169" i="3"/>
  <c r="BE169" i="3"/>
  <c r="BF169" i="3"/>
  <c r="BG169" i="3"/>
  <c r="BH169" i="3"/>
  <c r="BI169" i="3"/>
  <c r="BJ169" i="3"/>
  <c r="BK169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P170" i="3"/>
  <c r="Q170" i="3"/>
  <c r="R170" i="3"/>
  <c r="S170" i="3"/>
  <c r="T170" i="3"/>
  <c r="U170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AL170" i="3"/>
  <c r="AM170" i="3"/>
  <c r="AN170" i="3"/>
  <c r="AO170" i="3"/>
  <c r="AP170" i="3"/>
  <c r="AQ170" i="3"/>
  <c r="AR170" i="3"/>
  <c r="AS170" i="3"/>
  <c r="AT170" i="3"/>
  <c r="AU170" i="3"/>
  <c r="AV170" i="3"/>
  <c r="AW170" i="3"/>
  <c r="AX170" i="3"/>
  <c r="AY170" i="3"/>
  <c r="AZ170" i="3"/>
  <c r="BA170" i="3"/>
  <c r="BB170" i="3"/>
  <c r="BC170" i="3"/>
  <c r="BD170" i="3"/>
  <c r="BE170" i="3"/>
  <c r="BF170" i="3"/>
  <c r="BG170" i="3"/>
  <c r="BH170" i="3"/>
  <c r="BI170" i="3"/>
  <c r="BJ170" i="3"/>
  <c r="BK170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T171" i="3"/>
  <c r="U171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AL171" i="3"/>
  <c r="AM171" i="3"/>
  <c r="AN171" i="3"/>
  <c r="AO171" i="3"/>
  <c r="AP171" i="3"/>
  <c r="AQ171" i="3"/>
  <c r="AR171" i="3"/>
  <c r="AS171" i="3"/>
  <c r="AT171" i="3"/>
  <c r="AU171" i="3"/>
  <c r="AV171" i="3"/>
  <c r="AW171" i="3"/>
  <c r="AX171" i="3"/>
  <c r="AY171" i="3"/>
  <c r="AZ171" i="3"/>
  <c r="BA171" i="3"/>
  <c r="BB171" i="3"/>
  <c r="BC171" i="3"/>
  <c r="BD171" i="3"/>
  <c r="BE171" i="3"/>
  <c r="BF171" i="3"/>
  <c r="BG171" i="3"/>
  <c r="BH171" i="3"/>
  <c r="BI171" i="3"/>
  <c r="BJ171" i="3"/>
  <c r="BK171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T172" i="3"/>
  <c r="U172" i="3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AL172" i="3"/>
  <c r="AM172" i="3"/>
  <c r="AN172" i="3"/>
  <c r="AO172" i="3"/>
  <c r="AP172" i="3"/>
  <c r="AQ172" i="3"/>
  <c r="AR172" i="3"/>
  <c r="AS172" i="3"/>
  <c r="AT172" i="3"/>
  <c r="AU172" i="3"/>
  <c r="AV172" i="3"/>
  <c r="AW172" i="3"/>
  <c r="AX172" i="3"/>
  <c r="AY172" i="3"/>
  <c r="AZ172" i="3"/>
  <c r="BA172" i="3"/>
  <c r="BB172" i="3"/>
  <c r="BC172" i="3"/>
  <c r="BD172" i="3"/>
  <c r="BE172" i="3"/>
  <c r="BF172" i="3"/>
  <c r="BG172" i="3"/>
  <c r="BH172" i="3"/>
  <c r="BI172" i="3"/>
  <c r="BJ172" i="3"/>
  <c r="BK172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T173" i="3"/>
  <c r="U173" i="3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AL173" i="3"/>
  <c r="AM173" i="3"/>
  <c r="AN173" i="3"/>
  <c r="AO173" i="3"/>
  <c r="AP173" i="3"/>
  <c r="AQ173" i="3"/>
  <c r="AR173" i="3"/>
  <c r="AS173" i="3"/>
  <c r="AT173" i="3"/>
  <c r="AU173" i="3"/>
  <c r="AV173" i="3"/>
  <c r="AW173" i="3"/>
  <c r="AX173" i="3"/>
  <c r="AY173" i="3"/>
  <c r="AZ173" i="3"/>
  <c r="BA173" i="3"/>
  <c r="BB173" i="3"/>
  <c r="BC173" i="3"/>
  <c r="BD173" i="3"/>
  <c r="BE173" i="3"/>
  <c r="BF173" i="3"/>
  <c r="BG173" i="3"/>
  <c r="BH173" i="3"/>
  <c r="BI173" i="3"/>
  <c r="BJ173" i="3"/>
  <c r="BK173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P174" i="3"/>
  <c r="Q174" i="3"/>
  <c r="R174" i="3"/>
  <c r="S174" i="3"/>
  <c r="T174" i="3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AL174" i="3"/>
  <c r="AM174" i="3"/>
  <c r="AN174" i="3"/>
  <c r="AO174" i="3"/>
  <c r="AP174" i="3"/>
  <c r="AQ174" i="3"/>
  <c r="AR174" i="3"/>
  <c r="AS174" i="3"/>
  <c r="AT174" i="3"/>
  <c r="AU174" i="3"/>
  <c r="AV174" i="3"/>
  <c r="AW174" i="3"/>
  <c r="AX174" i="3"/>
  <c r="AY174" i="3"/>
  <c r="AZ174" i="3"/>
  <c r="BA174" i="3"/>
  <c r="BB174" i="3"/>
  <c r="BC174" i="3"/>
  <c r="BD174" i="3"/>
  <c r="BE174" i="3"/>
  <c r="BF174" i="3"/>
  <c r="BG174" i="3"/>
  <c r="BH174" i="3"/>
  <c r="BI174" i="3"/>
  <c r="BJ174" i="3"/>
  <c r="BK174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T175" i="3"/>
  <c r="U175" i="3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AL175" i="3"/>
  <c r="AM175" i="3"/>
  <c r="AN175" i="3"/>
  <c r="AO175" i="3"/>
  <c r="AP175" i="3"/>
  <c r="AQ175" i="3"/>
  <c r="AR175" i="3"/>
  <c r="AS175" i="3"/>
  <c r="AT175" i="3"/>
  <c r="AU175" i="3"/>
  <c r="AV175" i="3"/>
  <c r="AW175" i="3"/>
  <c r="AX175" i="3"/>
  <c r="AY175" i="3"/>
  <c r="AZ175" i="3"/>
  <c r="BA175" i="3"/>
  <c r="BB175" i="3"/>
  <c r="BC175" i="3"/>
  <c r="BD175" i="3"/>
  <c r="BE175" i="3"/>
  <c r="BF175" i="3"/>
  <c r="BG175" i="3"/>
  <c r="BH175" i="3"/>
  <c r="BI175" i="3"/>
  <c r="BJ175" i="3"/>
  <c r="BK175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T176" i="3"/>
  <c r="U176" i="3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AL176" i="3"/>
  <c r="AM176" i="3"/>
  <c r="AN176" i="3"/>
  <c r="AO176" i="3"/>
  <c r="AP176" i="3"/>
  <c r="AQ176" i="3"/>
  <c r="AR176" i="3"/>
  <c r="AS176" i="3"/>
  <c r="AT176" i="3"/>
  <c r="AU176" i="3"/>
  <c r="AV176" i="3"/>
  <c r="AW176" i="3"/>
  <c r="AX176" i="3"/>
  <c r="AY176" i="3"/>
  <c r="AZ176" i="3"/>
  <c r="BA176" i="3"/>
  <c r="BB176" i="3"/>
  <c r="BC176" i="3"/>
  <c r="BD176" i="3"/>
  <c r="BE176" i="3"/>
  <c r="BF176" i="3"/>
  <c r="BG176" i="3"/>
  <c r="BH176" i="3"/>
  <c r="BI176" i="3"/>
  <c r="BJ176" i="3"/>
  <c r="BK176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T177" i="3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AL177" i="3"/>
  <c r="AM177" i="3"/>
  <c r="AN177" i="3"/>
  <c r="AO177" i="3"/>
  <c r="AP177" i="3"/>
  <c r="AQ177" i="3"/>
  <c r="AR177" i="3"/>
  <c r="AS177" i="3"/>
  <c r="AT177" i="3"/>
  <c r="AU177" i="3"/>
  <c r="AV177" i="3"/>
  <c r="AW177" i="3"/>
  <c r="AX177" i="3"/>
  <c r="AY177" i="3"/>
  <c r="AZ177" i="3"/>
  <c r="BA177" i="3"/>
  <c r="BB177" i="3"/>
  <c r="BC177" i="3"/>
  <c r="BD177" i="3"/>
  <c r="BE177" i="3"/>
  <c r="BF177" i="3"/>
  <c r="BG177" i="3"/>
  <c r="BH177" i="3"/>
  <c r="BI177" i="3"/>
  <c r="BJ177" i="3"/>
  <c r="BK177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T178" i="3"/>
  <c r="U178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AL178" i="3"/>
  <c r="AM178" i="3"/>
  <c r="AN178" i="3"/>
  <c r="AO178" i="3"/>
  <c r="AP178" i="3"/>
  <c r="AQ178" i="3"/>
  <c r="AR178" i="3"/>
  <c r="AS178" i="3"/>
  <c r="AT178" i="3"/>
  <c r="AU178" i="3"/>
  <c r="AV178" i="3"/>
  <c r="AW178" i="3"/>
  <c r="AX178" i="3"/>
  <c r="AY178" i="3"/>
  <c r="AZ178" i="3"/>
  <c r="BA178" i="3"/>
  <c r="BB178" i="3"/>
  <c r="BC178" i="3"/>
  <c r="BD178" i="3"/>
  <c r="BE178" i="3"/>
  <c r="BF178" i="3"/>
  <c r="BG178" i="3"/>
  <c r="BH178" i="3"/>
  <c r="BI178" i="3"/>
  <c r="BJ178" i="3"/>
  <c r="BK178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T179" i="3"/>
  <c r="U179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AW179" i="3"/>
  <c r="AX179" i="3"/>
  <c r="AY179" i="3"/>
  <c r="AZ179" i="3"/>
  <c r="BA179" i="3"/>
  <c r="BB179" i="3"/>
  <c r="BC179" i="3"/>
  <c r="BD179" i="3"/>
  <c r="BE179" i="3"/>
  <c r="BF179" i="3"/>
  <c r="BG179" i="3"/>
  <c r="BH179" i="3"/>
  <c r="BI179" i="3"/>
  <c r="BJ179" i="3"/>
  <c r="BK179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T180" i="3"/>
  <c r="U180" i="3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AL180" i="3"/>
  <c r="AM180" i="3"/>
  <c r="AN180" i="3"/>
  <c r="AO180" i="3"/>
  <c r="AP180" i="3"/>
  <c r="AQ180" i="3"/>
  <c r="AR180" i="3"/>
  <c r="AS180" i="3"/>
  <c r="AT180" i="3"/>
  <c r="AU180" i="3"/>
  <c r="AV180" i="3"/>
  <c r="AW180" i="3"/>
  <c r="AX180" i="3"/>
  <c r="AY180" i="3"/>
  <c r="AZ180" i="3"/>
  <c r="BA180" i="3"/>
  <c r="BB180" i="3"/>
  <c r="BC180" i="3"/>
  <c r="BD180" i="3"/>
  <c r="BE180" i="3"/>
  <c r="BF180" i="3"/>
  <c r="BG180" i="3"/>
  <c r="BH180" i="3"/>
  <c r="BI180" i="3"/>
  <c r="BJ180" i="3"/>
  <c r="BK180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T181" i="3"/>
  <c r="U181" i="3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W181" i="3"/>
  <c r="AX181" i="3"/>
  <c r="AY181" i="3"/>
  <c r="AZ181" i="3"/>
  <c r="BA181" i="3"/>
  <c r="BB181" i="3"/>
  <c r="BC181" i="3"/>
  <c r="BD181" i="3"/>
  <c r="BE181" i="3"/>
  <c r="BF181" i="3"/>
  <c r="BG181" i="3"/>
  <c r="BH181" i="3"/>
  <c r="BI181" i="3"/>
  <c r="BJ181" i="3"/>
  <c r="BK181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T182" i="3"/>
  <c r="U182" i="3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AW182" i="3"/>
  <c r="AX182" i="3"/>
  <c r="AY182" i="3"/>
  <c r="AZ182" i="3"/>
  <c r="BA182" i="3"/>
  <c r="BB182" i="3"/>
  <c r="BC182" i="3"/>
  <c r="BD182" i="3"/>
  <c r="BE182" i="3"/>
  <c r="BF182" i="3"/>
  <c r="BG182" i="3"/>
  <c r="BH182" i="3"/>
  <c r="BI182" i="3"/>
  <c r="BJ182" i="3"/>
  <c r="BK182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T183" i="3"/>
  <c r="U183" i="3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AL183" i="3"/>
  <c r="AM183" i="3"/>
  <c r="AN183" i="3"/>
  <c r="AO183" i="3"/>
  <c r="AP183" i="3"/>
  <c r="AQ183" i="3"/>
  <c r="AR183" i="3"/>
  <c r="AS183" i="3"/>
  <c r="AT183" i="3"/>
  <c r="AU183" i="3"/>
  <c r="AV183" i="3"/>
  <c r="AW183" i="3"/>
  <c r="AX183" i="3"/>
  <c r="AY183" i="3"/>
  <c r="AZ183" i="3"/>
  <c r="BA183" i="3"/>
  <c r="BB183" i="3"/>
  <c r="BC183" i="3"/>
  <c r="BD183" i="3"/>
  <c r="BE183" i="3"/>
  <c r="BF183" i="3"/>
  <c r="BG183" i="3"/>
  <c r="BH183" i="3"/>
  <c r="BI183" i="3"/>
  <c r="BJ183" i="3"/>
  <c r="BK183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T184" i="3"/>
  <c r="U184" i="3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AL184" i="3"/>
  <c r="AM184" i="3"/>
  <c r="AN184" i="3"/>
  <c r="AO184" i="3"/>
  <c r="AP184" i="3"/>
  <c r="AQ184" i="3"/>
  <c r="AR184" i="3"/>
  <c r="AS184" i="3"/>
  <c r="AT184" i="3"/>
  <c r="AU184" i="3"/>
  <c r="AV184" i="3"/>
  <c r="AW184" i="3"/>
  <c r="AX184" i="3"/>
  <c r="AY184" i="3"/>
  <c r="AZ184" i="3"/>
  <c r="BA184" i="3"/>
  <c r="BB184" i="3"/>
  <c r="BC184" i="3"/>
  <c r="BD184" i="3"/>
  <c r="BE184" i="3"/>
  <c r="BF184" i="3"/>
  <c r="BG184" i="3"/>
  <c r="BH184" i="3"/>
  <c r="BI184" i="3"/>
  <c r="BJ184" i="3"/>
  <c r="BK184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P185" i="3"/>
  <c r="Q185" i="3"/>
  <c r="R185" i="3"/>
  <c r="S185" i="3"/>
  <c r="T185" i="3"/>
  <c r="U185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AL185" i="3"/>
  <c r="AM185" i="3"/>
  <c r="AN185" i="3"/>
  <c r="AO185" i="3"/>
  <c r="AP185" i="3"/>
  <c r="AQ185" i="3"/>
  <c r="AR185" i="3"/>
  <c r="AS185" i="3"/>
  <c r="AT185" i="3"/>
  <c r="AU185" i="3"/>
  <c r="AV185" i="3"/>
  <c r="AW185" i="3"/>
  <c r="AX185" i="3"/>
  <c r="AY185" i="3"/>
  <c r="AZ185" i="3"/>
  <c r="BA185" i="3"/>
  <c r="BB185" i="3"/>
  <c r="BC185" i="3"/>
  <c r="BD185" i="3"/>
  <c r="BE185" i="3"/>
  <c r="BF185" i="3"/>
  <c r="BG185" i="3"/>
  <c r="BH185" i="3"/>
  <c r="BI185" i="3"/>
  <c r="BJ185" i="3"/>
  <c r="BK185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T186" i="3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AL186" i="3"/>
  <c r="AM186" i="3"/>
  <c r="AN186" i="3"/>
  <c r="AO186" i="3"/>
  <c r="AP186" i="3"/>
  <c r="AQ186" i="3"/>
  <c r="AR186" i="3"/>
  <c r="AS186" i="3"/>
  <c r="AT186" i="3"/>
  <c r="AU186" i="3"/>
  <c r="AV186" i="3"/>
  <c r="AW186" i="3"/>
  <c r="AX186" i="3"/>
  <c r="AY186" i="3"/>
  <c r="AZ186" i="3"/>
  <c r="BA186" i="3"/>
  <c r="BB186" i="3"/>
  <c r="BC186" i="3"/>
  <c r="BD186" i="3"/>
  <c r="BE186" i="3"/>
  <c r="BF186" i="3"/>
  <c r="BG186" i="3"/>
  <c r="BH186" i="3"/>
  <c r="BI186" i="3"/>
  <c r="BJ186" i="3"/>
  <c r="BK186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T187" i="3"/>
  <c r="U187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W187" i="3"/>
  <c r="AX187" i="3"/>
  <c r="AY187" i="3"/>
  <c r="AZ187" i="3"/>
  <c r="BA187" i="3"/>
  <c r="BB187" i="3"/>
  <c r="BC187" i="3"/>
  <c r="BD187" i="3"/>
  <c r="BE187" i="3"/>
  <c r="BF187" i="3"/>
  <c r="BG187" i="3"/>
  <c r="BH187" i="3"/>
  <c r="BI187" i="3"/>
  <c r="BJ187" i="3"/>
  <c r="BK187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T188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AW188" i="3"/>
  <c r="AX188" i="3"/>
  <c r="AY188" i="3"/>
  <c r="AZ188" i="3"/>
  <c r="BA188" i="3"/>
  <c r="BB188" i="3"/>
  <c r="BC188" i="3"/>
  <c r="BD188" i="3"/>
  <c r="BE188" i="3"/>
  <c r="BF188" i="3"/>
  <c r="BG188" i="3"/>
  <c r="BH188" i="3"/>
  <c r="BI188" i="3"/>
  <c r="BJ188" i="3"/>
  <c r="BK188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T189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AL189" i="3"/>
  <c r="AM189" i="3"/>
  <c r="AN189" i="3"/>
  <c r="AO189" i="3"/>
  <c r="AP189" i="3"/>
  <c r="AQ189" i="3"/>
  <c r="AR189" i="3"/>
  <c r="AS189" i="3"/>
  <c r="AT189" i="3"/>
  <c r="AU189" i="3"/>
  <c r="AV189" i="3"/>
  <c r="AW189" i="3"/>
  <c r="AX189" i="3"/>
  <c r="AY189" i="3"/>
  <c r="AZ189" i="3"/>
  <c r="BA189" i="3"/>
  <c r="BB189" i="3"/>
  <c r="BC189" i="3"/>
  <c r="BD189" i="3"/>
  <c r="BE189" i="3"/>
  <c r="BF189" i="3"/>
  <c r="BG189" i="3"/>
  <c r="BH189" i="3"/>
  <c r="BI189" i="3"/>
  <c r="BJ189" i="3"/>
  <c r="BK189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T190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AL190" i="3"/>
  <c r="AM190" i="3"/>
  <c r="AN190" i="3"/>
  <c r="AO190" i="3"/>
  <c r="AP190" i="3"/>
  <c r="AQ190" i="3"/>
  <c r="AR190" i="3"/>
  <c r="AS190" i="3"/>
  <c r="AT190" i="3"/>
  <c r="AU190" i="3"/>
  <c r="AV190" i="3"/>
  <c r="AW190" i="3"/>
  <c r="AX190" i="3"/>
  <c r="AY190" i="3"/>
  <c r="AZ190" i="3"/>
  <c r="BA190" i="3"/>
  <c r="BB190" i="3"/>
  <c r="BC190" i="3"/>
  <c r="BD190" i="3"/>
  <c r="BE190" i="3"/>
  <c r="BF190" i="3"/>
  <c r="BG190" i="3"/>
  <c r="BH190" i="3"/>
  <c r="BI190" i="3"/>
  <c r="BJ190" i="3"/>
  <c r="BK190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T191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AW191" i="3"/>
  <c r="AX191" i="3"/>
  <c r="AY191" i="3"/>
  <c r="AZ191" i="3"/>
  <c r="BA191" i="3"/>
  <c r="BB191" i="3"/>
  <c r="BC191" i="3"/>
  <c r="BD191" i="3"/>
  <c r="BE191" i="3"/>
  <c r="BF191" i="3"/>
  <c r="BG191" i="3"/>
  <c r="BH191" i="3"/>
  <c r="BI191" i="3"/>
  <c r="BJ191" i="3"/>
  <c r="BK191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T192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AL192" i="3"/>
  <c r="AM192" i="3"/>
  <c r="AN192" i="3"/>
  <c r="AO192" i="3"/>
  <c r="AP192" i="3"/>
  <c r="AQ192" i="3"/>
  <c r="AR192" i="3"/>
  <c r="AS192" i="3"/>
  <c r="AT192" i="3"/>
  <c r="AU192" i="3"/>
  <c r="AV192" i="3"/>
  <c r="AW192" i="3"/>
  <c r="AX192" i="3"/>
  <c r="AY192" i="3"/>
  <c r="AZ192" i="3"/>
  <c r="BA192" i="3"/>
  <c r="BB192" i="3"/>
  <c r="BC192" i="3"/>
  <c r="BD192" i="3"/>
  <c r="BE192" i="3"/>
  <c r="BF192" i="3"/>
  <c r="BG192" i="3"/>
  <c r="BH192" i="3"/>
  <c r="BI192" i="3"/>
  <c r="BJ192" i="3"/>
  <c r="BK192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T193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AL193" i="3"/>
  <c r="AM193" i="3"/>
  <c r="AN193" i="3"/>
  <c r="AO193" i="3"/>
  <c r="AP193" i="3"/>
  <c r="AQ193" i="3"/>
  <c r="AR193" i="3"/>
  <c r="AS193" i="3"/>
  <c r="AT193" i="3"/>
  <c r="AU193" i="3"/>
  <c r="AV193" i="3"/>
  <c r="AW193" i="3"/>
  <c r="AX193" i="3"/>
  <c r="AY193" i="3"/>
  <c r="AZ193" i="3"/>
  <c r="BA193" i="3"/>
  <c r="BB193" i="3"/>
  <c r="BC193" i="3"/>
  <c r="BD193" i="3"/>
  <c r="BE193" i="3"/>
  <c r="BF193" i="3"/>
  <c r="BG193" i="3"/>
  <c r="BH193" i="3"/>
  <c r="BI193" i="3"/>
  <c r="BJ193" i="3"/>
  <c r="BK193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T194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AW194" i="3"/>
  <c r="AX194" i="3"/>
  <c r="AY194" i="3"/>
  <c r="AZ194" i="3"/>
  <c r="BA194" i="3"/>
  <c r="BB194" i="3"/>
  <c r="BC194" i="3"/>
  <c r="BD194" i="3"/>
  <c r="BE194" i="3"/>
  <c r="BF194" i="3"/>
  <c r="BG194" i="3"/>
  <c r="BH194" i="3"/>
  <c r="BI194" i="3"/>
  <c r="BJ194" i="3"/>
  <c r="BK194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T195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AW195" i="3"/>
  <c r="AX195" i="3"/>
  <c r="AY195" i="3"/>
  <c r="AZ195" i="3"/>
  <c r="BA195" i="3"/>
  <c r="BB195" i="3"/>
  <c r="BC195" i="3"/>
  <c r="BD195" i="3"/>
  <c r="BE195" i="3"/>
  <c r="BF195" i="3"/>
  <c r="BG195" i="3"/>
  <c r="BH195" i="3"/>
  <c r="BI195" i="3"/>
  <c r="BJ195" i="3"/>
  <c r="BK195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T196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AL196" i="3"/>
  <c r="AM196" i="3"/>
  <c r="AN196" i="3"/>
  <c r="AO196" i="3"/>
  <c r="AP196" i="3"/>
  <c r="AQ196" i="3"/>
  <c r="AR196" i="3"/>
  <c r="AS196" i="3"/>
  <c r="AT196" i="3"/>
  <c r="AU196" i="3"/>
  <c r="AV196" i="3"/>
  <c r="AW196" i="3"/>
  <c r="AX196" i="3"/>
  <c r="AY196" i="3"/>
  <c r="AZ196" i="3"/>
  <c r="BA196" i="3"/>
  <c r="BB196" i="3"/>
  <c r="BC196" i="3"/>
  <c r="BD196" i="3"/>
  <c r="BE196" i="3"/>
  <c r="BF196" i="3"/>
  <c r="BG196" i="3"/>
  <c r="BH196" i="3"/>
  <c r="BI196" i="3"/>
  <c r="BJ196" i="3"/>
  <c r="BK196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T197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AL197" i="3"/>
  <c r="AM197" i="3"/>
  <c r="AN197" i="3"/>
  <c r="AO197" i="3"/>
  <c r="AP197" i="3"/>
  <c r="AQ197" i="3"/>
  <c r="AR197" i="3"/>
  <c r="AS197" i="3"/>
  <c r="AT197" i="3"/>
  <c r="AU197" i="3"/>
  <c r="AV197" i="3"/>
  <c r="AW197" i="3"/>
  <c r="AX197" i="3"/>
  <c r="AY197" i="3"/>
  <c r="AZ197" i="3"/>
  <c r="BA197" i="3"/>
  <c r="BB197" i="3"/>
  <c r="BC197" i="3"/>
  <c r="BD197" i="3"/>
  <c r="BE197" i="3"/>
  <c r="BF197" i="3"/>
  <c r="BG197" i="3"/>
  <c r="BH197" i="3"/>
  <c r="BI197" i="3"/>
  <c r="BJ197" i="3"/>
  <c r="BK197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T198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W198" i="3"/>
  <c r="AX198" i="3"/>
  <c r="AY198" i="3"/>
  <c r="AZ198" i="3"/>
  <c r="BA198" i="3"/>
  <c r="BB198" i="3"/>
  <c r="BC198" i="3"/>
  <c r="BD198" i="3"/>
  <c r="BE198" i="3"/>
  <c r="BF198" i="3"/>
  <c r="BG198" i="3"/>
  <c r="BH198" i="3"/>
  <c r="BI198" i="3"/>
  <c r="BJ198" i="3"/>
  <c r="BK198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T199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AL199" i="3"/>
  <c r="AM199" i="3"/>
  <c r="AN199" i="3"/>
  <c r="AO199" i="3"/>
  <c r="AP199" i="3"/>
  <c r="AQ199" i="3"/>
  <c r="AR199" i="3"/>
  <c r="AS199" i="3"/>
  <c r="AT199" i="3"/>
  <c r="AU199" i="3"/>
  <c r="AV199" i="3"/>
  <c r="AW199" i="3"/>
  <c r="AX199" i="3"/>
  <c r="AY199" i="3"/>
  <c r="AZ199" i="3"/>
  <c r="BA199" i="3"/>
  <c r="BB199" i="3"/>
  <c r="BC199" i="3"/>
  <c r="BD199" i="3"/>
  <c r="BE199" i="3"/>
  <c r="BF199" i="3"/>
  <c r="BG199" i="3"/>
  <c r="BH199" i="3"/>
  <c r="BI199" i="3"/>
  <c r="BJ199" i="3"/>
  <c r="BK199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T200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AL200" i="3"/>
  <c r="AM200" i="3"/>
  <c r="AN200" i="3"/>
  <c r="AO200" i="3"/>
  <c r="AP200" i="3"/>
  <c r="AQ200" i="3"/>
  <c r="AR200" i="3"/>
  <c r="AS200" i="3"/>
  <c r="AT200" i="3"/>
  <c r="AU200" i="3"/>
  <c r="AV200" i="3"/>
  <c r="AW200" i="3"/>
  <c r="AX200" i="3"/>
  <c r="AY200" i="3"/>
  <c r="AZ200" i="3"/>
  <c r="BA200" i="3"/>
  <c r="BB200" i="3"/>
  <c r="BC200" i="3"/>
  <c r="BD200" i="3"/>
  <c r="BE200" i="3"/>
  <c r="BF200" i="3"/>
  <c r="BG200" i="3"/>
  <c r="BH200" i="3"/>
  <c r="BI200" i="3"/>
  <c r="BJ200" i="3"/>
  <c r="BK200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T201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AW201" i="3"/>
  <c r="AX201" i="3"/>
  <c r="AY201" i="3"/>
  <c r="AZ201" i="3"/>
  <c r="BA201" i="3"/>
  <c r="BB201" i="3"/>
  <c r="BC201" i="3"/>
  <c r="BD201" i="3"/>
  <c r="BE201" i="3"/>
  <c r="BF201" i="3"/>
  <c r="BG201" i="3"/>
  <c r="BH201" i="3"/>
  <c r="BI201" i="3"/>
  <c r="BJ201" i="3"/>
  <c r="BK201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T202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AL202" i="3"/>
  <c r="AM202" i="3"/>
  <c r="AN202" i="3"/>
  <c r="AO202" i="3"/>
  <c r="AP202" i="3"/>
  <c r="AQ202" i="3"/>
  <c r="AR202" i="3"/>
  <c r="AS202" i="3"/>
  <c r="AT202" i="3"/>
  <c r="AU202" i="3"/>
  <c r="AV202" i="3"/>
  <c r="AW202" i="3"/>
  <c r="AX202" i="3"/>
  <c r="AY202" i="3"/>
  <c r="AZ202" i="3"/>
  <c r="BA202" i="3"/>
  <c r="BB202" i="3"/>
  <c r="BC202" i="3"/>
  <c r="BD202" i="3"/>
  <c r="BE202" i="3"/>
  <c r="BF202" i="3"/>
  <c r="BG202" i="3"/>
  <c r="BH202" i="3"/>
  <c r="BI202" i="3"/>
  <c r="BJ202" i="3"/>
  <c r="BK202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T203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AL203" i="3"/>
  <c r="AM203" i="3"/>
  <c r="AN203" i="3"/>
  <c r="AO203" i="3"/>
  <c r="AP203" i="3"/>
  <c r="AQ203" i="3"/>
  <c r="AR203" i="3"/>
  <c r="AS203" i="3"/>
  <c r="AT203" i="3"/>
  <c r="AU203" i="3"/>
  <c r="AV203" i="3"/>
  <c r="AW203" i="3"/>
  <c r="AX203" i="3"/>
  <c r="AY203" i="3"/>
  <c r="AZ203" i="3"/>
  <c r="BA203" i="3"/>
  <c r="BB203" i="3"/>
  <c r="BC203" i="3"/>
  <c r="BD203" i="3"/>
  <c r="BE203" i="3"/>
  <c r="BF203" i="3"/>
  <c r="BG203" i="3"/>
  <c r="BH203" i="3"/>
  <c r="BI203" i="3"/>
  <c r="BJ203" i="3"/>
  <c r="BK203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T204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AL204" i="3"/>
  <c r="AM204" i="3"/>
  <c r="AN204" i="3"/>
  <c r="AO204" i="3"/>
  <c r="AP204" i="3"/>
  <c r="AQ204" i="3"/>
  <c r="AR204" i="3"/>
  <c r="AS204" i="3"/>
  <c r="AT204" i="3"/>
  <c r="AU204" i="3"/>
  <c r="AV204" i="3"/>
  <c r="AW204" i="3"/>
  <c r="AX204" i="3"/>
  <c r="AY204" i="3"/>
  <c r="AZ204" i="3"/>
  <c r="BA204" i="3"/>
  <c r="BB204" i="3"/>
  <c r="BC204" i="3"/>
  <c r="BD204" i="3"/>
  <c r="BE204" i="3"/>
  <c r="BF204" i="3"/>
  <c r="BG204" i="3"/>
  <c r="BH204" i="3"/>
  <c r="BI204" i="3"/>
  <c r="BJ204" i="3"/>
  <c r="BK204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P205" i="3"/>
  <c r="Q205" i="3"/>
  <c r="R205" i="3"/>
  <c r="S205" i="3"/>
  <c r="T205" i="3"/>
  <c r="U205" i="3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K205" i="3"/>
  <c r="AL205" i="3"/>
  <c r="AM205" i="3"/>
  <c r="AN205" i="3"/>
  <c r="AO205" i="3"/>
  <c r="AP205" i="3"/>
  <c r="AQ205" i="3"/>
  <c r="AR205" i="3"/>
  <c r="AS205" i="3"/>
  <c r="AT205" i="3"/>
  <c r="AU205" i="3"/>
  <c r="AV205" i="3"/>
  <c r="AW205" i="3"/>
  <c r="AX205" i="3"/>
  <c r="AY205" i="3"/>
  <c r="AZ205" i="3"/>
  <c r="BA205" i="3"/>
  <c r="BB205" i="3"/>
  <c r="BC205" i="3"/>
  <c r="BD205" i="3"/>
  <c r="BE205" i="3"/>
  <c r="BF205" i="3"/>
  <c r="BG205" i="3"/>
  <c r="BH205" i="3"/>
  <c r="BI205" i="3"/>
  <c r="BJ205" i="3"/>
  <c r="BK205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P206" i="3"/>
  <c r="Q206" i="3"/>
  <c r="R206" i="3"/>
  <c r="S206" i="3"/>
  <c r="T206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K206" i="3"/>
  <c r="AL206" i="3"/>
  <c r="AM206" i="3"/>
  <c r="AN206" i="3"/>
  <c r="AO206" i="3"/>
  <c r="AP206" i="3"/>
  <c r="AQ206" i="3"/>
  <c r="AR206" i="3"/>
  <c r="AS206" i="3"/>
  <c r="AT206" i="3"/>
  <c r="AU206" i="3"/>
  <c r="AV206" i="3"/>
  <c r="AW206" i="3"/>
  <c r="AX206" i="3"/>
  <c r="AY206" i="3"/>
  <c r="AZ206" i="3"/>
  <c r="BA206" i="3"/>
  <c r="BB206" i="3"/>
  <c r="BC206" i="3"/>
  <c r="BD206" i="3"/>
  <c r="BE206" i="3"/>
  <c r="BF206" i="3"/>
  <c r="BG206" i="3"/>
  <c r="BH206" i="3"/>
  <c r="BI206" i="3"/>
  <c r="BJ206" i="3"/>
  <c r="BK206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P207" i="3"/>
  <c r="Q207" i="3"/>
  <c r="R207" i="3"/>
  <c r="S207" i="3"/>
  <c r="T207" i="3"/>
  <c r="U207" i="3"/>
  <c r="V207" i="3"/>
  <c r="W207" i="3"/>
  <c r="X207" i="3"/>
  <c r="Y207" i="3"/>
  <c r="Z207" i="3"/>
  <c r="AA207" i="3"/>
  <c r="AB207" i="3"/>
  <c r="AC207" i="3"/>
  <c r="AD207" i="3"/>
  <c r="AE207" i="3"/>
  <c r="AF207" i="3"/>
  <c r="AG207" i="3"/>
  <c r="AH207" i="3"/>
  <c r="AI207" i="3"/>
  <c r="AJ207" i="3"/>
  <c r="AK207" i="3"/>
  <c r="AL207" i="3"/>
  <c r="AM207" i="3"/>
  <c r="AN207" i="3"/>
  <c r="AO207" i="3"/>
  <c r="AP207" i="3"/>
  <c r="AQ207" i="3"/>
  <c r="AR207" i="3"/>
  <c r="AS207" i="3"/>
  <c r="AT207" i="3"/>
  <c r="AU207" i="3"/>
  <c r="AV207" i="3"/>
  <c r="AW207" i="3"/>
  <c r="AX207" i="3"/>
  <c r="AY207" i="3"/>
  <c r="AZ207" i="3"/>
  <c r="BA207" i="3"/>
  <c r="BB207" i="3"/>
  <c r="BC207" i="3"/>
  <c r="BD207" i="3"/>
  <c r="BE207" i="3"/>
  <c r="BF207" i="3"/>
  <c r="BG207" i="3"/>
  <c r="BH207" i="3"/>
  <c r="BI207" i="3"/>
  <c r="BJ207" i="3"/>
  <c r="BK207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R208" i="3"/>
  <c r="S208" i="3"/>
  <c r="T208" i="3"/>
  <c r="U208" i="3"/>
  <c r="V208" i="3"/>
  <c r="W208" i="3"/>
  <c r="X208" i="3"/>
  <c r="Y208" i="3"/>
  <c r="Z208" i="3"/>
  <c r="AA208" i="3"/>
  <c r="AB208" i="3"/>
  <c r="AC208" i="3"/>
  <c r="AD208" i="3"/>
  <c r="AE208" i="3"/>
  <c r="AF208" i="3"/>
  <c r="AG208" i="3"/>
  <c r="AH208" i="3"/>
  <c r="AI208" i="3"/>
  <c r="AJ208" i="3"/>
  <c r="AK208" i="3"/>
  <c r="AL208" i="3"/>
  <c r="AM208" i="3"/>
  <c r="AN208" i="3"/>
  <c r="AO208" i="3"/>
  <c r="AP208" i="3"/>
  <c r="AQ208" i="3"/>
  <c r="AR208" i="3"/>
  <c r="AS208" i="3"/>
  <c r="AT208" i="3"/>
  <c r="AU208" i="3"/>
  <c r="AV208" i="3"/>
  <c r="AW208" i="3"/>
  <c r="AX208" i="3"/>
  <c r="AY208" i="3"/>
  <c r="AZ208" i="3"/>
  <c r="BA208" i="3"/>
  <c r="BB208" i="3"/>
  <c r="BC208" i="3"/>
  <c r="BD208" i="3"/>
  <c r="BE208" i="3"/>
  <c r="BF208" i="3"/>
  <c r="BG208" i="3"/>
  <c r="BH208" i="3"/>
  <c r="BI208" i="3"/>
  <c r="BJ208" i="3"/>
  <c r="BK208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R209" i="3"/>
  <c r="S209" i="3"/>
  <c r="T209" i="3"/>
  <c r="U209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AJ209" i="3"/>
  <c r="AK209" i="3"/>
  <c r="AL209" i="3"/>
  <c r="AM209" i="3"/>
  <c r="AN209" i="3"/>
  <c r="AO209" i="3"/>
  <c r="AP209" i="3"/>
  <c r="AQ209" i="3"/>
  <c r="AR209" i="3"/>
  <c r="AS209" i="3"/>
  <c r="AT209" i="3"/>
  <c r="AU209" i="3"/>
  <c r="AV209" i="3"/>
  <c r="AW209" i="3"/>
  <c r="AX209" i="3"/>
  <c r="AY209" i="3"/>
  <c r="AZ209" i="3"/>
  <c r="BA209" i="3"/>
  <c r="BB209" i="3"/>
  <c r="BC209" i="3"/>
  <c r="BD209" i="3"/>
  <c r="BE209" i="3"/>
  <c r="BF209" i="3"/>
  <c r="BG209" i="3"/>
  <c r="BH209" i="3"/>
  <c r="BI209" i="3"/>
  <c r="BJ209" i="3"/>
  <c r="BK209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P210" i="3"/>
  <c r="Q210" i="3"/>
  <c r="R210" i="3"/>
  <c r="S210" i="3"/>
  <c r="T210" i="3"/>
  <c r="U210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AJ210" i="3"/>
  <c r="AK210" i="3"/>
  <c r="AL210" i="3"/>
  <c r="AM210" i="3"/>
  <c r="AN210" i="3"/>
  <c r="AO210" i="3"/>
  <c r="AP210" i="3"/>
  <c r="AQ210" i="3"/>
  <c r="AR210" i="3"/>
  <c r="AS210" i="3"/>
  <c r="AT210" i="3"/>
  <c r="AU210" i="3"/>
  <c r="AV210" i="3"/>
  <c r="AW210" i="3"/>
  <c r="AX210" i="3"/>
  <c r="AY210" i="3"/>
  <c r="AZ210" i="3"/>
  <c r="BA210" i="3"/>
  <c r="BB210" i="3"/>
  <c r="BC210" i="3"/>
  <c r="BD210" i="3"/>
  <c r="BE210" i="3"/>
  <c r="BF210" i="3"/>
  <c r="BG210" i="3"/>
  <c r="BH210" i="3"/>
  <c r="BI210" i="3"/>
  <c r="BJ210" i="3"/>
  <c r="BK210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R211" i="3"/>
  <c r="S211" i="3"/>
  <c r="T211" i="3"/>
  <c r="U211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AJ211" i="3"/>
  <c r="AK211" i="3"/>
  <c r="AL211" i="3"/>
  <c r="AM211" i="3"/>
  <c r="AN211" i="3"/>
  <c r="AO211" i="3"/>
  <c r="AP211" i="3"/>
  <c r="AQ211" i="3"/>
  <c r="AR211" i="3"/>
  <c r="AS211" i="3"/>
  <c r="AT211" i="3"/>
  <c r="AU211" i="3"/>
  <c r="AV211" i="3"/>
  <c r="AW211" i="3"/>
  <c r="AX211" i="3"/>
  <c r="AY211" i="3"/>
  <c r="AZ211" i="3"/>
  <c r="BA211" i="3"/>
  <c r="BB211" i="3"/>
  <c r="BC211" i="3"/>
  <c r="BD211" i="3"/>
  <c r="BE211" i="3"/>
  <c r="BF211" i="3"/>
  <c r="BG211" i="3"/>
  <c r="BH211" i="3"/>
  <c r="BI211" i="3"/>
  <c r="BJ211" i="3"/>
  <c r="BK211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T212" i="3"/>
  <c r="U212" i="3"/>
  <c r="V212" i="3"/>
  <c r="W212" i="3"/>
  <c r="X212" i="3"/>
  <c r="Y212" i="3"/>
  <c r="Z212" i="3"/>
  <c r="AA212" i="3"/>
  <c r="AB212" i="3"/>
  <c r="AC212" i="3"/>
  <c r="AD212" i="3"/>
  <c r="AE212" i="3"/>
  <c r="AF212" i="3"/>
  <c r="AG212" i="3"/>
  <c r="AH212" i="3"/>
  <c r="AI212" i="3"/>
  <c r="AJ212" i="3"/>
  <c r="AK212" i="3"/>
  <c r="AL212" i="3"/>
  <c r="AM212" i="3"/>
  <c r="AN212" i="3"/>
  <c r="AO212" i="3"/>
  <c r="AP212" i="3"/>
  <c r="AQ212" i="3"/>
  <c r="AR212" i="3"/>
  <c r="AS212" i="3"/>
  <c r="AT212" i="3"/>
  <c r="AU212" i="3"/>
  <c r="AV212" i="3"/>
  <c r="AW212" i="3"/>
  <c r="AX212" i="3"/>
  <c r="AY212" i="3"/>
  <c r="AZ212" i="3"/>
  <c r="BA212" i="3"/>
  <c r="BB212" i="3"/>
  <c r="BC212" i="3"/>
  <c r="BD212" i="3"/>
  <c r="BE212" i="3"/>
  <c r="BF212" i="3"/>
  <c r="BG212" i="3"/>
  <c r="BH212" i="3"/>
  <c r="BI212" i="3"/>
  <c r="BJ212" i="3"/>
  <c r="BK212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T213" i="3"/>
  <c r="U213" i="3"/>
  <c r="V213" i="3"/>
  <c r="W213" i="3"/>
  <c r="X213" i="3"/>
  <c r="Y213" i="3"/>
  <c r="Z213" i="3"/>
  <c r="AA213" i="3"/>
  <c r="AB213" i="3"/>
  <c r="AC213" i="3"/>
  <c r="AD213" i="3"/>
  <c r="AE213" i="3"/>
  <c r="AF213" i="3"/>
  <c r="AG213" i="3"/>
  <c r="AH213" i="3"/>
  <c r="AI213" i="3"/>
  <c r="AJ213" i="3"/>
  <c r="AK213" i="3"/>
  <c r="AL213" i="3"/>
  <c r="AM213" i="3"/>
  <c r="AN213" i="3"/>
  <c r="AO213" i="3"/>
  <c r="AP213" i="3"/>
  <c r="AQ213" i="3"/>
  <c r="AR213" i="3"/>
  <c r="AS213" i="3"/>
  <c r="AT213" i="3"/>
  <c r="AU213" i="3"/>
  <c r="AV213" i="3"/>
  <c r="AW213" i="3"/>
  <c r="AX213" i="3"/>
  <c r="AY213" i="3"/>
  <c r="AZ213" i="3"/>
  <c r="BA213" i="3"/>
  <c r="BB213" i="3"/>
  <c r="BC213" i="3"/>
  <c r="BD213" i="3"/>
  <c r="BE213" i="3"/>
  <c r="BF213" i="3"/>
  <c r="BG213" i="3"/>
  <c r="BH213" i="3"/>
  <c r="BI213" i="3"/>
  <c r="BJ213" i="3"/>
  <c r="BK213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P214" i="3"/>
  <c r="Q214" i="3"/>
  <c r="R214" i="3"/>
  <c r="S214" i="3"/>
  <c r="T214" i="3"/>
  <c r="U214" i="3"/>
  <c r="V214" i="3"/>
  <c r="W214" i="3"/>
  <c r="X214" i="3"/>
  <c r="Y214" i="3"/>
  <c r="Z214" i="3"/>
  <c r="AA214" i="3"/>
  <c r="AB214" i="3"/>
  <c r="AC214" i="3"/>
  <c r="AD214" i="3"/>
  <c r="AE214" i="3"/>
  <c r="AF214" i="3"/>
  <c r="AG214" i="3"/>
  <c r="AH214" i="3"/>
  <c r="AI214" i="3"/>
  <c r="AJ214" i="3"/>
  <c r="AK214" i="3"/>
  <c r="AL214" i="3"/>
  <c r="AM214" i="3"/>
  <c r="AN214" i="3"/>
  <c r="AO214" i="3"/>
  <c r="AP214" i="3"/>
  <c r="AQ214" i="3"/>
  <c r="AR214" i="3"/>
  <c r="AS214" i="3"/>
  <c r="AT214" i="3"/>
  <c r="AU214" i="3"/>
  <c r="AV214" i="3"/>
  <c r="AW214" i="3"/>
  <c r="AX214" i="3"/>
  <c r="AY214" i="3"/>
  <c r="AZ214" i="3"/>
  <c r="BA214" i="3"/>
  <c r="BB214" i="3"/>
  <c r="BC214" i="3"/>
  <c r="BD214" i="3"/>
  <c r="BE214" i="3"/>
  <c r="BF214" i="3"/>
  <c r="BG214" i="3"/>
  <c r="BH214" i="3"/>
  <c r="BI214" i="3"/>
  <c r="BJ214" i="3"/>
  <c r="BK214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P215" i="3"/>
  <c r="Q215" i="3"/>
  <c r="R215" i="3"/>
  <c r="S215" i="3"/>
  <c r="T215" i="3"/>
  <c r="U215" i="3"/>
  <c r="V215" i="3"/>
  <c r="W215" i="3"/>
  <c r="X215" i="3"/>
  <c r="Y215" i="3"/>
  <c r="Z215" i="3"/>
  <c r="AA215" i="3"/>
  <c r="AB215" i="3"/>
  <c r="AC215" i="3"/>
  <c r="AD215" i="3"/>
  <c r="AE215" i="3"/>
  <c r="AF215" i="3"/>
  <c r="AG215" i="3"/>
  <c r="AH215" i="3"/>
  <c r="AI215" i="3"/>
  <c r="AJ215" i="3"/>
  <c r="AK215" i="3"/>
  <c r="AL215" i="3"/>
  <c r="AM215" i="3"/>
  <c r="AN215" i="3"/>
  <c r="AO215" i="3"/>
  <c r="AP215" i="3"/>
  <c r="AQ215" i="3"/>
  <c r="AR215" i="3"/>
  <c r="AS215" i="3"/>
  <c r="AT215" i="3"/>
  <c r="AU215" i="3"/>
  <c r="AV215" i="3"/>
  <c r="AW215" i="3"/>
  <c r="AX215" i="3"/>
  <c r="AY215" i="3"/>
  <c r="AZ215" i="3"/>
  <c r="BA215" i="3"/>
  <c r="BB215" i="3"/>
  <c r="BC215" i="3"/>
  <c r="BD215" i="3"/>
  <c r="BE215" i="3"/>
  <c r="BF215" i="3"/>
  <c r="BG215" i="3"/>
  <c r="BH215" i="3"/>
  <c r="BI215" i="3"/>
  <c r="BJ215" i="3"/>
  <c r="BK215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T216" i="3"/>
  <c r="U216" i="3"/>
  <c r="V216" i="3"/>
  <c r="W216" i="3"/>
  <c r="X216" i="3"/>
  <c r="Y216" i="3"/>
  <c r="Z216" i="3"/>
  <c r="AA216" i="3"/>
  <c r="AB216" i="3"/>
  <c r="AC216" i="3"/>
  <c r="AD216" i="3"/>
  <c r="AE216" i="3"/>
  <c r="AF216" i="3"/>
  <c r="AG216" i="3"/>
  <c r="AH216" i="3"/>
  <c r="AI216" i="3"/>
  <c r="AJ216" i="3"/>
  <c r="AK216" i="3"/>
  <c r="AL216" i="3"/>
  <c r="AM216" i="3"/>
  <c r="AN216" i="3"/>
  <c r="AO216" i="3"/>
  <c r="AP216" i="3"/>
  <c r="AQ216" i="3"/>
  <c r="AR216" i="3"/>
  <c r="AS216" i="3"/>
  <c r="AT216" i="3"/>
  <c r="AU216" i="3"/>
  <c r="AV216" i="3"/>
  <c r="AW216" i="3"/>
  <c r="AX216" i="3"/>
  <c r="AY216" i="3"/>
  <c r="AZ216" i="3"/>
  <c r="BA216" i="3"/>
  <c r="BB216" i="3"/>
  <c r="BC216" i="3"/>
  <c r="BD216" i="3"/>
  <c r="BE216" i="3"/>
  <c r="BF216" i="3"/>
  <c r="BG216" i="3"/>
  <c r="BH216" i="3"/>
  <c r="BI216" i="3"/>
  <c r="BJ216" i="3"/>
  <c r="BK216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T217" i="3"/>
  <c r="U217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AJ217" i="3"/>
  <c r="AK217" i="3"/>
  <c r="AL217" i="3"/>
  <c r="AM217" i="3"/>
  <c r="AN217" i="3"/>
  <c r="AO217" i="3"/>
  <c r="AP217" i="3"/>
  <c r="AQ217" i="3"/>
  <c r="AR217" i="3"/>
  <c r="AS217" i="3"/>
  <c r="AT217" i="3"/>
  <c r="AU217" i="3"/>
  <c r="AV217" i="3"/>
  <c r="AW217" i="3"/>
  <c r="AX217" i="3"/>
  <c r="AY217" i="3"/>
  <c r="AZ217" i="3"/>
  <c r="BA217" i="3"/>
  <c r="BB217" i="3"/>
  <c r="BC217" i="3"/>
  <c r="BD217" i="3"/>
  <c r="BE217" i="3"/>
  <c r="BF217" i="3"/>
  <c r="BG217" i="3"/>
  <c r="BH217" i="3"/>
  <c r="BI217" i="3"/>
  <c r="BJ217" i="3"/>
  <c r="BK217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P218" i="3"/>
  <c r="Q218" i="3"/>
  <c r="R218" i="3"/>
  <c r="S218" i="3"/>
  <c r="T218" i="3"/>
  <c r="U218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AJ218" i="3"/>
  <c r="AK218" i="3"/>
  <c r="AL218" i="3"/>
  <c r="AM218" i="3"/>
  <c r="AN218" i="3"/>
  <c r="AO218" i="3"/>
  <c r="AP218" i="3"/>
  <c r="AQ218" i="3"/>
  <c r="AR218" i="3"/>
  <c r="AS218" i="3"/>
  <c r="AT218" i="3"/>
  <c r="AU218" i="3"/>
  <c r="AV218" i="3"/>
  <c r="AW218" i="3"/>
  <c r="AX218" i="3"/>
  <c r="AY218" i="3"/>
  <c r="AZ218" i="3"/>
  <c r="BA218" i="3"/>
  <c r="BB218" i="3"/>
  <c r="BC218" i="3"/>
  <c r="BD218" i="3"/>
  <c r="BE218" i="3"/>
  <c r="BF218" i="3"/>
  <c r="BG218" i="3"/>
  <c r="BH218" i="3"/>
  <c r="BI218" i="3"/>
  <c r="BJ218" i="3"/>
  <c r="BK218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P219" i="3"/>
  <c r="Q219" i="3"/>
  <c r="R219" i="3"/>
  <c r="S219" i="3"/>
  <c r="T219" i="3"/>
  <c r="U219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AJ219" i="3"/>
  <c r="AK219" i="3"/>
  <c r="AL219" i="3"/>
  <c r="AM219" i="3"/>
  <c r="AN219" i="3"/>
  <c r="AO219" i="3"/>
  <c r="AP219" i="3"/>
  <c r="AQ219" i="3"/>
  <c r="AR219" i="3"/>
  <c r="AS219" i="3"/>
  <c r="AT219" i="3"/>
  <c r="AU219" i="3"/>
  <c r="AV219" i="3"/>
  <c r="AW219" i="3"/>
  <c r="AX219" i="3"/>
  <c r="AY219" i="3"/>
  <c r="AZ219" i="3"/>
  <c r="BA219" i="3"/>
  <c r="BB219" i="3"/>
  <c r="BC219" i="3"/>
  <c r="BD219" i="3"/>
  <c r="BE219" i="3"/>
  <c r="BF219" i="3"/>
  <c r="BG219" i="3"/>
  <c r="BH219" i="3"/>
  <c r="BI219" i="3"/>
  <c r="BJ219" i="3"/>
  <c r="BK219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R220" i="3"/>
  <c r="S220" i="3"/>
  <c r="T220" i="3"/>
  <c r="U220" i="3"/>
  <c r="V220" i="3"/>
  <c r="W220" i="3"/>
  <c r="X220" i="3"/>
  <c r="Y220" i="3"/>
  <c r="Z220" i="3"/>
  <c r="AA220" i="3"/>
  <c r="AB220" i="3"/>
  <c r="AC220" i="3"/>
  <c r="AD220" i="3"/>
  <c r="AE220" i="3"/>
  <c r="AF220" i="3"/>
  <c r="AG220" i="3"/>
  <c r="AH220" i="3"/>
  <c r="AI220" i="3"/>
  <c r="AJ220" i="3"/>
  <c r="AK220" i="3"/>
  <c r="AL220" i="3"/>
  <c r="AM220" i="3"/>
  <c r="AN220" i="3"/>
  <c r="AO220" i="3"/>
  <c r="AP220" i="3"/>
  <c r="AQ220" i="3"/>
  <c r="AR220" i="3"/>
  <c r="AS220" i="3"/>
  <c r="AT220" i="3"/>
  <c r="AU220" i="3"/>
  <c r="AV220" i="3"/>
  <c r="AW220" i="3"/>
  <c r="AX220" i="3"/>
  <c r="AY220" i="3"/>
  <c r="AZ220" i="3"/>
  <c r="BA220" i="3"/>
  <c r="BB220" i="3"/>
  <c r="BC220" i="3"/>
  <c r="BD220" i="3"/>
  <c r="BE220" i="3"/>
  <c r="BF220" i="3"/>
  <c r="BG220" i="3"/>
  <c r="BH220" i="3"/>
  <c r="BI220" i="3"/>
  <c r="BJ220" i="3"/>
  <c r="BK220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P221" i="3"/>
  <c r="Q221" i="3"/>
  <c r="R221" i="3"/>
  <c r="S221" i="3"/>
  <c r="T221" i="3"/>
  <c r="U221" i="3"/>
  <c r="V221" i="3"/>
  <c r="W221" i="3"/>
  <c r="X221" i="3"/>
  <c r="Y221" i="3"/>
  <c r="Z221" i="3"/>
  <c r="AA221" i="3"/>
  <c r="AB221" i="3"/>
  <c r="AC221" i="3"/>
  <c r="AD221" i="3"/>
  <c r="AE221" i="3"/>
  <c r="AF221" i="3"/>
  <c r="AG221" i="3"/>
  <c r="AH221" i="3"/>
  <c r="AI221" i="3"/>
  <c r="AJ221" i="3"/>
  <c r="AK221" i="3"/>
  <c r="AL221" i="3"/>
  <c r="AM221" i="3"/>
  <c r="AN221" i="3"/>
  <c r="AO221" i="3"/>
  <c r="AP221" i="3"/>
  <c r="AQ221" i="3"/>
  <c r="AR221" i="3"/>
  <c r="AS221" i="3"/>
  <c r="AT221" i="3"/>
  <c r="AU221" i="3"/>
  <c r="AV221" i="3"/>
  <c r="AW221" i="3"/>
  <c r="AX221" i="3"/>
  <c r="AY221" i="3"/>
  <c r="AZ221" i="3"/>
  <c r="BA221" i="3"/>
  <c r="BB221" i="3"/>
  <c r="BC221" i="3"/>
  <c r="BD221" i="3"/>
  <c r="BE221" i="3"/>
  <c r="BF221" i="3"/>
  <c r="BG221" i="3"/>
  <c r="BH221" i="3"/>
  <c r="BI221" i="3"/>
  <c r="BJ221" i="3"/>
  <c r="BK221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P222" i="3"/>
  <c r="Q222" i="3"/>
  <c r="R222" i="3"/>
  <c r="S222" i="3"/>
  <c r="T222" i="3"/>
  <c r="U222" i="3"/>
  <c r="V222" i="3"/>
  <c r="W222" i="3"/>
  <c r="X222" i="3"/>
  <c r="Y222" i="3"/>
  <c r="Z222" i="3"/>
  <c r="AA222" i="3"/>
  <c r="AB222" i="3"/>
  <c r="AC222" i="3"/>
  <c r="AD222" i="3"/>
  <c r="AE222" i="3"/>
  <c r="AF222" i="3"/>
  <c r="AG222" i="3"/>
  <c r="AH222" i="3"/>
  <c r="AI222" i="3"/>
  <c r="AJ222" i="3"/>
  <c r="AK222" i="3"/>
  <c r="AL222" i="3"/>
  <c r="AM222" i="3"/>
  <c r="AN222" i="3"/>
  <c r="AO222" i="3"/>
  <c r="AP222" i="3"/>
  <c r="AQ222" i="3"/>
  <c r="AR222" i="3"/>
  <c r="AS222" i="3"/>
  <c r="AT222" i="3"/>
  <c r="AU222" i="3"/>
  <c r="AV222" i="3"/>
  <c r="AW222" i="3"/>
  <c r="AX222" i="3"/>
  <c r="AY222" i="3"/>
  <c r="AZ222" i="3"/>
  <c r="BA222" i="3"/>
  <c r="BB222" i="3"/>
  <c r="BC222" i="3"/>
  <c r="BD222" i="3"/>
  <c r="BE222" i="3"/>
  <c r="BF222" i="3"/>
  <c r="BG222" i="3"/>
  <c r="BH222" i="3"/>
  <c r="BI222" i="3"/>
  <c r="BJ222" i="3"/>
  <c r="BK222" i="3"/>
  <c r="L4" i="3"/>
  <c r="X4" i="3"/>
  <c r="AM4" i="3"/>
  <c r="AR4" i="3"/>
  <c r="AS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H5" i="3"/>
  <c r="W5" i="3"/>
  <c r="Y5" i="3"/>
  <c r="AC5" i="3"/>
  <c r="AP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L6" i="3"/>
  <c r="R6" i="3"/>
  <c r="W6" i="3"/>
  <c r="AA6" i="3"/>
  <c r="AT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J7" i="3"/>
  <c r="O7" i="3"/>
  <c r="P7" i="3"/>
  <c r="Q7" i="3"/>
  <c r="R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E8" i="3"/>
  <c r="F8" i="3"/>
  <c r="M8" i="3"/>
  <c r="AA8" i="3"/>
  <c r="AL8" i="3"/>
  <c r="AN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F9" i="3"/>
  <c r="I9" i="3"/>
  <c r="S9" i="3"/>
  <c r="Z9" i="3"/>
  <c r="AL9" i="3"/>
  <c r="AQ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K10" i="3"/>
  <c r="AA10" i="3"/>
  <c r="AB10" i="3"/>
  <c r="AG10" i="3"/>
  <c r="AL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Q11" i="3"/>
  <c r="AF11" i="3"/>
  <c r="AH11" i="3"/>
  <c r="AI11" i="3"/>
  <c r="AT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N12" i="3"/>
  <c r="Q12" i="3"/>
  <c r="U12" i="3"/>
  <c r="AE12" i="3"/>
  <c r="AR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Q13" i="3"/>
  <c r="U13" i="3"/>
  <c r="AD13" i="3"/>
  <c r="AQ13" i="3"/>
  <c r="AS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D14" i="3"/>
  <c r="N14" i="3"/>
  <c r="S14" i="3"/>
  <c r="AL14" i="3"/>
  <c r="AT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E15" i="3"/>
  <c r="N15" i="3"/>
  <c r="X15" i="3"/>
  <c r="AC15" i="3"/>
  <c r="AQ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Q16" i="3"/>
  <c r="V16" i="3"/>
  <c r="Z16" i="3"/>
  <c r="AC16" i="3"/>
  <c r="AE16" i="3"/>
  <c r="AP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M17" i="3"/>
  <c r="S17" i="3"/>
  <c r="AA17" i="3"/>
  <c r="AJ17" i="3"/>
  <c r="AO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G18" i="3"/>
  <c r="U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F3" i="3"/>
  <c r="I3" i="3"/>
  <c r="AH3" i="3"/>
  <c r="AS3" i="3"/>
  <c r="AT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C3" i="6"/>
  <c r="C4" i="6"/>
  <c r="D235" i="6"/>
  <c r="AI62" i="13" l="1"/>
  <c r="AI54" i="13"/>
  <c r="AI46" i="13"/>
  <c r="AI38" i="13"/>
  <c r="AI30" i="13"/>
  <c r="AI26" i="13"/>
  <c r="AI13" i="13"/>
  <c r="AF195" i="13"/>
  <c r="AF231" i="13"/>
  <c r="AF227" i="13"/>
  <c r="AF223" i="13"/>
  <c r="AF219" i="13"/>
  <c r="AF215" i="13"/>
  <c r="AF211" i="13"/>
  <c r="AF207" i="13"/>
  <c r="AF203" i="13"/>
  <c r="AF199" i="13"/>
  <c r="AF179" i="13"/>
  <c r="AF163" i="13"/>
  <c r="AF147" i="13"/>
  <c r="AF131" i="13"/>
  <c r="AF115" i="13"/>
  <c r="AF99" i="13"/>
  <c r="AF83" i="13"/>
  <c r="A230" i="13"/>
  <c r="AI230" i="13"/>
  <c r="AK230" i="13"/>
  <c r="AF230" i="13"/>
  <c r="AH230" i="13"/>
  <c r="AD230" i="13"/>
  <c r="AE230" i="13"/>
  <c r="A226" i="13"/>
  <c r="AI226" i="13"/>
  <c r="AK226" i="13"/>
  <c r="AF226" i="13"/>
  <c r="AD226" i="13"/>
  <c r="AH226" i="13"/>
  <c r="AE226" i="13"/>
  <c r="A222" i="13"/>
  <c r="AI222" i="13"/>
  <c r="AK222" i="13"/>
  <c r="AF222" i="13"/>
  <c r="AH222" i="13"/>
  <c r="AD222" i="13"/>
  <c r="AE222" i="13"/>
  <c r="A218" i="13"/>
  <c r="AI218" i="13"/>
  <c r="AK218" i="13"/>
  <c r="AF218" i="13"/>
  <c r="AD218" i="13"/>
  <c r="AH218" i="13"/>
  <c r="AE218" i="13"/>
  <c r="A214" i="13"/>
  <c r="AI214" i="13"/>
  <c r="AK214" i="13"/>
  <c r="AF214" i="13"/>
  <c r="AH214" i="13"/>
  <c r="AD214" i="13"/>
  <c r="AE214" i="13"/>
  <c r="A210" i="13"/>
  <c r="AI210" i="13"/>
  <c r="AK210" i="13"/>
  <c r="AH210" i="13"/>
  <c r="AF210" i="13"/>
  <c r="AD210" i="13"/>
  <c r="AE210" i="13"/>
  <c r="A206" i="13"/>
  <c r="AI206" i="13"/>
  <c r="AK206" i="13"/>
  <c r="AH206" i="13"/>
  <c r="AF206" i="13"/>
  <c r="AD206" i="13"/>
  <c r="AE206" i="13"/>
  <c r="A202" i="13"/>
  <c r="AI202" i="13"/>
  <c r="AK202" i="13"/>
  <c r="AH202" i="13"/>
  <c r="AF202" i="13"/>
  <c r="AD202" i="13"/>
  <c r="AE202" i="13"/>
  <c r="A198" i="13"/>
  <c r="AI198" i="13"/>
  <c r="AK198" i="13"/>
  <c r="AH198" i="13"/>
  <c r="AF198" i="13"/>
  <c r="AD198" i="13"/>
  <c r="AE198" i="13"/>
  <c r="A194" i="13"/>
  <c r="AI194" i="13"/>
  <c r="AK194" i="13"/>
  <c r="AD194" i="13"/>
  <c r="AH194" i="13"/>
  <c r="A190" i="13"/>
  <c r="AI190" i="13"/>
  <c r="AK190" i="13"/>
  <c r="AD190" i="13"/>
  <c r="AH190" i="13"/>
  <c r="A186" i="13"/>
  <c r="AI186" i="13"/>
  <c r="AK186" i="13"/>
  <c r="AD186" i="13"/>
  <c r="AH186" i="13"/>
  <c r="A182" i="13"/>
  <c r="AI182" i="13"/>
  <c r="AK182" i="13"/>
  <c r="AD182" i="13"/>
  <c r="AH182" i="13"/>
  <c r="A178" i="13"/>
  <c r="AI178" i="13"/>
  <c r="AK178" i="13"/>
  <c r="AD178" i="13"/>
  <c r="AH178" i="13"/>
  <c r="A174" i="13"/>
  <c r="AI174" i="13"/>
  <c r="AK174" i="13"/>
  <c r="AD174" i="13"/>
  <c r="AH174" i="13"/>
  <c r="A170" i="13"/>
  <c r="AI170" i="13"/>
  <c r="AK170" i="13"/>
  <c r="AD170" i="13"/>
  <c r="AH170" i="13"/>
  <c r="A166" i="13"/>
  <c r="AI166" i="13"/>
  <c r="AK166" i="13"/>
  <c r="AD166" i="13"/>
  <c r="AH166" i="13"/>
  <c r="A162" i="13"/>
  <c r="AI162" i="13"/>
  <c r="AK162" i="13"/>
  <c r="AD162" i="13"/>
  <c r="AH162" i="13"/>
  <c r="A158" i="13"/>
  <c r="AI158" i="13"/>
  <c r="AK158" i="13"/>
  <c r="AD158" i="13"/>
  <c r="AH158" i="13"/>
  <c r="A154" i="13"/>
  <c r="AI154" i="13"/>
  <c r="AK154" i="13"/>
  <c r="AD154" i="13"/>
  <c r="AH154" i="13"/>
  <c r="A150" i="13"/>
  <c r="AH150" i="13"/>
  <c r="AI150" i="13"/>
  <c r="AK150" i="13"/>
  <c r="AD150" i="13"/>
  <c r="A146" i="13"/>
  <c r="AH146" i="13"/>
  <c r="AI146" i="13"/>
  <c r="AK146" i="13"/>
  <c r="AD146" i="13"/>
  <c r="A142" i="13"/>
  <c r="AH142" i="13"/>
  <c r="AI142" i="13"/>
  <c r="AK142" i="13"/>
  <c r="AD142" i="13"/>
  <c r="A138" i="13"/>
  <c r="AH138" i="13"/>
  <c r="AI138" i="13"/>
  <c r="AK138" i="13"/>
  <c r="AD138" i="13"/>
  <c r="A134" i="13"/>
  <c r="AH134" i="13"/>
  <c r="AI134" i="13"/>
  <c r="AK134" i="13"/>
  <c r="AD134" i="13"/>
  <c r="A130" i="13"/>
  <c r="AH130" i="13"/>
  <c r="AI130" i="13"/>
  <c r="AK130" i="13"/>
  <c r="AD130" i="13"/>
  <c r="A126" i="13"/>
  <c r="AH126" i="13"/>
  <c r="AI126" i="13"/>
  <c r="AK126" i="13"/>
  <c r="AD126" i="13"/>
  <c r="A122" i="13"/>
  <c r="AH122" i="13"/>
  <c r="AI122" i="13"/>
  <c r="AK122" i="13"/>
  <c r="AD122" i="13"/>
  <c r="A118" i="13"/>
  <c r="AH118" i="13"/>
  <c r="AI118" i="13"/>
  <c r="AK118" i="13"/>
  <c r="AD118" i="13"/>
  <c r="A114" i="13"/>
  <c r="AH114" i="13"/>
  <c r="AI114" i="13"/>
  <c r="AK114" i="13"/>
  <c r="AD114" i="13"/>
  <c r="A110" i="13"/>
  <c r="AH110" i="13"/>
  <c r="AI110" i="13"/>
  <c r="AK110" i="13"/>
  <c r="AD110" i="13"/>
  <c r="A106" i="13"/>
  <c r="AH106" i="13"/>
  <c r="AI106" i="13"/>
  <c r="AK106" i="13"/>
  <c r="AD106" i="13"/>
  <c r="A102" i="13"/>
  <c r="AH102" i="13"/>
  <c r="AI102" i="13"/>
  <c r="AK102" i="13"/>
  <c r="AD102" i="13"/>
  <c r="A98" i="13"/>
  <c r="AH98" i="13"/>
  <c r="AI98" i="13"/>
  <c r="AK98" i="13"/>
  <c r="AD98" i="13"/>
  <c r="A94" i="13"/>
  <c r="AH94" i="13"/>
  <c r="AI94" i="13"/>
  <c r="AK94" i="13"/>
  <c r="AD94" i="13"/>
  <c r="A90" i="13"/>
  <c r="AH90" i="13"/>
  <c r="AI90" i="13"/>
  <c r="AK90" i="13"/>
  <c r="AD90" i="13"/>
  <c r="A86" i="13"/>
  <c r="AH86" i="13"/>
  <c r="AI86" i="13"/>
  <c r="AK86" i="13"/>
  <c r="AD86" i="13"/>
  <c r="A82" i="13"/>
  <c r="AH82" i="13"/>
  <c r="AI82" i="13"/>
  <c r="AK82" i="13"/>
  <c r="AD82" i="13"/>
  <c r="A78" i="13"/>
  <c r="AH78" i="13"/>
  <c r="AI78" i="13"/>
  <c r="AK78" i="13"/>
  <c r="AD78" i="13"/>
  <c r="A74" i="13"/>
  <c r="AH74" i="13"/>
  <c r="AI74" i="13"/>
  <c r="AK74" i="13"/>
  <c r="AD74" i="13"/>
  <c r="A70" i="13"/>
  <c r="AH70" i="13"/>
  <c r="AI70" i="13"/>
  <c r="AK70" i="13"/>
  <c r="AD70" i="13"/>
  <c r="AH22" i="13"/>
  <c r="AI22" i="13"/>
  <c r="AH18" i="13"/>
  <c r="AI18" i="13"/>
  <c r="AH14" i="13"/>
  <c r="AI14" i="13"/>
  <c r="AE190" i="13"/>
  <c r="AE188" i="13"/>
  <c r="AF186" i="13"/>
  <c r="AE174" i="13"/>
  <c r="AE172" i="13"/>
  <c r="AF170" i="13"/>
  <c r="AE158" i="13"/>
  <c r="AE156" i="13"/>
  <c r="AF154" i="13"/>
  <c r="AE142" i="13"/>
  <c r="AE140" i="13"/>
  <c r="AF138" i="13"/>
  <c r="AE126" i="13"/>
  <c r="AE124" i="13"/>
  <c r="AF122" i="13"/>
  <c r="AE110" i="13"/>
  <c r="AE108" i="13"/>
  <c r="AF106" i="13"/>
  <c r="AE94" i="13"/>
  <c r="AE92" i="13"/>
  <c r="AF90" i="13"/>
  <c r="AE78" i="13"/>
  <c r="AE76" i="13"/>
  <c r="AF74" i="13"/>
  <c r="AI64" i="13"/>
  <c r="AH62" i="13"/>
  <c r="AI56" i="13"/>
  <c r="AH54" i="13"/>
  <c r="AI48" i="13"/>
  <c r="AH46" i="13"/>
  <c r="AI40" i="13"/>
  <c r="AH38" i="13"/>
  <c r="AI32" i="13"/>
  <c r="AH30" i="13"/>
  <c r="AK131" i="13"/>
  <c r="AK99" i="13"/>
  <c r="A229" i="13"/>
  <c r="AI229" i="13"/>
  <c r="AK229" i="13"/>
  <c r="AH229" i="13"/>
  <c r="A225" i="13"/>
  <c r="AI225" i="13"/>
  <c r="AK225" i="13"/>
  <c r="AH225" i="13"/>
  <c r="A221" i="13"/>
  <c r="AI221" i="13"/>
  <c r="AK221" i="13"/>
  <c r="AH221" i="13"/>
  <c r="A217" i="13"/>
  <c r="AI217" i="13"/>
  <c r="AK217" i="13"/>
  <c r="AH217" i="13"/>
  <c r="A213" i="13"/>
  <c r="AI213" i="13"/>
  <c r="AK213" i="13"/>
  <c r="AH213" i="13"/>
  <c r="A209" i="13"/>
  <c r="AI209" i="13"/>
  <c r="AK209" i="13"/>
  <c r="AH209" i="13"/>
  <c r="A205" i="13"/>
  <c r="AI205" i="13"/>
  <c r="AK205" i="13"/>
  <c r="AH205" i="13"/>
  <c r="A201" i="13"/>
  <c r="AI201" i="13"/>
  <c r="AK201" i="13"/>
  <c r="AH201" i="13"/>
  <c r="A197" i="13"/>
  <c r="AI197" i="13"/>
  <c r="AK197" i="13"/>
  <c r="AH197" i="13"/>
  <c r="A193" i="13"/>
  <c r="AI193" i="13"/>
  <c r="AK193" i="13"/>
  <c r="AH193" i="13"/>
  <c r="A189" i="13"/>
  <c r="AI189" i="13"/>
  <c r="AK189" i="13"/>
  <c r="AH189" i="13"/>
  <c r="A185" i="13"/>
  <c r="AI185" i="13"/>
  <c r="AK185" i="13"/>
  <c r="AH185" i="13"/>
  <c r="A181" i="13"/>
  <c r="AI181" i="13"/>
  <c r="AK181" i="13"/>
  <c r="AH181" i="13"/>
  <c r="A177" i="13"/>
  <c r="AI177" i="13"/>
  <c r="AK177" i="13"/>
  <c r="AH177" i="13"/>
  <c r="AI173" i="13"/>
  <c r="AK173" i="13"/>
  <c r="AH173" i="13"/>
  <c r="A169" i="13"/>
  <c r="AI169" i="13"/>
  <c r="AK169" i="13"/>
  <c r="AH169" i="13"/>
  <c r="A165" i="13"/>
  <c r="AI165" i="13"/>
  <c r="AK165" i="13"/>
  <c r="AH165" i="13"/>
  <c r="A161" i="13"/>
  <c r="AI161" i="13"/>
  <c r="AK161" i="13"/>
  <c r="AH161" i="13"/>
  <c r="A157" i="13"/>
  <c r="AI157" i="13"/>
  <c r="AK157" i="13"/>
  <c r="AH157" i="13"/>
  <c r="A153" i="13"/>
  <c r="AI153" i="13"/>
  <c r="AK153" i="13"/>
  <c r="AH153" i="13"/>
  <c r="A149" i="13"/>
  <c r="AH149" i="13"/>
  <c r="AI149" i="13"/>
  <c r="AK149" i="13"/>
  <c r="A145" i="13"/>
  <c r="AH145" i="13"/>
  <c r="AI145" i="13"/>
  <c r="AK145" i="13"/>
  <c r="A141" i="13"/>
  <c r="AH141" i="13"/>
  <c r="AI141" i="13"/>
  <c r="AK141" i="13"/>
  <c r="A137" i="13"/>
  <c r="AH137" i="13"/>
  <c r="AI137" i="13"/>
  <c r="AK137" i="13"/>
  <c r="A133" i="13"/>
  <c r="AH133" i="13"/>
  <c r="AI133" i="13"/>
  <c r="AK133" i="13"/>
  <c r="A129" i="13"/>
  <c r="AH129" i="13"/>
  <c r="AI129" i="13"/>
  <c r="AK129" i="13"/>
  <c r="A125" i="13"/>
  <c r="AH125" i="13"/>
  <c r="AI125" i="13"/>
  <c r="AK125" i="13"/>
  <c r="A121" i="13"/>
  <c r="AH121" i="13"/>
  <c r="AI121" i="13"/>
  <c r="AK121" i="13"/>
  <c r="A117" i="13"/>
  <c r="AH117" i="13"/>
  <c r="AI117" i="13"/>
  <c r="AK117" i="13"/>
  <c r="A113" i="13"/>
  <c r="AH113" i="13"/>
  <c r="AI113" i="13"/>
  <c r="AK113" i="13"/>
  <c r="A109" i="13"/>
  <c r="AH109" i="13"/>
  <c r="AI109" i="13"/>
  <c r="AK109" i="13"/>
  <c r="A105" i="13"/>
  <c r="AH105" i="13"/>
  <c r="AI105" i="13"/>
  <c r="AK105" i="13"/>
  <c r="A101" i="13"/>
  <c r="AH101" i="13"/>
  <c r="AI101" i="13"/>
  <c r="AK101" i="13"/>
  <c r="A97" i="13"/>
  <c r="AH97" i="13"/>
  <c r="AI97" i="13"/>
  <c r="AK97" i="13"/>
  <c r="A93" i="13"/>
  <c r="AH93" i="13"/>
  <c r="AI93" i="13"/>
  <c r="AK93" i="13"/>
  <c r="A89" i="13"/>
  <c r="AH89" i="13"/>
  <c r="AI89" i="13"/>
  <c r="AK89" i="13"/>
  <c r="A85" i="13"/>
  <c r="AH85" i="13"/>
  <c r="AI85" i="13"/>
  <c r="AK85" i="13"/>
  <c r="A81" i="13"/>
  <c r="AH81" i="13"/>
  <c r="AI81" i="13"/>
  <c r="AK81" i="13"/>
  <c r="A77" i="13"/>
  <c r="AH77" i="13"/>
  <c r="AI77" i="13"/>
  <c r="AK77" i="13"/>
  <c r="A73" i="13"/>
  <c r="AH73" i="13"/>
  <c r="AI73" i="13"/>
  <c r="AK73" i="13"/>
  <c r="A69" i="13"/>
  <c r="AH69" i="13"/>
  <c r="AI69" i="13"/>
  <c r="AK69" i="13"/>
  <c r="AE231" i="13"/>
  <c r="AF228" i="13"/>
  <c r="AE227" i="13"/>
  <c r="AF224" i="13"/>
  <c r="AE223" i="13"/>
  <c r="AF220" i="13"/>
  <c r="AE219" i="13"/>
  <c r="AE215" i="13"/>
  <c r="AF212" i="13"/>
  <c r="AE211" i="13"/>
  <c r="AE207" i="13"/>
  <c r="AF204" i="13"/>
  <c r="AE203" i="13"/>
  <c r="AE199" i="13"/>
  <c r="AF196" i="13"/>
  <c r="AE193" i="13"/>
  <c r="AF191" i="13"/>
  <c r="AF189" i="13"/>
  <c r="AE186" i="13"/>
  <c r="AF182" i="13"/>
  <c r="AD181" i="13"/>
  <c r="AE177" i="13"/>
  <c r="AF175" i="13"/>
  <c r="AF173" i="13"/>
  <c r="AE170" i="13"/>
  <c r="AF166" i="13"/>
  <c r="AD165" i="13"/>
  <c r="AE161" i="13"/>
  <c r="AF159" i="13"/>
  <c r="AF157" i="13"/>
  <c r="AE154" i="13"/>
  <c r="AF150" i="13"/>
  <c r="AD149" i="13"/>
  <c r="AD147" i="13"/>
  <c r="AE145" i="13"/>
  <c r="AF143" i="13"/>
  <c r="AF141" i="13"/>
  <c r="AE138" i="13"/>
  <c r="AF134" i="13"/>
  <c r="AD133" i="13"/>
  <c r="AE129" i="13"/>
  <c r="AF127" i="13"/>
  <c r="AF125" i="13"/>
  <c r="AE122" i="13"/>
  <c r="AF118" i="13"/>
  <c r="AD117" i="13"/>
  <c r="AD115" i="13"/>
  <c r="AE113" i="13"/>
  <c r="AF111" i="13"/>
  <c r="AF109" i="13"/>
  <c r="AE106" i="13"/>
  <c r="AF102" i="13"/>
  <c r="AD101" i="13"/>
  <c r="AE97" i="13"/>
  <c r="AF95" i="13"/>
  <c r="AF93" i="13"/>
  <c r="AE90" i="13"/>
  <c r="AF86" i="13"/>
  <c r="AD85" i="13"/>
  <c r="AD83" i="13"/>
  <c r="AE81" i="13"/>
  <c r="AF79" i="13"/>
  <c r="AF77" i="13"/>
  <c r="AE74" i="13"/>
  <c r="AF70" i="13"/>
  <c r="AD69" i="13"/>
  <c r="AI66" i="13"/>
  <c r="AI61" i="13"/>
  <c r="AI58" i="13"/>
  <c r="AI53" i="13"/>
  <c r="AI50" i="13"/>
  <c r="AI45" i="13"/>
  <c r="AI42" i="13"/>
  <c r="AI37" i="13"/>
  <c r="AI34" i="13"/>
  <c r="AI29" i="13"/>
  <c r="AH26" i="13"/>
  <c r="AI21" i="13"/>
  <c r="AH220" i="13"/>
  <c r="AK123" i="13"/>
  <c r="AK91" i="13"/>
  <c r="A228" i="13"/>
  <c r="AI228" i="13"/>
  <c r="AK228" i="13"/>
  <c r="A216" i="13"/>
  <c r="AI216" i="13"/>
  <c r="AK216" i="13"/>
  <c r="A208" i="13"/>
  <c r="AI208" i="13"/>
  <c r="AK208" i="13"/>
  <c r="AH208" i="13"/>
  <c r="A200" i="13"/>
  <c r="AI200" i="13"/>
  <c r="AK200" i="13"/>
  <c r="AH200" i="13"/>
  <c r="A192" i="13"/>
  <c r="AI192" i="13"/>
  <c r="AK192" i="13"/>
  <c r="AF192" i="13"/>
  <c r="AH192" i="13"/>
  <c r="A184" i="13"/>
  <c r="AI184" i="13"/>
  <c r="AK184" i="13"/>
  <c r="AF184" i="13"/>
  <c r="AH184" i="13"/>
  <c r="A176" i="13"/>
  <c r="AI176" i="13"/>
  <c r="AK176" i="13"/>
  <c r="AF176" i="13"/>
  <c r="AH176" i="13"/>
  <c r="A168" i="13"/>
  <c r="AI168" i="13"/>
  <c r="AK168" i="13"/>
  <c r="AF168" i="13"/>
  <c r="AH168" i="13"/>
  <c r="A160" i="13"/>
  <c r="AI160" i="13"/>
  <c r="AK160" i="13"/>
  <c r="AF160" i="13"/>
  <c r="AH160" i="13"/>
  <c r="A152" i="13"/>
  <c r="AH152" i="13"/>
  <c r="AI152" i="13"/>
  <c r="AK152" i="13"/>
  <c r="AF152" i="13"/>
  <c r="A144" i="13"/>
  <c r="AH144" i="13"/>
  <c r="AI144" i="13"/>
  <c r="AK144" i="13"/>
  <c r="AF144" i="13"/>
  <c r="A136" i="13"/>
  <c r="AH136" i="13"/>
  <c r="AI136" i="13"/>
  <c r="AK136" i="13"/>
  <c r="AF136" i="13"/>
  <c r="A128" i="13"/>
  <c r="AH128" i="13"/>
  <c r="AI128" i="13"/>
  <c r="AK128" i="13"/>
  <c r="AF128" i="13"/>
  <c r="A124" i="13"/>
  <c r="AH124" i="13"/>
  <c r="AI124" i="13"/>
  <c r="AK124" i="13"/>
  <c r="AF124" i="13"/>
  <c r="A120" i="13"/>
  <c r="AH120" i="13"/>
  <c r="AI120" i="13"/>
  <c r="AK120" i="13"/>
  <c r="AF120" i="13"/>
  <c r="A116" i="13"/>
  <c r="AH116" i="13"/>
  <c r="AI116" i="13"/>
  <c r="AK116" i="13"/>
  <c r="AF116" i="13"/>
  <c r="A112" i="13"/>
  <c r="AH112" i="13"/>
  <c r="AI112" i="13"/>
  <c r="AK112" i="13"/>
  <c r="AF112" i="13"/>
  <c r="A104" i="13"/>
  <c r="AH104" i="13"/>
  <c r="AI104" i="13"/>
  <c r="AK104" i="13"/>
  <c r="AF104" i="13"/>
  <c r="A100" i="13"/>
  <c r="AH100" i="13"/>
  <c r="AI100" i="13"/>
  <c r="AK100" i="13"/>
  <c r="AF100" i="13"/>
  <c r="A96" i="13"/>
  <c r="AH96" i="13"/>
  <c r="AI96" i="13"/>
  <c r="AK96" i="13"/>
  <c r="AF96" i="13"/>
  <c r="A92" i="13"/>
  <c r="AH92" i="13"/>
  <c r="AI92" i="13"/>
  <c r="AK92" i="13"/>
  <c r="AF92" i="13"/>
  <c r="A88" i="13"/>
  <c r="AH88" i="13"/>
  <c r="AI88" i="13"/>
  <c r="AK88" i="13"/>
  <c r="AF88" i="13"/>
  <c r="A84" i="13"/>
  <c r="AH84" i="13"/>
  <c r="AI84" i="13"/>
  <c r="AK84" i="13"/>
  <c r="AF84" i="13"/>
  <c r="A80" i="13"/>
  <c r="AH80" i="13"/>
  <c r="AI80" i="13"/>
  <c r="AK80" i="13"/>
  <c r="AF80" i="13"/>
  <c r="A76" i="13"/>
  <c r="AH76" i="13"/>
  <c r="AI76" i="13"/>
  <c r="AK76" i="13"/>
  <c r="AF76" i="13"/>
  <c r="A72" i="13"/>
  <c r="AH72" i="13"/>
  <c r="AI72" i="13"/>
  <c r="AK72" i="13"/>
  <c r="AF72" i="13"/>
  <c r="A68" i="13"/>
  <c r="AH68" i="13"/>
  <c r="AI68" i="13"/>
  <c r="AK68" i="13"/>
  <c r="AF68" i="13"/>
  <c r="AH24" i="13"/>
  <c r="AI24" i="13"/>
  <c r="AH20" i="13"/>
  <c r="AI20" i="13"/>
  <c r="AH16" i="13"/>
  <c r="AI16" i="13"/>
  <c r="AF229" i="13"/>
  <c r="AE228" i="13"/>
  <c r="AF225" i="13"/>
  <c r="AF221" i="13"/>
  <c r="AF217" i="13"/>
  <c r="AE216" i="13"/>
  <c r="AF213" i="13"/>
  <c r="AF209" i="13"/>
  <c r="AE208" i="13"/>
  <c r="AF205" i="13"/>
  <c r="AF201" i="13"/>
  <c r="AE200" i="13"/>
  <c r="AF197" i="13"/>
  <c r="AF194" i="13"/>
  <c r="AD193" i="13"/>
  <c r="AE189" i="13"/>
  <c r="AF185" i="13"/>
  <c r="AD184" i="13"/>
  <c r="AE182" i="13"/>
  <c r="AF178" i="13"/>
  <c r="AD177" i="13"/>
  <c r="AE173" i="13"/>
  <c r="AF169" i="13"/>
  <c r="AD168" i="13"/>
  <c r="AE166" i="13"/>
  <c r="AF162" i="13"/>
  <c r="AD161" i="13"/>
  <c r="AE157" i="13"/>
  <c r="AF153" i="13"/>
  <c r="AD152" i="13"/>
  <c r="AE150" i="13"/>
  <c r="AF146" i="13"/>
  <c r="AD145" i="13"/>
  <c r="AE141" i="13"/>
  <c r="AF137" i="13"/>
  <c r="AD136" i="13"/>
  <c r="AE134" i="13"/>
  <c r="AF130" i="13"/>
  <c r="AD129" i="13"/>
  <c r="AE125" i="13"/>
  <c r="AF121" i="13"/>
  <c r="AD120" i="13"/>
  <c r="AE118" i="13"/>
  <c r="AE116" i="13"/>
  <c r="AF114" i="13"/>
  <c r="AD113" i="13"/>
  <c r="AE109" i="13"/>
  <c r="AF105" i="13"/>
  <c r="AD104" i="13"/>
  <c r="AE102" i="13"/>
  <c r="AE100" i="13"/>
  <c r="AF98" i="13"/>
  <c r="AD97" i="13"/>
  <c r="AE93" i="13"/>
  <c r="AF89" i="13"/>
  <c r="AD88" i="13"/>
  <c r="AE86" i="13"/>
  <c r="AE84" i="13"/>
  <c r="AF82" i="13"/>
  <c r="AD81" i="13"/>
  <c r="AE77" i="13"/>
  <c r="AF73" i="13"/>
  <c r="AD72" i="13"/>
  <c r="AE70" i="13"/>
  <c r="AE68" i="13"/>
  <c r="AI63" i="13"/>
  <c r="AI60" i="13"/>
  <c r="AI55" i="13"/>
  <c r="AI52" i="13"/>
  <c r="AI47" i="13"/>
  <c r="AI44" i="13"/>
  <c r="AI39" i="13"/>
  <c r="AI36" i="13"/>
  <c r="AI31" i="13"/>
  <c r="AI28" i="13"/>
  <c r="AI25" i="13"/>
  <c r="A224" i="13"/>
  <c r="AI224" i="13"/>
  <c r="AK224" i="13"/>
  <c r="A220" i="13"/>
  <c r="AI220" i="13"/>
  <c r="AK220" i="13"/>
  <c r="A212" i="13"/>
  <c r="AI212" i="13"/>
  <c r="AK212" i="13"/>
  <c r="AH212" i="13"/>
  <c r="A204" i="13"/>
  <c r="AI204" i="13"/>
  <c r="AK204" i="13"/>
  <c r="AH204" i="13"/>
  <c r="A196" i="13"/>
  <c r="AI196" i="13"/>
  <c r="AK196" i="13"/>
  <c r="AH196" i="13"/>
  <c r="A188" i="13"/>
  <c r="AI188" i="13"/>
  <c r="AK188" i="13"/>
  <c r="AF188" i="13"/>
  <c r="AH188" i="13"/>
  <c r="A180" i="13"/>
  <c r="AI180" i="13"/>
  <c r="AK180" i="13"/>
  <c r="AF180" i="13"/>
  <c r="AH180" i="13"/>
  <c r="A172" i="13"/>
  <c r="AI172" i="13"/>
  <c r="AK172" i="13"/>
  <c r="AF172" i="13"/>
  <c r="AH172" i="13"/>
  <c r="A164" i="13"/>
  <c r="AI164" i="13"/>
  <c r="AK164" i="13"/>
  <c r="AF164" i="13"/>
  <c r="AH164" i="13"/>
  <c r="A156" i="13"/>
  <c r="AI156" i="13"/>
  <c r="AK156" i="13"/>
  <c r="AF156" i="13"/>
  <c r="AH156" i="13"/>
  <c r="A148" i="13"/>
  <c r="AH148" i="13"/>
  <c r="AI148" i="13"/>
  <c r="AK148" i="13"/>
  <c r="AF148" i="13"/>
  <c r="A140" i="13"/>
  <c r="AH140" i="13"/>
  <c r="AI140" i="13"/>
  <c r="AK140" i="13"/>
  <c r="AF140" i="13"/>
  <c r="A132" i="13"/>
  <c r="AH132" i="13"/>
  <c r="AI132" i="13"/>
  <c r="AK132" i="13"/>
  <c r="AF132" i="13"/>
  <c r="A108" i="13"/>
  <c r="AH108" i="13"/>
  <c r="AI108" i="13"/>
  <c r="AK108" i="13"/>
  <c r="AF108" i="13"/>
  <c r="A231" i="13"/>
  <c r="AI231" i="13"/>
  <c r="AK231" i="13"/>
  <c r="AH231" i="13"/>
  <c r="A227" i="13"/>
  <c r="AI227" i="13"/>
  <c r="AK227" i="13"/>
  <c r="AH227" i="13"/>
  <c r="A223" i="13"/>
  <c r="AI223" i="13"/>
  <c r="AK223" i="13"/>
  <c r="AH223" i="13"/>
  <c r="A219" i="13"/>
  <c r="AI219" i="13"/>
  <c r="AK219" i="13"/>
  <c r="AH219" i="13"/>
  <c r="A215" i="13"/>
  <c r="AI215" i="13"/>
  <c r="AK215" i="13"/>
  <c r="AH215" i="13"/>
  <c r="A211" i="13"/>
  <c r="AI211" i="13"/>
  <c r="AK211" i="13"/>
  <c r="AH211" i="13"/>
  <c r="A207" i="13"/>
  <c r="AI207" i="13"/>
  <c r="AK207" i="13"/>
  <c r="AH207" i="13"/>
  <c r="A203" i="13"/>
  <c r="AI203" i="13"/>
  <c r="AK203" i="13"/>
  <c r="AH203" i="13"/>
  <c r="A199" i="13"/>
  <c r="AI199" i="13"/>
  <c r="AK199" i="13"/>
  <c r="AH199" i="13"/>
  <c r="A195" i="13"/>
  <c r="AI195" i="13"/>
  <c r="AK195" i="13"/>
  <c r="AH195" i="13"/>
  <c r="AE195" i="13"/>
  <c r="A191" i="13"/>
  <c r="AI191" i="13"/>
  <c r="AK191" i="13"/>
  <c r="AH191" i="13"/>
  <c r="AE191" i="13"/>
  <c r="A187" i="13"/>
  <c r="AI187" i="13"/>
  <c r="AK187" i="13"/>
  <c r="AH187" i="13"/>
  <c r="AE187" i="13"/>
  <c r="A183" i="13"/>
  <c r="AI183" i="13"/>
  <c r="AK183" i="13"/>
  <c r="AH183" i="13"/>
  <c r="AE183" i="13"/>
  <c r="A179" i="13"/>
  <c r="AI179" i="13"/>
  <c r="AK179" i="13"/>
  <c r="AH179" i="13"/>
  <c r="AE179" i="13"/>
  <c r="A175" i="13"/>
  <c r="AI175" i="13"/>
  <c r="AK175" i="13"/>
  <c r="AH175" i="13"/>
  <c r="AE175" i="13"/>
  <c r="A171" i="13"/>
  <c r="AI171" i="13"/>
  <c r="AK171" i="13"/>
  <c r="AH171" i="13"/>
  <c r="AE171" i="13"/>
  <c r="A167" i="13"/>
  <c r="AI167" i="13"/>
  <c r="AK167" i="13"/>
  <c r="AH167" i="13"/>
  <c r="AE167" i="13"/>
  <c r="A163" i="13"/>
  <c r="AI163" i="13"/>
  <c r="AK163" i="13"/>
  <c r="AH163" i="13"/>
  <c r="AE163" i="13"/>
  <c r="A159" i="13"/>
  <c r="AI159" i="13"/>
  <c r="AK159" i="13"/>
  <c r="AH159" i="13"/>
  <c r="AE159" i="13"/>
  <c r="A155" i="13"/>
  <c r="AI155" i="13"/>
  <c r="AK155" i="13"/>
  <c r="AH155" i="13"/>
  <c r="AE155" i="13"/>
  <c r="A151" i="13"/>
  <c r="AH151" i="13"/>
  <c r="AI151" i="13"/>
  <c r="AE151" i="13"/>
  <c r="AK151" i="13"/>
  <c r="A147" i="13"/>
  <c r="AH147" i="13"/>
  <c r="AI147" i="13"/>
  <c r="AE147" i="13"/>
  <c r="A143" i="13"/>
  <c r="AH143" i="13"/>
  <c r="AI143" i="13"/>
  <c r="AE143" i="13"/>
  <c r="AK143" i="13"/>
  <c r="A139" i="13"/>
  <c r="AH139" i="13"/>
  <c r="AI139" i="13"/>
  <c r="AE139" i="13"/>
  <c r="A135" i="13"/>
  <c r="AH135" i="13"/>
  <c r="AI135" i="13"/>
  <c r="AE135" i="13"/>
  <c r="AK135" i="13"/>
  <c r="AH131" i="13"/>
  <c r="AI131" i="13"/>
  <c r="AE131" i="13"/>
  <c r="A127" i="13"/>
  <c r="AH127" i="13"/>
  <c r="AI127" i="13"/>
  <c r="AE127" i="13"/>
  <c r="AK127" i="13"/>
  <c r="A123" i="13"/>
  <c r="AH123" i="13"/>
  <c r="AI123" i="13"/>
  <c r="AE123" i="13"/>
  <c r="A119" i="13"/>
  <c r="AH119" i="13"/>
  <c r="AI119" i="13"/>
  <c r="AE119" i="13"/>
  <c r="AK119" i="13"/>
  <c r="A115" i="13"/>
  <c r="AH115" i="13"/>
  <c r="AI115" i="13"/>
  <c r="AE115" i="13"/>
  <c r="A111" i="13"/>
  <c r="AH111" i="13"/>
  <c r="AI111" i="13"/>
  <c r="AE111" i="13"/>
  <c r="AK111" i="13"/>
  <c r="A107" i="13"/>
  <c r="AH107" i="13"/>
  <c r="AI107" i="13"/>
  <c r="AE107" i="13"/>
  <c r="A103" i="13"/>
  <c r="AH103" i="13"/>
  <c r="AI103" i="13"/>
  <c r="AE103" i="13"/>
  <c r="AK103" i="13"/>
  <c r="A99" i="13"/>
  <c r="AH99" i="13"/>
  <c r="AI99" i="13"/>
  <c r="AE99" i="13"/>
  <c r="A95" i="13"/>
  <c r="AH95" i="13"/>
  <c r="AI95" i="13"/>
  <c r="AE95" i="13"/>
  <c r="AK95" i="13"/>
  <c r="A91" i="13"/>
  <c r="AH91" i="13"/>
  <c r="AI91" i="13"/>
  <c r="AE91" i="13"/>
  <c r="A87" i="13"/>
  <c r="AH87" i="13"/>
  <c r="AI87" i="13"/>
  <c r="AE87" i="13"/>
  <c r="AK87" i="13"/>
  <c r="A83" i="13"/>
  <c r="AH83" i="13"/>
  <c r="AI83" i="13"/>
  <c r="AE83" i="13"/>
  <c r="A79" i="13"/>
  <c r="AH79" i="13"/>
  <c r="AI79" i="13"/>
  <c r="AE79" i="13"/>
  <c r="AK79" i="13"/>
  <c r="A75" i="13"/>
  <c r="AH75" i="13"/>
  <c r="AI75" i="13"/>
  <c r="AE75" i="13"/>
  <c r="A71" i="13"/>
  <c r="AH71" i="13"/>
  <c r="AI71" i="13"/>
  <c r="AE71" i="13"/>
  <c r="AK71" i="13"/>
  <c r="AI23" i="13"/>
  <c r="AI19" i="13"/>
  <c r="AI15" i="13"/>
  <c r="AE229" i="13"/>
  <c r="AD228" i="13"/>
  <c r="AE225" i="13"/>
  <c r="AD224" i="13"/>
  <c r="AE221" i="13"/>
  <c r="AD220" i="13"/>
  <c r="AE217" i="13"/>
  <c r="AD216" i="13"/>
  <c r="AE213" i="13"/>
  <c r="AD212" i="13"/>
  <c r="AE209" i="13"/>
  <c r="AD208" i="13"/>
  <c r="AE205" i="13"/>
  <c r="AD204" i="13"/>
  <c r="AE201" i="13"/>
  <c r="AD200" i="13"/>
  <c r="AE197" i="13"/>
  <c r="AD196" i="13"/>
  <c r="AE194" i="13"/>
  <c r="AE192" i="13"/>
  <c r="AF190" i="13"/>
  <c r="AD189" i="13"/>
  <c r="AD187" i="13"/>
  <c r="AE185" i="13"/>
  <c r="AF183" i="13"/>
  <c r="AF181" i="13"/>
  <c r="AD180" i="13"/>
  <c r="AE178" i="13"/>
  <c r="AE176" i="13"/>
  <c r="AF174" i="13"/>
  <c r="AD173" i="13"/>
  <c r="AD171" i="13"/>
  <c r="AE169" i="13"/>
  <c r="AF167" i="13"/>
  <c r="AF165" i="13"/>
  <c r="AD164" i="13"/>
  <c r="AE162" i="13"/>
  <c r="AE160" i="13"/>
  <c r="AF158" i="13"/>
  <c r="AD157" i="13"/>
  <c r="AD155" i="13"/>
  <c r="AE153" i="13"/>
  <c r="AF151" i="13"/>
  <c r="AF149" i="13"/>
  <c r="AD148" i="13"/>
  <c r="AE146" i="13"/>
  <c r="AE144" i="13"/>
  <c r="AF142" i="13"/>
  <c r="AD141" i="13"/>
  <c r="AD139" i="13"/>
  <c r="AE137" i="13"/>
  <c r="AF135" i="13"/>
  <c r="AF133" i="13"/>
  <c r="AD132" i="13"/>
  <c r="AE130" i="13"/>
  <c r="AE128" i="13"/>
  <c r="AF126" i="13"/>
  <c r="AD125" i="13"/>
  <c r="AD123" i="13"/>
  <c r="AE121" i="13"/>
  <c r="AF119" i="13"/>
  <c r="AF117" i="13"/>
  <c r="AD116" i="13"/>
  <c r="AE114" i="13"/>
  <c r="AE112" i="13"/>
  <c r="AF110" i="13"/>
  <c r="AD109" i="13"/>
  <c r="AD107" i="13"/>
  <c r="AE105" i="13"/>
  <c r="AF103" i="13"/>
  <c r="AF101" i="13"/>
  <c r="AD100" i="13"/>
  <c r="AE98" i="13"/>
  <c r="AE96" i="13"/>
  <c r="AF94" i="13"/>
  <c r="AD93" i="13"/>
  <c r="AD91" i="13"/>
  <c r="AE89" i="13"/>
  <c r="AF87" i="13"/>
  <c r="AF85" i="13"/>
  <c r="AD84" i="13"/>
  <c r="AE82" i="13"/>
  <c r="AE80" i="13"/>
  <c r="AF78" i="13"/>
  <c r="AD77" i="13"/>
  <c r="AD75" i="13"/>
  <c r="AE73" i="13"/>
  <c r="AF71" i="13"/>
  <c r="AF69" i="13"/>
  <c r="AD68" i="13"/>
  <c r="AI65" i="13"/>
  <c r="AI57" i="13"/>
  <c r="AI49" i="13"/>
  <c r="AI41" i="13"/>
  <c r="AI33" i="13"/>
  <c r="AH19" i="13"/>
  <c r="AH224" i="13"/>
  <c r="AH216" i="13"/>
  <c r="AK139" i="13"/>
  <c r="AK107" i="13"/>
  <c r="AK75" i="13"/>
  <c r="N4" i="12"/>
  <c r="L4" i="12" s="1"/>
  <c r="N5" i="12"/>
  <c r="L5" i="12" s="1"/>
  <c r="O5" i="12" s="1"/>
  <c r="E2" i="2" s="1"/>
  <c r="N6" i="12"/>
  <c r="J3" i="12"/>
  <c r="K3" i="12" s="1"/>
  <c r="K5" i="12"/>
  <c r="K4" i="12"/>
  <c r="A173" i="13"/>
  <c r="D7" i="1"/>
  <c r="B233" i="1"/>
  <c r="L233" i="1" s="1"/>
  <c r="C48" i="11" s="1"/>
  <c r="O4" i="12" l="1"/>
  <c r="D2" i="2" s="1"/>
  <c r="L6" i="12"/>
  <c r="AD11" i="13" s="1"/>
  <c r="BS12" i="3"/>
  <c r="BS20" i="3"/>
  <c r="BS28" i="3"/>
  <c r="BS32" i="3"/>
  <c r="BS36" i="3"/>
  <c r="BS40" i="3"/>
  <c r="BS44" i="3"/>
  <c r="BS48" i="3"/>
  <c r="BS52" i="3"/>
  <c r="BS56" i="3"/>
  <c r="BS15" i="3"/>
  <c r="BS19" i="3"/>
  <c r="BS27" i="3"/>
  <c r="BS35" i="3"/>
  <c r="BS43" i="3"/>
  <c r="BS55" i="3"/>
  <c r="BS5" i="3"/>
  <c r="BS9" i="3"/>
  <c r="BS13" i="3"/>
  <c r="BS17" i="3"/>
  <c r="BS21" i="3"/>
  <c r="BS25" i="3"/>
  <c r="BS29" i="3"/>
  <c r="BS33" i="3"/>
  <c r="BS37" i="3"/>
  <c r="BS41" i="3"/>
  <c r="BS45" i="3"/>
  <c r="BS49" i="3"/>
  <c r="BS53" i="3"/>
  <c r="BS57" i="3"/>
  <c r="BS11" i="3"/>
  <c r="BS51" i="3"/>
  <c r="BS3" i="3"/>
  <c r="BS6" i="3"/>
  <c r="BS10" i="3"/>
  <c r="BS14" i="3"/>
  <c r="BS18" i="3"/>
  <c r="BS22" i="3"/>
  <c r="BS26" i="3"/>
  <c r="BS30" i="3"/>
  <c r="BS34" i="3"/>
  <c r="BS38" i="3"/>
  <c r="BS42" i="3"/>
  <c r="BS46" i="3"/>
  <c r="BS50" i="3"/>
  <c r="BS54" i="3"/>
  <c r="BS58" i="3"/>
  <c r="BS7" i="3"/>
  <c r="BS23" i="3"/>
  <c r="BS31" i="3"/>
  <c r="BS39" i="3"/>
  <c r="BS47" i="3"/>
  <c r="N7" i="12"/>
  <c r="BD237" i="1"/>
  <c r="R22" i="11" s="1"/>
  <c r="D234" i="1"/>
  <c r="C9" i="11" s="1"/>
  <c r="G235" i="1"/>
  <c r="C25" i="11" s="1"/>
  <c r="E233" i="1"/>
  <c r="C13" i="11" s="1"/>
  <c r="AV237" i="1"/>
  <c r="O32" i="11" s="1"/>
  <c r="AN237" i="1"/>
  <c r="L42" i="11" s="1"/>
  <c r="AF237" i="1"/>
  <c r="I52" i="11" s="1"/>
  <c r="X237" i="1"/>
  <c r="I12" i="11" s="1"/>
  <c r="P237" i="1"/>
  <c r="F22" i="11" s="1"/>
  <c r="H237" i="1"/>
  <c r="C32" i="11" s="1"/>
  <c r="BD236" i="1"/>
  <c r="R21" i="11" s="1"/>
  <c r="AV236" i="1"/>
  <c r="O31" i="11" s="1"/>
  <c r="AN236" i="1"/>
  <c r="L41" i="11" s="1"/>
  <c r="AF236" i="1"/>
  <c r="I51" i="11" s="1"/>
  <c r="X236" i="1"/>
  <c r="I11" i="11" s="1"/>
  <c r="P236" i="1"/>
  <c r="F21" i="11" s="1"/>
  <c r="H236" i="1"/>
  <c r="C31" i="11" s="1"/>
  <c r="BD235" i="1"/>
  <c r="R20" i="11" s="1"/>
  <c r="AV235" i="1"/>
  <c r="O30" i="11" s="1"/>
  <c r="AN235" i="1"/>
  <c r="L40" i="11" s="1"/>
  <c r="AF235" i="1"/>
  <c r="I50" i="11" s="1"/>
  <c r="X235" i="1"/>
  <c r="I10" i="11" s="1"/>
  <c r="P235" i="1"/>
  <c r="F20" i="11" s="1"/>
  <c r="H235" i="1"/>
  <c r="C30" i="11" s="1"/>
  <c r="BD234" i="1"/>
  <c r="R19" i="11" s="1"/>
  <c r="AV234" i="1"/>
  <c r="O29" i="11" s="1"/>
  <c r="AN234" i="1"/>
  <c r="L39" i="11" s="1"/>
  <c r="AF234" i="1"/>
  <c r="I49" i="11" s="1"/>
  <c r="X234" i="1"/>
  <c r="I9" i="11" s="1"/>
  <c r="P234" i="1"/>
  <c r="F19" i="11" s="1"/>
  <c r="H234" i="1"/>
  <c r="C29" i="11" s="1"/>
  <c r="BD233" i="1"/>
  <c r="R18" i="11" s="1"/>
  <c r="AV233" i="1"/>
  <c r="O28" i="11" s="1"/>
  <c r="AN233" i="1"/>
  <c r="L38" i="11" s="1"/>
  <c r="AF233" i="1"/>
  <c r="I48" i="11" s="1"/>
  <c r="X233" i="1"/>
  <c r="I8" i="11" s="1"/>
  <c r="P233" i="1"/>
  <c r="F18" i="11" s="1"/>
  <c r="E237" i="1"/>
  <c r="C17" i="11" s="1"/>
  <c r="BK237" i="1"/>
  <c r="R57" i="11" s="1"/>
  <c r="AU237" i="1"/>
  <c r="O27" i="11" s="1"/>
  <c r="AE237" i="1"/>
  <c r="I47" i="11" s="1"/>
  <c r="O237" i="1"/>
  <c r="F17" i="11" s="1"/>
  <c r="AU236" i="1"/>
  <c r="O26" i="11" s="1"/>
  <c r="O236" i="1"/>
  <c r="F16" i="11" s="1"/>
  <c r="BC235" i="1"/>
  <c r="R15" i="11" s="1"/>
  <c r="AE235" i="1"/>
  <c r="I45" i="11" s="1"/>
  <c r="BC234" i="1"/>
  <c r="R14" i="11" s="1"/>
  <c r="AE234" i="1"/>
  <c r="I44" i="11" s="1"/>
  <c r="O234" i="1"/>
  <c r="F14" i="11" s="1"/>
  <c r="BK233" i="1"/>
  <c r="R53" i="11" s="1"/>
  <c r="BC233" i="1"/>
  <c r="R13" i="11" s="1"/>
  <c r="AU233" i="1"/>
  <c r="O23" i="11" s="1"/>
  <c r="AM233" i="1"/>
  <c r="L33" i="11" s="1"/>
  <c r="AE233" i="1"/>
  <c r="I43" i="11" s="1"/>
  <c r="W233" i="1"/>
  <c r="F53" i="11" s="1"/>
  <c r="BH237" i="1"/>
  <c r="R42" i="11" s="1"/>
  <c r="AR237" i="1"/>
  <c r="O12" i="11" s="1"/>
  <c r="AJ237" i="1"/>
  <c r="L22" i="11" s="1"/>
  <c r="AB237" i="1"/>
  <c r="I32" i="11" s="1"/>
  <c r="T237" i="1"/>
  <c r="F42" i="11" s="1"/>
  <c r="L237" i="1"/>
  <c r="C52" i="11" s="1"/>
  <c r="BH236" i="1"/>
  <c r="R41" i="11" s="1"/>
  <c r="AZ236" i="1"/>
  <c r="O51" i="11" s="1"/>
  <c r="AR236" i="1"/>
  <c r="O11" i="11" s="1"/>
  <c r="AJ236" i="1"/>
  <c r="L21" i="11" s="1"/>
  <c r="AB236" i="1"/>
  <c r="I31" i="11" s="1"/>
  <c r="T236" i="1"/>
  <c r="F41" i="11" s="1"/>
  <c r="L236" i="1"/>
  <c r="C51" i="11" s="1"/>
  <c r="BH235" i="1"/>
  <c r="R40" i="11" s="1"/>
  <c r="AZ235" i="1"/>
  <c r="O50" i="11" s="1"/>
  <c r="AR235" i="1"/>
  <c r="O10" i="11" s="1"/>
  <c r="AJ235" i="1"/>
  <c r="L20" i="11" s="1"/>
  <c r="AB235" i="1"/>
  <c r="I30" i="11" s="1"/>
  <c r="T235" i="1"/>
  <c r="F40" i="11" s="1"/>
  <c r="L235" i="1"/>
  <c r="C50" i="11" s="1"/>
  <c r="BH234" i="1"/>
  <c r="R39" i="11" s="1"/>
  <c r="AZ234" i="1"/>
  <c r="O49" i="11" s="1"/>
  <c r="AR234" i="1"/>
  <c r="O9" i="11" s="1"/>
  <c r="AJ234" i="1"/>
  <c r="L19" i="11" s="1"/>
  <c r="AB234" i="1"/>
  <c r="I29" i="11" s="1"/>
  <c r="T234" i="1"/>
  <c r="F39" i="11" s="1"/>
  <c r="L234" i="1"/>
  <c r="C49" i="11" s="1"/>
  <c r="BH233" i="1"/>
  <c r="R38" i="11" s="1"/>
  <c r="AZ233" i="1"/>
  <c r="O48" i="11" s="1"/>
  <c r="AR233" i="1"/>
  <c r="O8" i="11" s="1"/>
  <c r="AJ233" i="1"/>
  <c r="L18" i="11" s="1"/>
  <c r="AB233" i="1"/>
  <c r="I28" i="11" s="1"/>
  <c r="T233" i="1"/>
  <c r="F38" i="11" s="1"/>
  <c r="K233" i="1"/>
  <c r="C43" i="11" s="1"/>
  <c r="H233" i="1"/>
  <c r="C28" i="11" s="1"/>
  <c r="I233" i="1"/>
  <c r="C33" i="11" s="1"/>
  <c r="M233" i="1"/>
  <c r="C53" i="11" s="1"/>
  <c r="Q233" i="1"/>
  <c r="F23" i="11" s="1"/>
  <c r="U233" i="1"/>
  <c r="F43" i="11" s="1"/>
  <c r="Y233" i="1"/>
  <c r="I13" i="11" s="1"/>
  <c r="AC233" i="1"/>
  <c r="I33" i="11" s="1"/>
  <c r="AG233" i="1"/>
  <c r="I53" i="11" s="1"/>
  <c r="AK233" i="1"/>
  <c r="L23" i="11" s="1"/>
  <c r="AO233" i="1"/>
  <c r="L43" i="11" s="1"/>
  <c r="AS233" i="1"/>
  <c r="O13" i="11" s="1"/>
  <c r="AW233" i="1"/>
  <c r="O33" i="11" s="1"/>
  <c r="BA233" i="1"/>
  <c r="O53" i="11" s="1"/>
  <c r="BE233" i="1"/>
  <c r="R23" i="11" s="1"/>
  <c r="BI233" i="1"/>
  <c r="R43" i="11" s="1"/>
  <c r="I234" i="1"/>
  <c r="C34" i="11" s="1"/>
  <c r="M234" i="1"/>
  <c r="C54" i="11" s="1"/>
  <c r="Q234" i="1"/>
  <c r="F24" i="11" s="1"/>
  <c r="U234" i="1"/>
  <c r="F44" i="11" s="1"/>
  <c r="Y234" i="1"/>
  <c r="I14" i="11" s="1"/>
  <c r="AC234" i="1"/>
  <c r="I34" i="11" s="1"/>
  <c r="AG234" i="1"/>
  <c r="I54" i="11" s="1"/>
  <c r="AK234" i="1"/>
  <c r="L24" i="11" s="1"/>
  <c r="AO234" i="1"/>
  <c r="L44" i="11" s="1"/>
  <c r="AS234" i="1"/>
  <c r="O14" i="11" s="1"/>
  <c r="AW234" i="1"/>
  <c r="O34" i="11" s="1"/>
  <c r="BA234" i="1"/>
  <c r="O54" i="11" s="1"/>
  <c r="BE234" i="1"/>
  <c r="R24" i="11" s="1"/>
  <c r="BI234" i="1"/>
  <c r="R44" i="11" s="1"/>
  <c r="I235" i="1"/>
  <c r="C35" i="11" s="1"/>
  <c r="M235" i="1"/>
  <c r="C55" i="11" s="1"/>
  <c r="Q235" i="1"/>
  <c r="F25" i="11" s="1"/>
  <c r="U235" i="1"/>
  <c r="F45" i="11" s="1"/>
  <c r="Y235" i="1"/>
  <c r="I15" i="11" s="1"/>
  <c r="AC235" i="1"/>
  <c r="I35" i="11" s="1"/>
  <c r="AG235" i="1"/>
  <c r="I55" i="11" s="1"/>
  <c r="AK235" i="1"/>
  <c r="L25" i="11" s="1"/>
  <c r="AO235" i="1"/>
  <c r="L45" i="11" s="1"/>
  <c r="AS235" i="1"/>
  <c r="O15" i="11" s="1"/>
  <c r="AW235" i="1"/>
  <c r="O35" i="11" s="1"/>
  <c r="BA235" i="1"/>
  <c r="O55" i="11" s="1"/>
  <c r="BE235" i="1"/>
  <c r="R25" i="11" s="1"/>
  <c r="BI235" i="1"/>
  <c r="R45" i="11" s="1"/>
  <c r="I236" i="1"/>
  <c r="C36" i="11" s="1"/>
  <c r="M236" i="1"/>
  <c r="C56" i="11" s="1"/>
  <c r="Q236" i="1"/>
  <c r="F26" i="11" s="1"/>
  <c r="U236" i="1"/>
  <c r="F46" i="11" s="1"/>
  <c r="Y236" i="1"/>
  <c r="I16" i="11" s="1"/>
  <c r="AC236" i="1"/>
  <c r="I36" i="11" s="1"/>
  <c r="AG236" i="1"/>
  <c r="I56" i="11" s="1"/>
  <c r="AK236" i="1"/>
  <c r="L26" i="11" s="1"/>
  <c r="AO236" i="1"/>
  <c r="L46" i="11" s="1"/>
  <c r="AS236" i="1"/>
  <c r="O16" i="11" s="1"/>
  <c r="AW236" i="1"/>
  <c r="O36" i="11" s="1"/>
  <c r="BA236" i="1"/>
  <c r="O56" i="11" s="1"/>
  <c r="BE236" i="1"/>
  <c r="R26" i="11" s="1"/>
  <c r="BI236" i="1"/>
  <c r="R46" i="11" s="1"/>
  <c r="I237" i="1"/>
  <c r="C37" i="11" s="1"/>
  <c r="M237" i="1"/>
  <c r="C57" i="11" s="1"/>
  <c r="Q237" i="1"/>
  <c r="F27" i="11" s="1"/>
  <c r="U237" i="1"/>
  <c r="F47" i="11" s="1"/>
  <c r="Y237" i="1"/>
  <c r="I17" i="11" s="1"/>
  <c r="AC237" i="1"/>
  <c r="I37" i="11" s="1"/>
  <c r="AG237" i="1"/>
  <c r="I57" i="11" s="1"/>
  <c r="AK237" i="1"/>
  <c r="L27" i="11" s="1"/>
  <c r="AO237" i="1"/>
  <c r="L47" i="11" s="1"/>
  <c r="AS237" i="1"/>
  <c r="O17" i="11" s="1"/>
  <c r="AW237" i="1"/>
  <c r="O37" i="11" s="1"/>
  <c r="BA237" i="1"/>
  <c r="O57" i="11" s="1"/>
  <c r="BE237" i="1"/>
  <c r="R27" i="11" s="1"/>
  <c r="BI237" i="1"/>
  <c r="R47" i="11" s="1"/>
  <c r="F233" i="1"/>
  <c r="C18" i="11" s="1"/>
  <c r="G234" i="1"/>
  <c r="C24" i="11" s="1"/>
  <c r="E236" i="1"/>
  <c r="C16" i="11" s="1"/>
  <c r="F237" i="1"/>
  <c r="C22" i="11" s="1"/>
  <c r="D236" i="1"/>
  <c r="C11" i="11" s="1"/>
  <c r="J237" i="1"/>
  <c r="C42" i="11" s="1"/>
  <c r="V237" i="1"/>
  <c r="F52" i="11" s="1"/>
  <c r="AD237" i="1"/>
  <c r="I42" i="11" s="1"/>
  <c r="AH237" i="1"/>
  <c r="L12" i="11" s="1"/>
  <c r="AP237" i="1"/>
  <c r="L52" i="11" s="1"/>
  <c r="AT237" i="1"/>
  <c r="O22" i="11" s="1"/>
  <c r="BB237" i="1"/>
  <c r="R12" i="11" s="1"/>
  <c r="BF237" i="1"/>
  <c r="R32" i="11" s="1"/>
  <c r="BJ237" i="1"/>
  <c r="R52" i="11" s="1"/>
  <c r="E235" i="1"/>
  <c r="C15" i="11" s="1"/>
  <c r="J233" i="1"/>
  <c r="C38" i="11" s="1"/>
  <c r="N233" i="1"/>
  <c r="F8" i="11" s="1"/>
  <c r="R233" i="1"/>
  <c r="F28" i="11" s="1"/>
  <c r="V233" i="1"/>
  <c r="F48" i="11" s="1"/>
  <c r="Z233" i="1"/>
  <c r="I18" i="11" s="1"/>
  <c r="AD233" i="1"/>
  <c r="I38" i="11" s="1"/>
  <c r="AH233" i="1"/>
  <c r="L8" i="11" s="1"/>
  <c r="AL233" i="1"/>
  <c r="L28" i="11" s="1"/>
  <c r="AP233" i="1"/>
  <c r="L48" i="11" s="1"/>
  <c r="AT233" i="1"/>
  <c r="O18" i="11" s="1"/>
  <c r="AX233" i="1"/>
  <c r="O38" i="11" s="1"/>
  <c r="BB233" i="1"/>
  <c r="R8" i="11" s="1"/>
  <c r="BF233" i="1"/>
  <c r="R28" i="11" s="1"/>
  <c r="BJ233" i="1"/>
  <c r="R48" i="11" s="1"/>
  <c r="J234" i="1"/>
  <c r="C39" i="11" s="1"/>
  <c r="N234" i="1"/>
  <c r="F9" i="11" s="1"/>
  <c r="R234" i="1"/>
  <c r="F29" i="11" s="1"/>
  <c r="V234" i="1"/>
  <c r="F49" i="11" s="1"/>
  <c r="Z234" i="1"/>
  <c r="I19" i="11" s="1"/>
  <c r="AD234" i="1"/>
  <c r="I39" i="11" s="1"/>
  <c r="AH234" i="1"/>
  <c r="L9" i="11" s="1"/>
  <c r="AL234" i="1"/>
  <c r="L29" i="11" s="1"/>
  <c r="AP234" i="1"/>
  <c r="L49" i="11" s="1"/>
  <c r="AT234" i="1"/>
  <c r="O19" i="11" s="1"/>
  <c r="AX234" i="1"/>
  <c r="O39" i="11" s="1"/>
  <c r="BB234" i="1"/>
  <c r="R9" i="11" s="1"/>
  <c r="BF234" i="1"/>
  <c r="R29" i="11" s="1"/>
  <c r="BJ234" i="1"/>
  <c r="R49" i="11" s="1"/>
  <c r="J235" i="1"/>
  <c r="C40" i="11" s="1"/>
  <c r="N235" i="1"/>
  <c r="F10" i="11" s="1"/>
  <c r="R235" i="1"/>
  <c r="F30" i="11" s="1"/>
  <c r="V235" i="1"/>
  <c r="F50" i="11" s="1"/>
  <c r="Z235" i="1"/>
  <c r="I20" i="11" s="1"/>
  <c r="AD235" i="1"/>
  <c r="I40" i="11" s="1"/>
  <c r="AH235" i="1"/>
  <c r="L10" i="11" s="1"/>
  <c r="AL235" i="1"/>
  <c r="L30" i="11" s="1"/>
  <c r="AP235" i="1"/>
  <c r="L50" i="11" s="1"/>
  <c r="AT235" i="1"/>
  <c r="O20" i="11" s="1"/>
  <c r="AX235" i="1"/>
  <c r="O40" i="11" s="1"/>
  <c r="BB235" i="1"/>
  <c r="R10" i="11" s="1"/>
  <c r="BF235" i="1"/>
  <c r="R30" i="11" s="1"/>
  <c r="BJ235" i="1"/>
  <c r="R50" i="11" s="1"/>
  <c r="J236" i="1"/>
  <c r="C41" i="11" s="1"/>
  <c r="N236" i="1"/>
  <c r="F11" i="11" s="1"/>
  <c r="R236" i="1"/>
  <c r="F31" i="11" s="1"/>
  <c r="V236" i="1"/>
  <c r="F51" i="11" s="1"/>
  <c r="Z236" i="1"/>
  <c r="I21" i="11" s="1"/>
  <c r="AD236" i="1"/>
  <c r="I41" i="11" s="1"/>
  <c r="AH236" i="1"/>
  <c r="L11" i="11" s="1"/>
  <c r="AL236" i="1"/>
  <c r="L31" i="11" s="1"/>
  <c r="AP236" i="1"/>
  <c r="L51" i="11" s="1"/>
  <c r="AT236" i="1"/>
  <c r="O21" i="11" s="1"/>
  <c r="AX236" i="1"/>
  <c r="O41" i="11" s="1"/>
  <c r="BB236" i="1"/>
  <c r="R11" i="11" s="1"/>
  <c r="BF236" i="1"/>
  <c r="R31" i="11" s="1"/>
  <c r="BJ236" i="1"/>
  <c r="R51" i="11" s="1"/>
  <c r="N237" i="1"/>
  <c r="F12" i="11" s="1"/>
  <c r="R237" i="1"/>
  <c r="F32" i="11" s="1"/>
  <c r="Z237" i="1"/>
  <c r="I22" i="11" s="1"/>
  <c r="AL237" i="1"/>
  <c r="L32" i="11" s="1"/>
  <c r="AX237" i="1"/>
  <c r="O42" i="11" s="1"/>
  <c r="G233" i="1"/>
  <c r="C23" i="11" s="1"/>
  <c r="G237" i="1"/>
  <c r="C27" i="11" s="1"/>
  <c r="D237" i="1"/>
  <c r="C12" i="11" s="1"/>
  <c r="F235" i="1"/>
  <c r="C20" i="11" s="1"/>
  <c r="BC237" i="1"/>
  <c r="R17" i="11" s="1"/>
  <c r="AM237" i="1"/>
  <c r="L37" i="11" s="1"/>
  <c r="W237" i="1"/>
  <c r="F57" i="11" s="1"/>
  <c r="BK236" i="1"/>
  <c r="R56" i="11" s="1"/>
  <c r="BC236" i="1"/>
  <c r="R16" i="11" s="1"/>
  <c r="AM236" i="1"/>
  <c r="L36" i="11" s="1"/>
  <c r="AE236" i="1"/>
  <c r="I46" i="11" s="1"/>
  <c r="W236" i="1"/>
  <c r="F56" i="11" s="1"/>
  <c r="BK235" i="1"/>
  <c r="R55" i="11" s="1"/>
  <c r="AU235" i="1"/>
  <c r="O25" i="11" s="1"/>
  <c r="AM235" i="1"/>
  <c r="L35" i="11" s="1"/>
  <c r="W235" i="1"/>
  <c r="F55" i="11" s="1"/>
  <c r="O235" i="1"/>
  <c r="F15" i="11" s="1"/>
  <c r="BK234" i="1"/>
  <c r="R54" i="11" s="1"/>
  <c r="AU234" i="1"/>
  <c r="O24" i="11" s="1"/>
  <c r="AM234" i="1"/>
  <c r="L34" i="11" s="1"/>
  <c r="W234" i="1"/>
  <c r="F54" i="11" s="1"/>
  <c r="O233" i="1"/>
  <c r="F13" i="11" s="1"/>
  <c r="D233" i="1"/>
  <c r="C8" i="11" s="1"/>
  <c r="G236" i="1"/>
  <c r="C26" i="11" s="1"/>
  <c r="F234" i="1"/>
  <c r="C19" i="11" s="1"/>
  <c r="AZ237" i="1"/>
  <c r="O52" i="11" s="1"/>
  <c r="D235" i="1"/>
  <c r="C10" i="11" s="1"/>
  <c r="F236" i="1"/>
  <c r="C21" i="11" s="1"/>
  <c r="E234" i="1"/>
  <c r="C14" i="11" s="1"/>
  <c r="BG237" i="1"/>
  <c r="R37" i="11" s="1"/>
  <c r="AY237" i="1"/>
  <c r="O47" i="11" s="1"/>
  <c r="AQ237" i="1"/>
  <c r="L57" i="11" s="1"/>
  <c r="AI237" i="1"/>
  <c r="L17" i="11" s="1"/>
  <c r="AA237" i="1"/>
  <c r="I27" i="11" s="1"/>
  <c r="S237" i="1"/>
  <c r="F37" i="11" s="1"/>
  <c r="K237" i="1"/>
  <c r="C47" i="11" s="1"/>
  <c r="BG236" i="1"/>
  <c r="R36" i="11" s="1"/>
  <c r="AY236" i="1"/>
  <c r="O46" i="11" s="1"/>
  <c r="AQ236" i="1"/>
  <c r="L56" i="11" s="1"/>
  <c r="AI236" i="1"/>
  <c r="L16" i="11" s="1"/>
  <c r="AA236" i="1"/>
  <c r="I26" i="11" s="1"/>
  <c r="S236" i="1"/>
  <c r="F36" i="11" s="1"/>
  <c r="K236" i="1"/>
  <c r="C46" i="11" s="1"/>
  <c r="BG235" i="1"/>
  <c r="R35" i="11" s="1"/>
  <c r="AY235" i="1"/>
  <c r="O45" i="11" s="1"/>
  <c r="AQ235" i="1"/>
  <c r="L55" i="11" s="1"/>
  <c r="AI235" i="1"/>
  <c r="L15" i="11" s="1"/>
  <c r="AA235" i="1"/>
  <c r="I25" i="11" s="1"/>
  <c r="S235" i="1"/>
  <c r="F35" i="11" s="1"/>
  <c r="K235" i="1"/>
  <c r="C45" i="11" s="1"/>
  <c r="BG234" i="1"/>
  <c r="R34" i="11" s="1"/>
  <c r="AY234" i="1"/>
  <c r="O44" i="11" s="1"/>
  <c r="AQ234" i="1"/>
  <c r="L54" i="11" s="1"/>
  <c r="AI234" i="1"/>
  <c r="L14" i="11" s="1"/>
  <c r="AA234" i="1"/>
  <c r="I24" i="11" s="1"/>
  <c r="S234" i="1"/>
  <c r="F34" i="11" s="1"/>
  <c r="K234" i="1"/>
  <c r="C44" i="11" s="1"/>
  <c r="BG233" i="1"/>
  <c r="R33" i="11" s="1"/>
  <c r="AY233" i="1"/>
  <c r="O43" i="11" s="1"/>
  <c r="AQ233" i="1"/>
  <c r="L53" i="11" s="1"/>
  <c r="AI233" i="1"/>
  <c r="L13" i="11" s="1"/>
  <c r="AA233" i="1"/>
  <c r="I23" i="11" s="1"/>
  <c r="S233" i="1"/>
  <c r="F33" i="11" s="1"/>
  <c r="P13" i="11"/>
  <c r="P18" i="11" s="1"/>
  <c r="P23" i="11" s="1"/>
  <c r="P28" i="11" s="1"/>
  <c r="P33" i="11" s="1"/>
  <c r="P38" i="11" s="1"/>
  <c r="P43" i="11" s="1"/>
  <c r="P48" i="11" s="1"/>
  <c r="P53" i="11" s="1"/>
  <c r="J13" i="11"/>
  <c r="J18" i="11" s="1"/>
  <c r="J23" i="11" s="1"/>
  <c r="J28" i="11" s="1"/>
  <c r="J33" i="11" s="1"/>
  <c r="J38" i="11" s="1"/>
  <c r="J43" i="11" s="1"/>
  <c r="J48" i="11" s="1"/>
  <c r="J53" i="11" s="1"/>
  <c r="M13" i="11"/>
  <c r="M18" i="11" s="1"/>
  <c r="M23" i="11" s="1"/>
  <c r="M28" i="11" s="1"/>
  <c r="M33" i="11" s="1"/>
  <c r="M38" i="11" s="1"/>
  <c r="M43" i="11" s="1"/>
  <c r="M48" i="11" s="1"/>
  <c r="M53" i="11" s="1"/>
  <c r="G13" i="11"/>
  <c r="G18" i="11" s="1"/>
  <c r="G23" i="11" s="1"/>
  <c r="G28" i="11" s="1"/>
  <c r="G33" i="11" s="1"/>
  <c r="G38" i="11" s="1"/>
  <c r="G43" i="11" s="1"/>
  <c r="G48" i="11" s="1"/>
  <c r="G53" i="11" s="1"/>
  <c r="D13" i="11"/>
  <c r="D18" i="11" s="1"/>
  <c r="D23" i="11" s="1"/>
  <c r="D28" i="11" s="1"/>
  <c r="D33" i="11" s="1"/>
  <c r="D38" i="11" s="1"/>
  <c r="D43" i="11" s="1"/>
  <c r="D48" i="11" s="1"/>
  <c r="D53" i="11" s="1"/>
  <c r="A13" i="11"/>
  <c r="A18" i="11" s="1"/>
  <c r="A23" i="11" s="1"/>
  <c r="A28" i="11" s="1"/>
  <c r="A33" i="11" s="1"/>
  <c r="A38" i="11" s="1"/>
  <c r="A43" i="11" s="1"/>
  <c r="A48" i="11" s="1"/>
  <c r="A53" i="11" s="1"/>
  <c r="BS4" i="3" l="1"/>
  <c r="BS16" i="3"/>
  <c r="BS24" i="3"/>
  <c r="BS8" i="3"/>
  <c r="AD22" i="13"/>
  <c r="AD38" i="13"/>
  <c r="AD54" i="13"/>
  <c r="AD35" i="13"/>
  <c r="AD67" i="13"/>
  <c r="AD25" i="13"/>
  <c r="AD41" i="13"/>
  <c r="AD57" i="13"/>
  <c r="AD19" i="13"/>
  <c r="AD43" i="13"/>
  <c r="AD16" i="13"/>
  <c r="AD32" i="13"/>
  <c r="AD48" i="13"/>
  <c r="AD64" i="13"/>
  <c r="AD18" i="13"/>
  <c r="AD66" i="13"/>
  <c r="AD21" i="13"/>
  <c r="AD53" i="13"/>
  <c r="AD63" i="13"/>
  <c r="AD44" i="13"/>
  <c r="AD26" i="13"/>
  <c r="AD42" i="13"/>
  <c r="AD58" i="13"/>
  <c r="AD39" i="13"/>
  <c r="AD13" i="13"/>
  <c r="AD29" i="13"/>
  <c r="AD45" i="13"/>
  <c r="AD61" i="13"/>
  <c r="AD23" i="13"/>
  <c r="AD47" i="13"/>
  <c r="AD20" i="13"/>
  <c r="AD36" i="13"/>
  <c r="AD52" i="13"/>
  <c r="AD34" i="13"/>
  <c r="AD59" i="13"/>
  <c r="AD37" i="13"/>
  <c r="AD31" i="13"/>
  <c r="AD28" i="13"/>
  <c r="AD14" i="13"/>
  <c r="AD30" i="13"/>
  <c r="AD46" i="13"/>
  <c r="AD62" i="13"/>
  <c r="AD51" i="13"/>
  <c r="AD17" i="13"/>
  <c r="AD33" i="13"/>
  <c r="AD49" i="13"/>
  <c r="AD65" i="13"/>
  <c r="AD27" i="13"/>
  <c r="AD55" i="13"/>
  <c r="AD24" i="13"/>
  <c r="AD40" i="13"/>
  <c r="AD56" i="13"/>
  <c r="AD50" i="13"/>
  <c r="AD15" i="13"/>
  <c r="AD60" i="13"/>
  <c r="AJ18" i="13"/>
  <c r="AJ22" i="13"/>
  <c r="AJ26" i="13"/>
  <c r="AJ30" i="13"/>
  <c r="AJ34" i="13"/>
  <c r="AJ38" i="13"/>
  <c r="AJ42" i="13"/>
  <c r="AJ46" i="13"/>
  <c r="AJ50" i="13"/>
  <c r="AJ54" i="13"/>
  <c r="AJ58" i="13"/>
  <c r="AJ62" i="13"/>
  <c r="AJ66" i="13"/>
  <c r="AJ15" i="13"/>
  <c r="AJ14" i="13"/>
  <c r="AJ64" i="13"/>
  <c r="AJ48" i="13"/>
  <c r="AJ32" i="13"/>
  <c r="AJ16" i="13"/>
  <c r="AJ61" i="13"/>
  <c r="AJ53" i="13"/>
  <c r="AJ45" i="13"/>
  <c r="AJ37" i="13"/>
  <c r="AJ29" i="13"/>
  <c r="AJ21" i="13"/>
  <c r="AJ67" i="13"/>
  <c r="AJ76" i="13"/>
  <c r="AJ224" i="13"/>
  <c r="AJ208" i="13"/>
  <c r="AJ192" i="13"/>
  <c r="AJ176" i="13"/>
  <c r="AJ160" i="13"/>
  <c r="AJ144" i="13"/>
  <c r="AJ128" i="13"/>
  <c r="AJ112" i="13"/>
  <c r="AJ96" i="13"/>
  <c r="AJ231" i="13"/>
  <c r="AJ226" i="13"/>
  <c r="AJ221" i="13"/>
  <c r="AJ215" i="13"/>
  <c r="AJ210" i="13"/>
  <c r="AJ205" i="13"/>
  <c r="AJ199" i="13"/>
  <c r="AJ194" i="13"/>
  <c r="AJ189" i="13"/>
  <c r="AJ183" i="13"/>
  <c r="AJ178" i="13"/>
  <c r="AJ173" i="13"/>
  <c r="AJ167" i="13"/>
  <c r="AJ162" i="13"/>
  <c r="AJ157" i="13"/>
  <c r="AJ151" i="13"/>
  <c r="AJ146" i="13"/>
  <c r="AJ141" i="13"/>
  <c r="AJ135" i="13"/>
  <c r="AJ130" i="13"/>
  <c r="AJ125" i="13"/>
  <c r="AJ119" i="13"/>
  <c r="AJ114" i="13"/>
  <c r="AJ109" i="13"/>
  <c r="AJ103" i="13"/>
  <c r="AJ98" i="13"/>
  <c r="AJ93" i="13"/>
  <c r="AJ87" i="13"/>
  <c r="AJ81" i="13"/>
  <c r="AJ75" i="13"/>
  <c r="AJ230" i="13"/>
  <c r="AJ198" i="13"/>
  <c r="AJ187" i="13"/>
  <c r="AJ177" i="13"/>
  <c r="AJ171" i="13"/>
  <c r="AJ161" i="13"/>
  <c r="AJ150" i="13"/>
  <c r="AJ139" i="13"/>
  <c r="AJ134" i="13"/>
  <c r="AJ123" i="13"/>
  <c r="AJ113" i="13"/>
  <c r="AJ107" i="13"/>
  <c r="AJ97" i="13"/>
  <c r="AJ85" i="13"/>
  <c r="AJ73" i="13"/>
  <c r="AJ56" i="13"/>
  <c r="AJ40" i="13"/>
  <c r="AJ24" i="13"/>
  <c r="AJ65" i="13"/>
  <c r="AJ57" i="13"/>
  <c r="AJ49" i="13"/>
  <c r="AJ41" i="13"/>
  <c r="AJ33" i="13"/>
  <c r="AJ25" i="13"/>
  <c r="AJ17" i="13"/>
  <c r="AJ72" i="13"/>
  <c r="AJ216" i="13"/>
  <c r="AJ200" i="13"/>
  <c r="AJ184" i="13"/>
  <c r="AJ168" i="13"/>
  <c r="AJ136" i="13"/>
  <c r="AJ104" i="13"/>
  <c r="AJ229" i="13"/>
  <c r="AJ213" i="13"/>
  <c r="AJ60" i="13"/>
  <c r="AJ44" i="13"/>
  <c r="AJ28" i="13"/>
  <c r="AJ68" i="13"/>
  <c r="AJ59" i="13"/>
  <c r="AJ51" i="13"/>
  <c r="AJ43" i="13"/>
  <c r="AJ35" i="13"/>
  <c r="AJ27" i="13"/>
  <c r="AJ19" i="13"/>
  <c r="AJ69" i="13"/>
  <c r="AJ74" i="13"/>
  <c r="AJ220" i="13"/>
  <c r="AJ204" i="13"/>
  <c r="AJ188" i="13"/>
  <c r="AJ172" i="13"/>
  <c r="AJ156" i="13"/>
  <c r="AJ140" i="13"/>
  <c r="AJ124" i="13"/>
  <c r="AJ108" i="13"/>
  <c r="AJ92" i="13"/>
  <c r="AJ225" i="13"/>
  <c r="AJ219" i="13"/>
  <c r="AJ214" i="13"/>
  <c r="AJ209" i="13"/>
  <c r="AJ203" i="13"/>
  <c r="AJ193" i="13"/>
  <c r="AJ182" i="13"/>
  <c r="AJ166" i="13"/>
  <c r="AJ155" i="13"/>
  <c r="AJ145" i="13"/>
  <c r="AJ129" i="13"/>
  <c r="AJ118" i="13"/>
  <c r="AJ102" i="13"/>
  <c r="AJ91" i="13"/>
  <c r="AJ79" i="13"/>
  <c r="AJ86" i="13"/>
  <c r="AJ152" i="13"/>
  <c r="AJ120" i="13"/>
  <c r="AJ88" i="13"/>
  <c r="AJ223" i="13"/>
  <c r="AJ218" i="13"/>
  <c r="AJ207" i="13"/>
  <c r="AJ197" i="13"/>
  <c r="AJ52" i="13"/>
  <c r="AJ55" i="13"/>
  <c r="AJ23" i="13"/>
  <c r="AJ212" i="13"/>
  <c r="AJ148" i="13"/>
  <c r="AJ80" i="13"/>
  <c r="AJ211" i="13"/>
  <c r="AJ195" i="13"/>
  <c r="AJ185" i="13"/>
  <c r="AJ174" i="13"/>
  <c r="AJ163" i="13"/>
  <c r="AJ153" i="13"/>
  <c r="AJ142" i="13"/>
  <c r="AJ131" i="13"/>
  <c r="AJ121" i="13"/>
  <c r="AJ110" i="13"/>
  <c r="AJ99" i="13"/>
  <c r="AJ89" i="13"/>
  <c r="AJ77" i="13"/>
  <c r="AJ63" i="13"/>
  <c r="AJ31" i="13"/>
  <c r="AJ164" i="13"/>
  <c r="AJ100" i="13"/>
  <c r="AJ201" i="13"/>
  <c r="AJ175" i="13"/>
  <c r="AJ133" i="13"/>
  <c r="AJ111" i="13"/>
  <c r="AJ78" i="13"/>
  <c r="AJ36" i="13"/>
  <c r="AJ47" i="13"/>
  <c r="AJ13" i="13"/>
  <c r="AJ196" i="13"/>
  <c r="AJ132" i="13"/>
  <c r="AJ227" i="13"/>
  <c r="AJ206" i="13"/>
  <c r="AJ191" i="13"/>
  <c r="AJ181" i="13"/>
  <c r="AJ170" i="13"/>
  <c r="AJ159" i="13"/>
  <c r="AJ149" i="13"/>
  <c r="AJ138" i="13"/>
  <c r="AJ127" i="13"/>
  <c r="AJ117" i="13"/>
  <c r="AJ106" i="13"/>
  <c r="AJ95" i="13"/>
  <c r="AJ83" i="13"/>
  <c r="AJ71" i="13"/>
  <c r="AJ20" i="13"/>
  <c r="AJ39" i="13"/>
  <c r="AJ84" i="13"/>
  <c r="AJ180" i="13"/>
  <c r="AJ116" i="13"/>
  <c r="AJ222" i="13"/>
  <c r="AJ202" i="13"/>
  <c r="AJ190" i="13"/>
  <c r="AJ179" i="13"/>
  <c r="AJ169" i="13"/>
  <c r="AJ158" i="13"/>
  <c r="AJ147" i="13"/>
  <c r="AJ137" i="13"/>
  <c r="AJ126" i="13"/>
  <c r="AJ115" i="13"/>
  <c r="AJ105" i="13"/>
  <c r="AJ94" i="13"/>
  <c r="AJ82" i="13"/>
  <c r="AJ70" i="13"/>
  <c r="AJ228" i="13"/>
  <c r="AJ217" i="13"/>
  <c r="AJ186" i="13"/>
  <c r="AJ165" i="13"/>
  <c r="AJ154" i="13"/>
  <c r="AJ143" i="13"/>
  <c r="AJ122" i="13"/>
  <c r="AJ101" i="13"/>
  <c r="AJ90" i="13"/>
  <c r="AK5" i="13"/>
  <c r="A10" i="1"/>
  <c r="A8" i="6" s="1"/>
  <c r="A11" i="1"/>
  <c r="A9" i="6" s="1"/>
  <c r="A12" i="1"/>
  <c r="A10" i="6" s="1"/>
  <c r="A13" i="1"/>
  <c r="A11" i="6" s="1"/>
  <c r="A14" i="1"/>
  <c r="A15" i="1"/>
  <c r="A13" i="6" s="1"/>
  <c r="A16" i="1"/>
  <c r="A14" i="6" s="1"/>
  <c r="A17" i="1"/>
  <c r="A15" i="6" s="1"/>
  <c r="A18" i="1"/>
  <c r="A16" i="6" s="1"/>
  <c r="A19" i="1"/>
  <c r="A20" i="1"/>
  <c r="A18" i="6" s="1"/>
  <c r="A21" i="1"/>
  <c r="A19" i="6" s="1"/>
  <c r="A22" i="1"/>
  <c r="A20" i="6" s="1"/>
  <c r="A23" i="1"/>
  <c r="A21" i="6" s="1"/>
  <c r="A24" i="1"/>
  <c r="A22" i="6" s="1"/>
  <c r="A25" i="1"/>
  <c r="A23" i="6" s="1"/>
  <c r="A26" i="1"/>
  <c r="A24" i="6" s="1"/>
  <c r="A27" i="1"/>
  <c r="A28" i="1"/>
  <c r="A26" i="6" s="1"/>
  <c r="A29" i="1"/>
  <c r="A27" i="6" s="1"/>
  <c r="A30" i="1"/>
  <c r="A31" i="1"/>
  <c r="A29" i="6" s="1"/>
  <c r="A32" i="1"/>
  <c r="A30" i="6" s="1"/>
  <c r="A33" i="1"/>
  <c r="A31" i="6" s="1"/>
  <c r="A34" i="1"/>
  <c r="A35" i="1"/>
  <c r="A36" i="1"/>
  <c r="A34" i="6" s="1"/>
  <c r="A37" i="1"/>
  <c r="A35" i="6" s="1"/>
  <c r="A38" i="1"/>
  <c r="A36" i="6" s="1"/>
  <c r="A39" i="1"/>
  <c r="A37" i="6" s="1"/>
  <c r="A40" i="1"/>
  <c r="A38" i="6" s="1"/>
  <c r="A41" i="1"/>
  <c r="A39" i="6" s="1"/>
  <c r="A42" i="1"/>
  <c r="A40" i="6" s="1"/>
  <c r="A43" i="1"/>
  <c r="A44" i="1"/>
  <c r="A42" i="6" s="1"/>
  <c r="A45" i="1"/>
  <c r="A43" i="6" s="1"/>
  <c r="A46" i="1"/>
  <c r="A44" i="6" s="1"/>
  <c r="A47" i="1"/>
  <c r="A48" i="1"/>
  <c r="A46" i="6" s="1"/>
  <c r="A49" i="1"/>
  <c r="A47" i="6" s="1"/>
  <c r="A50" i="1"/>
  <c r="A51" i="1"/>
  <c r="A52" i="1"/>
  <c r="A50" i="6" s="1"/>
  <c r="A53" i="1"/>
  <c r="A51" i="6" s="1"/>
  <c r="A54" i="1"/>
  <c r="A52" i="6" s="1"/>
  <c r="A55" i="1"/>
  <c r="A53" i="6" s="1"/>
  <c r="A56" i="1"/>
  <c r="A54" i="6" s="1"/>
  <c r="A57" i="1"/>
  <c r="A55" i="6" s="1"/>
  <c r="A58" i="1"/>
  <c r="A56" i="6" s="1"/>
  <c r="A59" i="1"/>
  <c r="A57" i="6" s="1"/>
  <c r="A60" i="1"/>
  <c r="A58" i="6" s="1"/>
  <c r="A61" i="1"/>
  <c r="A59" i="6" s="1"/>
  <c r="A62" i="1"/>
  <c r="A60" i="6" s="1"/>
  <c r="A63" i="1"/>
  <c r="A61" i="6" s="1"/>
  <c r="A64" i="1"/>
  <c r="A62" i="6" s="1"/>
  <c r="A65" i="1"/>
  <c r="A63" i="6" s="1"/>
  <c r="A66" i="1"/>
  <c r="A64" i="6" s="1"/>
  <c r="A67" i="1"/>
  <c r="A65" i="6" s="1"/>
  <c r="A68" i="1"/>
  <c r="A66" i="6" s="1"/>
  <c r="A69" i="1"/>
  <c r="A67" i="6" s="1"/>
  <c r="A70" i="1"/>
  <c r="A71" i="1"/>
  <c r="A69" i="6" s="1"/>
  <c r="A72" i="1"/>
  <c r="A70" i="6" s="1"/>
  <c r="A73" i="1"/>
  <c r="A71" i="6" s="1"/>
  <c r="A74" i="1"/>
  <c r="A72" i="6" s="1"/>
  <c r="A75" i="1"/>
  <c r="A76" i="1"/>
  <c r="A74" i="6" s="1"/>
  <c r="A77" i="1"/>
  <c r="A75" i="6" s="1"/>
  <c r="A78" i="1"/>
  <c r="A76" i="6" s="1"/>
  <c r="A79" i="1"/>
  <c r="A77" i="6" s="1"/>
  <c r="A80" i="1"/>
  <c r="A78" i="6" s="1"/>
  <c r="A81" i="1"/>
  <c r="A79" i="6" s="1"/>
  <c r="A82" i="1"/>
  <c r="A80" i="6" s="1"/>
  <c r="A83" i="1"/>
  <c r="A81" i="6" s="1"/>
  <c r="A84" i="1"/>
  <c r="A82" i="6" s="1"/>
  <c r="A85" i="1"/>
  <c r="A83" i="6" s="1"/>
  <c r="A86" i="1"/>
  <c r="A84" i="6" s="1"/>
  <c r="A87" i="1"/>
  <c r="A85" i="6" s="1"/>
  <c r="A88" i="1"/>
  <c r="A86" i="6" s="1"/>
  <c r="A89" i="1"/>
  <c r="A87" i="6" s="1"/>
  <c r="A90" i="1"/>
  <c r="A88" i="6" s="1"/>
  <c r="A91" i="1"/>
  <c r="A89" i="6" s="1"/>
  <c r="A92" i="1"/>
  <c r="A90" i="6" s="1"/>
  <c r="A93" i="1"/>
  <c r="A91" i="6" s="1"/>
  <c r="A94" i="1"/>
  <c r="A92" i="6" s="1"/>
  <c r="A95" i="1"/>
  <c r="A93" i="6" s="1"/>
  <c r="A96" i="1"/>
  <c r="A94" i="6" s="1"/>
  <c r="A97" i="1"/>
  <c r="A95" i="6" s="1"/>
  <c r="A98" i="1"/>
  <c r="A99" i="1"/>
  <c r="A97" i="6" s="1"/>
  <c r="A100" i="1"/>
  <c r="A98" i="6" s="1"/>
  <c r="A101" i="1"/>
  <c r="A99" i="6" s="1"/>
  <c r="A102" i="1"/>
  <c r="A100" i="6" s="1"/>
  <c r="A103" i="1"/>
  <c r="A101" i="6" s="1"/>
  <c r="A104" i="1"/>
  <c r="A102" i="6" s="1"/>
  <c r="A105" i="1"/>
  <c r="A103" i="6" s="1"/>
  <c r="A106" i="1"/>
  <c r="A104" i="6" s="1"/>
  <c r="A107" i="1"/>
  <c r="A105" i="6" s="1"/>
  <c r="A108" i="1"/>
  <c r="A106" i="6" s="1"/>
  <c r="A109" i="1"/>
  <c r="A107" i="6" s="1"/>
  <c r="A110" i="1"/>
  <c r="A108" i="6" s="1"/>
  <c r="A111" i="1"/>
  <c r="A109" i="6" s="1"/>
  <c r="A112" i="1"/>
  <c r="A110" i="6" s="1"/>
  <c r="A113" i="1"/>
  <c r="A111" i="6" s="1"/>
  <c r="A114" i="1"/>
  <c r="A112" i="6" s="1"/>
  <c r="A115" i="1"/>
  <c r="A113" i="6" s="1"/>
  <c r="A116" i="1"/>
  <c r="A114" i="6" s="1"/>
  <c r="A117" i="1"/>
  <c r="A115" i="6" s="1"/>
  <c r="A118" i="1"/>
  <c r="A116" i="6" s="1"/>
  <c r="A119" i="1"/>
  <c r="A117" i="6" s="1"/>
  <c r="A120" i="1"/>
  <c r="A118" i="6" s="1"/>
  <c r="A121" i="1"/>
  <c r="A119" i="6" s="1"/>
  <c r="A122" i="1"/>
  <c r="A120" i="6" s="1"/>
  <c r="A123" i="1"/>
  <c r="A121" i="6" s="1"/>
  <c r="A124" i="1"/>
  <c r="A122" i="6" s="1"/>
  <c r="A125" i="1"/>
  <c r="A123" i="6" s="1"/>
  <c r="A126" i="1"/>
  <c r="A124" i="6" s="1"/>
  <c r="A127" i="1"/>
  <c r="A125" i="6" s="1"/>
  <c r="A128" i="1"/>
  <c r="A126" i="6" s="1"/>
  <c r="A129" i="1"/>
  <c r="A127" i="6" s="1"/>
  <c r="A130" i="1"/>
  <c r="A128" i="6" s="1"/>
  <c r="A131" i="1"/>
  <c r="A129" i="6" s="1"/>
  <c r="A132" i="1"/>
  <c r="A130" i="6" s="1"/>
  <c r="A133" i="1"/>
  <c r="A131" i="6" s="1"/>
  <c r="A134" i="1"/>
  <c r="A135" i="1"/>
  <c r="A133" i="6" s="1"/>
  <c r="A136" i="1"/>
  <c r="A134" i="6" s="1"/>
  <c r="A137" i="1"/>
  <c r="A135" i="6" s="1"/>
  <c r="A138" i="1"/>
  <c r="A136" i="6" s="1"/>
  <c r="A139" i="1"/>
  <c r="A137" i="6" s="1"/>
  <c r="A140" i="1"/>
  <c r="A138" i="6" s="1"/>
  <c r="A141" i="1"/>
  <c r="A139" i="6" s="1"/>
  <c r="A142" i="1"/>
  <c r="A140" i="6" s="1"/>
  <c r="A143" i="1"/>
  <c r="A141" i="6" s="1"/>
  <c r="A144" i="1"/>
  <c r="A142" i="6" s="1"/>
  <c r="A145" i="1"/>
  <c r="A143" i="6" s="1"/>
  <c r="A146" i="1"/>
  <c r="A147" i="1"/>
  <c r="A145" i="6" s="1"/>
  <c r="A148" i="1"/>
  <c r="A146" i="6" s="1"/>
  <c r="A149" i="1"/>
  <c r="A147" i="6" s="1"/>
  <c r="A150" i="1"/>
  <c r="A148" i="6" s="1"/>
  <c r="A151" i="1"/>
  <c r="A149" i="6" s="1"/>
  <c r="A152" i="1"/>
  <c r="A150" i="6" s="1"/>
  <c r="A153" i="1"/>
  <c r="A151" i="6" s="1"/>
  <c r="A154" i="1"/>
  <c r="A152" i="6" s="1"/>
  <c r="A155" i="1"/>
  <c r="A153" i="6" s="1"/>
  <c r="A156" i="1"/>
  <c r="A154" i="6" s="1"/>
  <c r="A157" i="1"/>
  <c r="A155" i="6" s="1"/>
  <c r="A158" i="1"/>
  <c r="A156" i="6" s="1"/>
  <c r="A159" i="1"/>
  <c r="A157" i="6" s="1"/>
  <c r="A160" i="1"/>
  <c r="A158" i="6" s="1"/>
  <c r="A161" i="1"/>
  <c r="A159" i="6" s="1"/>
  <c r="A162" i="1"/>
  <c r="A160" i="6" s="1"/>
  <c r="A163" i="1"/>
  <c r="A161" i="6" s="1"/>
  <c r="A164" i="1"/>
  <c r="A162" i="6" s="1"/>
  <c r="A165" i="1"/>
  <c r="A163" i="6" s="1"/>
  <c r="A166" i="1"/>
  <c r="A164" i="6" s="1"/>
  <c r="A167" i="1"/>
  <c r="A165" i="6" s="1"/>
  <c r="A168" i="1"/>
  <c r="A166" i="6" s="1"/>
  <c r="A169" i="1"/>
  <c r="A167" i="6" s="1"/>
  <c r="A170" i="1"/>
  <c r="A168" i="6" s="1"/>
  <c r="A171" i="1"/>
  <c r="A169" i="6" s="1"/>
  <c r="A172" i="1"/>
  <c r="A170" i="6" s="1"/>
  <c r="A173" i="1"/>
  <c r="A171" i="6" s="1"/>
  <c r="A174" i="1"/>
  <c r="A172" i="6" s="1"/>
  <c r="A175" i="1"/>
  <c r="A173" i="6" s="1"/>
  <c r="A176" i="1"/>
  <c r="A174" i="6" s="1"/>
  <c r="A177" i="1"/>
  <c r="A175" i="6" s="1"/>
  <c r="A178" i="1"/>
  <c r="A179" i="1"/>
  <c r="A177" i="6" s="1"/>
  <c r="A180" i="1"/>
  <c r="A178" i="6" s="1"/>
  <c r="A181" i="1"/>
  <c r="A179" i="6" s="1"/>
  <c r="A182" i="1"/>
  <c r="A180" i="6" s="1"/>
  <c r="A183" i="1"/>
  <c r="A181" i="6" s="1"/>
  <c r="A184" i="1"/>
  <c r="A182" i="6" s="1"/>
  <c r="A185" i="1"/>
  <c r="A183" i="6" s="1"/>
  <c r="A186" i="1"/>
  <c r="A184" i="6" s="1"/>
  <c r="A187" i="1"/>
  <c r="A185" i="6" s="1"/>
  <c r="A188" i="1"/>
  <c r="A186" i="6" s="1"/>
  <c r="A189" i="1"/>
  <c r="A187" i="6" s="1"/>
  <c r="A190" i="1"/>
  <c r="A188" i="6" s="1"/>
  <c r="A191" i="1"/>
  <c r="A189" i="6" s="1"/>
  <c r="A192" i="1"/>
  <c r="A190" i="6" s="1"/>
  <c r="A193" i="1"/>
  <c r="A191" i="6" s="1"/>
  <c r="A194" i="1"/>
  <c r="A192" i="6" s="1"/>
  <c r="A195" i="1"/>
  <c r="A193" i="6" s="1"/>
  <c r="A196" i="1"/>
  <c r="A194" i="6" s="1"/>
  <c r="A197" i="1"/>
  <c r="A195" i="6" s="1"/>
  <c r="A198" i="1"/>
  <c r="A196" i="6" s="1"/>
  <c r="A199" i="1"/>
  <c r="A197" i="6" s="1"/>
  <c r="A200" i="1"/>
  <c r="A198" i="6" s="1"/>
  <c r="A201" i="1"/>
  <c r="A199" i="6" s="1"/>
  <c r="A202" i="1"/>
  <c r="A200" i="6" s="1"/>
  <c r="A203" i="1"/>
  <c r="A201" i="6" s="1"/>
  <c r="A204" i="1"/>
  <c r="A202" i="6" s="1"/>
  <c r="A205" i="1"/>
  <c r="A203" i="6" s="1"/>
  <c r="A206" i="1"/>
  <c r="A204" i="6" s="1"/>
  <c r="A207" i="1"/>
  <c r="A205" i="6" s="1"/>
  <c r="A208" i="1"/>
  <c r="A206" i="6" s="1"/>
  <c r="A209" i="1"/>
  <c r="A207" i="6" s="1"/>
  <c r="A210" i="1"/>
  <c r="A208" i="6" s="1"/>
  <c r="A211" i="1"/>
  <c r="A209" i="6" s="1"/>
  <c r="A212" i="1"/>
  <c r="A210" i="6" s="1"/>
  <c r="A213" i="1"/>
  <c r="A211" i="6" s="1"/>
  <c r="A214" i="1"/>
  <c r="A212" i="6" s="1"/>
  <c r="A215" i="1"/>
  <c r="A213" i="6" s="1"/>
  <c r="A216" i="1"/>
  <c r="A214" i="6" s="1"/>
  <c r="A217" i="1"/>
  <c r="A215" i="6" s="1"/>
  <c r="A218" i="1"/>
  <c r="A216" i="6" s="1"/>
  <c r="A219" i="1"/>
  <c r="A217" i="6" s="1"/>
  <c r="A220" i="1"/>
  <c r="A218" i="6" s="1"/>
  <c r="A221" i="1"/>
  <c r="A219" i="6" s="1"/>
  <c r="A222" i="1"/>
  <c r="A220" i="6" s="1"/>
  <c r="A223" i="1"/>
  <c r="A221" i="6" s="1"/>
  <c r="A224" i="1"/>
  <c r="A222" i="6" s="1"/>
  <c r="A225" i="1"/>
  <c r="A223" i="6" s="1"/>
  <c r="A226" i="1"/>
  <c r="A224" i="6" s="1"/>
  <c r="A227" i="1"/>
  <c r="A225" i="6" s="1"/>
  <c r="A228" i="1"/>
  <c r="A226" i="6" s="1"/>
  <c r="A229" i="1"/>
  <c r="A227" i="6" s="1"/>
  <c r="A25" i="6"/>
  <c r="A41" i="6"/>
  <c r="A49" i="6"/>
  <c r="A73" i="6"/>
  <c r="A17" i="6"/>
  <c r="A28" i="6"/>
  <c r="A33" i="6"/>
  <c r="A45" i="6"/>
  <c r="A48" i="6"/>
  <c r="A144" i="6"/>
  <c r="A176" i="6"/>
  <c r="A12" i="6"/>
  <c r="A32" i="6"/>
  <c r="A96" i="6"/>
  <c r="A68" i="6"/>
  <c r="A132" i="6"/>
  <c r="A228" i="6"/>
  <c r="M17" i="5"/>
  <c r="M16" i="5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M19" i="5" l="1"/>
  <c r="M18" i="5"/>
  <c r="D234" i="10"/>
  <c r="D193" i="6"/>
  <c r="E193" i="6"/>
  <c r="D194" i="6"/>
  <c r="E194" i="6"/>
  <c r="D195" i="6"/>
  <c r="E195" i="6"/>
  <c r="D196" i="6"/>
  <c r="E196" i="6"/>
  <c r="D197" i="6"/>
  <c r="E197" i="6"/>
  <c r="D198" i="6"/>
  <c r="E198" i="6"/>
  <c r="D199" i="6"/>
  <c r="E199" i="6"/>
  <c r="D200" i="6"/>
  <c r="E200" i="6"/>
  <c r="D201" i="6"/>
  <c r="E201" i="6"/>
  <c r="D202" i="6"/>
  <c r="E202" i="6"/>
  <c r="D203" i="6"/>
  <c r="E203" i="6"/>
  <c r="D204" i="6"/>
  <c r="E204" i="6"/>
  <c r="D205" i="6"/>
  <c r="E205" i="6"/>
  <c r="D206" i="6"/>
  <c r="E206" i="6"/>
  <c r="D207" i="6"/>
  <c r="E207" i="6"/>
  <c r="D208" i="6"/>
  <c r="E208" i="6"/>
  <c r="D209" i="6"/>
  <c r="E209" i="6"/>
  <c r="D210" i="6"/>
  <c r="E210" i="6"/>
  <c r="D211" i="6"/>
  <c r="E211" i="6"/>
  <c r="D212" i="6"/>
  <c r="E212" i="6"/>
  <c r="D213" i="6"/>
  <c r="E213" i="6"/>
  <c r="D214" i="6"/>
  <c r="E214" i="6"/>
  <c r="D215" i="6"/>
  <c r="E215" i="6"/>
  <c r="D216" i="6"/>
  <c r="E216" i="6"/>
  <c r="D217" i="6"/>
  <c r="E217" i="6"/>
  <c r="D218" i="6"/>
  <c r="E218" i="6"/>
  <c r="D219" i="6"/>
  <c r="E219" i="6"/>
  <c r="D220" i="6"/>
  <c r="E220" i="6"/>
  <c r="D221" i="6"/>
  <c r="E221" i="6"/>
  <c r="D222" i="6"/>
  <c r="E222" i="6"/>
  <c r="D223" i="6"/>
  <c r="E223" i="6"/>
  <c r="D224" i="6"/>
  <c r="E224" i="6"/>
  <c r="D225" i="6"/>
  <c r="E225" i="6"/>
  <c r="D226" i="6"/>
  <c r="E226" i="6"/>
  <c r="D227" i="6"/>
  <c r="E227" i="6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C3" i="2"/>
  <c r="B3" i="2"/>
  <c r="D238" i="10"/>
  <c r="D230" i="6"/>
  <c r="D233" i="10" s="1"/>
  <c r="B234" i="13" s="1"/>
  <c r="C5" i="6"/>
  <c r="B42" i="10"/>
  <c r="C42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B52" i="10"/>
  <c r="C52" i="10"/>
  <c r="B53" i="10"/>
  <c r="C53" i="10"/>
  <c r="B54" i="10"/>
  <c r="C54" i="10"/>
  <c r="B55" i="10"/>
  <c r="C55" i="10"/>
  <c r="B56" i="10"/>
  <c r="C56" i="10"/>
  <c r="B57" i="10"/>
  <c r="C57" i="10"/>
  <c r="B58" i="10"/>
  <c r="C58" i="10"/>
  <c r="B59" i="10"/>
  <c r="C59" i="10"/>
  <c r="B60" i="10"/>
  <c r="C60" i="10"/>
  <c r="B61" i="10"/>
  <c r="C61" i="10"/>
  <c r="B62" i="10"/>
  <c r="C62" i="10"/>
  <c r="B63" i="10"/>
  <c r="C63" i="10"/>
  <c r="B64" i="10"/>
  <c r="C64" i="10"/>
  <c r="B65" i="10"/>
  <c r="C65" i="10"/>
  <c r="B66" i="10"/>
  <c r="C66" i="10"/>
  <c r="B67" i="10"/>
  <c r="C67" i="10"/>
  <c r="B68" i="10"/>
  <c r="C68" i="10"/>
  <c r="B69" i="10"/>
  <c r="C69" i="10"/>
  <c r="B70" i="10"/>
  <c r="C70" i="10"/>
  <c r="B71" i="10"/>
  <c r="C71" i="10"/>
  <c r="B72" i="10"/>
  <c r="C72" i="10"/>
  <c r="B73" i="10"/>
  <c r="C73" i="10"/>
  <c r="B74" i="10"/>
  <c r="C74" i="10"/>
  <c r="B75" i="10"/>
  <c r="C75" i="10"/>
  <c r="B76" i="10"/>
  <c r="C76" i="10"/>
  <c r="B77" i="10"/>
  <c r="C77" i="10"/>
  <c r="B78" i="10"/>
  <c r="C78" i="10"/>
  <c r="B79" i="10"/>
  <c r="C79" i="10"/>
  <c r="B80" i="10"/>
  <c r="C80" i="10"/>
  <c r="B81" i="10"/>
  <c r="C81" i="10"/>
  <c r="B82" i="10"/>
  <c r="C82" i="10"/>
  <c r="B83" i="10"/>
  <c r="C83" i="10"/>
  <c r="B84" i="10"/>
  <c r="C84" i="10"/>
  <c r="B85" i="10"/>
  <c r="C85" i="10"/>
  <c r="B86" i="10"/>
  <c r="C86" i="10"/>
  <c r="B87" i="10"/>
  <c r="C87" i="10"/>
  <c r="B88" i="10"/>
  <c r="C88" i="10"/>
  <c r="B89" i="10"/>
  <c r="C89" i="10"/>
  <c r="B90" i="10"/>
  <c r="C90" i="10"/>
  <c r="B91" i="10"/>
  <c r="C91" i="10"/>
  <c r="B92" i="10"/>
  <c r="C92" i="10"/>
  <c r="B93" i="10"/>
  <c r="C93" i="10"/>
  <c r="B94" i="10"/>
  <c r="C94" i="10"/>
  <c r="B95" i="10"/>
  <c r="C95" i="10"/>
  <c r="B96" i="10"/>
  <c r="C96" i="10"/>
  <c r="B97" i="10"/>
  <c r="C97" i="10"/>
  <c r="B98" i="10"/>
  <c r="C98" i="10"/>
  <c r="B99" i="10"/>
  <c r="C99" i="10"/>
  <c r="B100" i="10"/>
  <c r="C100" i="10"/>
  <c r="B101" i="10"/>
  <c r="C101" i="10"/>
  <c r="B102" i="10"/>
  <c r="C102" i="10"/>
  <c r="B103" i="10"/>
  <c r="C103" i="10"/>
  <c r="B104" i="10"/>
  <c r="C104" i="10"/>
  <c r="B105" i="10"/>
  <c r="C105" i="10"/>
  <c r="B106" i="10"/>
  <c r="C106" i="10"/>
  <c r="B107" i="10"/>
  <c r="C107" i="10"/>
  <c r="B108" i="10"/>
  <c r="C108" i="10"/>
  <c r="B109" i="10"/>
  <c r="C109" i="10"/>
  <c r="B110" i="10"/>
  <c r="C110" i="10"/>
  <c r="B111" i="10"/>
  <c r="C111" i="10"/>
  <c r="B112" i="10"/>
  <c r="C112" i="10"/>
  <c r="B113" i="10"/>
  <c r="C113" i="10"/>
  <c r="B114" i="10"/>
  <c r="C114" i="10"/>
  <c r="B115" i="10"/>
  <c r="C115" i="10"/>
  <c r="B116" i="10"/>
  <c r="C116" i="10"/>
  <c r="B117" i="10"/>
  <c r="C117" i="10"/>
  <c r="B118" i="10"/>
  <c r="C118" i="10"/>
  <c r="B119" i="10"/>
  <c r="C119" i="10"/>
  <c r="B120" i="10"/>
  <c r="C120" i="10"/>
  <c r="B121" i="10"/>
  <c r="C121" i="10"/>
  <c r="B122" i="10"/>
  <c r="C122" i="10"/>
  <c r="B123" i="10"/>
  <c r="C123" i="10"/>
  <c r="B124" i="10"/>
  <c r="C124" i="10"/>
  <c r="B125" i="10"/>
  <c r="C125" i="10"/>
  <c r="B126" i="10"/>
  <c r="C126" i="10"/>
  <c r="B127" i="10"/>
  <c r="C127" i="10"/>
  <c r="B128" i="10"/>
  <c r="C128" i="10"/>
  <c r="B129" i="10"/>
  <c r="C129" i="10"/>
  <c r="B130" i="10"/>
  <c r="C130" i="10"/>
  <c r="B131" i="10"/>
  <c r="C131" i="10"/>
  <c r="B132" i="10"/>
  <c r="C132" i="10"/>
  <c r="B133" i="10"/>
  <c r="C133" i="10"/>
  <c r="B134" i="10"/>
  <c r="C134" i="10"/>
  <c r="B135" i="10"/>
  <c r="C135" i="10"/>
  <c r="B136" i="10"/>
  <c r="C136" i="10"/>
  <c r="B137" i="10"/>
  <c r="C137" i="10"/>
  <c r="B138" i="10"/>
  <c r="C138" i="10"/>
  <c r="B139" i="10"/>
  <c r="C139" i="10"/>
  <c r="B140" i="10"/>
  <c r="C140" i="10"/>
  <c r="B141" i="10"/>
  <c r="C141" i="10"/>
  <c r="B142" i="10"/>
  <c r="C142" i="10"/>
  <c r="B143" i="10"/>
  <c r="C143" i="10"/>
  <c r="B144" i="10"/>
  <c r="C144" i="10"/>
  <c r="B145" i="10"/>
  <c r="C145" i="10"/>
  <c r="B146" i="10"/>
  <c r="C146" i="10"/>
  <c r="B147" i="10"/>
  <c r="C147" i="10"/>
  <c r="B148" i="10"/>
  <c r="C148" i="10"/>
  <c r="B149" i="10"/>
  <c r="C149" i="10"/>
  <c r="B150" i="10"/>
  <c r="C150" i="10"/>
  <c r="B151" i="10"/>
  <c r="C151" i="10"/>
  <c r="B152" i="10"/>
  <c r="C152" i="10"/>
  <c r="B153" i="10"/>
  <c r="C153" i="10"/>
  <c r="B154" i="10"/>
  <c r="C154" i="10"/>
  <c r="B155" i="10"/>
  <c r="C155" i="10"/>
  <c r="B156" i="10"/>
  <c r="C156" i="10"/>
  <c r="B157" i="10"/>
  <c r="C157" i="10"/>
  <c r="B158" i="10"/>
  <c r="C158" i="10"/>
  <c r="B159" i="10"/>
  <c r="C159" i="10"/>
  <c r="B160" i="10"/>
  <c r="C160" i="10"/>
  <c r="B161" i="10"/>
  <c r="C161" i="10"/>
  <c r="B162" i="10"/>
  <c r="C162" i="10"/>
  <c r="B163" i="10"/>
  <c r="C163" i="10"/>
  <c r="B164" i="10"/>
  <c r="C164" i="10"/>
  <c r="B165" i="10"/>
  <c r="C165" i="10"/>
  <c r="B166" i="10"/>
  <c r="C166" i="10"/>
  <c r="B167" i="10"/>
  <c r="C167" i="10"/>
  <c r="B168" i="10"/>
  <c r="C168" i="10"/>
  <c r="B169" i="10"/>
  <c r="C169" i="10"/>
  <c r="B170" i="10"/>
  <c r="C170" i="10"/>
  <c r="B171" i="10"/>
  <c r="C171" i="10"/>
  <c r="B172" i="10"/>
  <c r="C172" i="10"/>
  <c r="B173" i="10"/>
  <c r="C173" i="10"/>
  <c r="B174" i="10"/>
  <c r="C174" i="10"/>
  <c r="B175" i="10"/>
  <c r="C175" i="10"/>
  <c r="B176" i="10"/>
  <c r="C176" i="10"/>
  <c r="B177" i="10"/>
  <c r="C177" i="10"/>
  <c r="B178" i="10"/>
  <c r="C178" i="10"/>
  <c r="B179" i="10"/>
  <c r="C179" i="10"/>
  <c r="B180" i="10"/>
  <c r="C180" i="10"/>
  <c r="B181" i="10"/>
  <c r="C181" i="10"/>
  <c r="B182" i="10"/>
  <c r="C182" i="10"/>
  <c r="B183" i="10"/>
  <c r="C183" i="10"/>
  <c r="B184" i="10"/>
  <c r="C184" i="10"/>
  <c r="B185" i="10"/>
  <c r="C185" i="10"/>
  <c r="B186" i="10"/>
  <c r="C186" i="10"/>
  <c r="B187" i="10"/>
  <c r="C187" i="10"/>
  <c r="B188" i="10"/>
  <c r="C188" i="10"/>
  <c r="B189" i="10"/>
  <c r="C189" i="10"/>
  <c r="B190" i="10"/>
  <c r="C190" i="10"/>
  <c r="B191" i="10"/>
  <c r="C191" i="10"/>
  <c r="B192" i="10"/>
  <c r="C192" i="10"/>
  <c r="B193" i="10"/>
  <c r="C193" i="10"/>
  <c r="B194" i="10"/>
  <c r="C194" i="10"/>
  <c r="B195" i="10"/>
  <c r="C195" i="10"/>
  <c r="B196" i="10"/>
  <c r="C196" i="10"/>
  <c r="B197" i="10"/>
  <c r="C197" i="10"/>
  <c r="B198" i="10"/>
  <c r="C198" i="10"/>
  <c r="B199" i="10"/>
  <c r="C199" i="10"/>
  <c r="B200" i="10"/>
  <c r="C200" i="10"/>
  <c r="B201" i="10"/>
  <c r="C201" i="10"/>
  <c r="B202" i="10"/>
  <c r="C202" i="10"/>
  <c r="B203" i="10"/>
  <c r="C203" i="10"/>
  <c r="B204" i="10"/>
  <c r="C204" i="10"/>
  <c r="B205" i="10"/>
  <c r="C205" i="10"/>
  <c r="B206" i="10"/>
  <c r="C206" i="10"/>
  <c r="B207" i="10"/>
  <c r="C207" i="10"/>
  <c r="B208" i="10"/>
  <c r="C208" i="10"/>
  <c r="B209" i="10"/>
  <c r="C209" i="10"/>
  <c r="B210" i="10"/>
  <c r="C210" i="10"/>
  <c r="B211" i="10"/>
  <c r="C211" i="10"/>
  <c r="B212" i="10"/>
  <c r="C212" i="10"/>
  <c r="B213" i="10"/>
  <c r="C213" i="10"/>
  <c r="B214" i="10"/>
  <c r="C214" i="10"/>
  <c r="B215" i="10"/>
  <c r="C215" i="10"/>
  <c r="B216" i="10"/>
  <c r="C216" i="10"/>
  <c r="B217" i="10"/>
  <c r="C217" i="10"/>
  <c r="B218" i="10"/>
  <c r="C218" i="10"/>
  <c r="B219" i="10"/>
  <c r="C219" i="10"/>
  <c r="B220" i="10"/>
  <c r="C220" i="10"/>
  <c r="B221" i="10"/>
  <c r="C221" i="10"/>
  <c r="B222" i="10"/>
  <c r="C222" i="10"/>
  <c r="B223" i="10"/>
  <c r="C223" i="10"/>
  <c r="B224" i="10"/>
  <c r="C224" i="10"/>
  <c r="B225" i="10"/>
  <c r="C225" i="10"/>
  <c r="B226" i="10"/>
  <c r="C226" i="10"/>
  <c r="B227" i="10"/>
  <c r="C227" i="10"/>
  <c r="B228" i="10"/>
  <c r="C228" i="10"/>
  <c r="B229" i="10"/>
  <c r="C229" i="10"/>
  <c r="B230" i="10"/>
  <c r="C230" i="10"/>
  <c r="B4" i="3"/>
  <c r="C12" i="10" s="1"/>
  <c r="C4" i="3"/>
  <c r="B12" i="10" s="1"/>
  <c r="B5" i="3"/>
  <c r="C13" i="10" s="1"/>
  <c r="C5" i="3"/>
  <c r="B13" i="10" s="1"/>
  <c r="B6" i="3"/>
  <c r="C14" i="10" s="1"/>
  <c r="C6" i="3"/>
  <c r="B14" i="10" s="1"/>
  <c r="B7" i="3"/>
  <c r="C15" i="10" s="1"/>
  <c r="C7" i="3"/>
  <c r="B15" i="10" s="1"/>
  <c r="B8" i="3"/>
  <c r="C16" i="10" s="1"/>
  <c r="C8" i="3"/>
  <c r="B16" i="10" s="1"/>
  <c r="B9" i="3"/>
  <c r="C17" i="10" s="1"/>
  <c r="C9" i="3"/>
  <c r="B17" i="10" s="1"/>
  <c r="B10" i="3"/>
  <c r="C18" i="10" s="1"/>
  <c r="C10" i="3"/>
  <c r="B18" i="10" s="1"/>
  <c r="B11" i="3"/>
  <c r="C19" i="10" s="1"/>
  <c r="C11" i="3"/>
  <c r="B19" i="10" s="1"/>
  <c r="B12" i="3"/>
  <c r="C20" i="10" s="1"/>
  <c r="C12" i="3"/>
  <c r="B20" i="10" s="1"/>
  <c r="B13" i="3"/>
  <c r="C21" i="10" s="1"/>
  <c r="C13" i="3"/>
  <c r="B21" i="10" s="1"/>
  <c r="B14" i="3"/>
  <c r="C22" i="10" s="1"/>
  <c r="C14" i="3"/>
  <c r="B22" i="10" s="1"/>
  <c r="B15" i="3"/>
  <c r="C23" i="10" s="1"/>
  <c r="C15" i="3"/>
  <c r="B23" i="10" s="1"/>
  <c r="B16" i="3"/>
  <c r="C24" i="10" s="1"/>
  <c r="C16" i="3"/>
  <c r="B24" i="10" s="1"/>
  <c r="B17" i="3"/>
  <c r="C25" i="10" s="1"/>
  <c r="C17" i="3"/>
  <c r="B25" i="10" s="1"/>
  <c r="B18" i="3"/>
  <c r="C26" i="10" s="1"/>
  <c r="C18" i="3"/>
  <c r="B26" i="10" s="1"/>
  <c r="B19" i="3"/>
  <c r="C27" i="10" s="1"/>
  <c r="C19" i="3"/>
  <c r="B27" i="10" s="1"/>
  <c r="B20" i="3"/>
  <c r="C28" i="10" s="1"/>
  <c r="C20" i="3"/>
  <c r="B28" i="10" s="1"/>
  <c r="B21" i="3"/>
  <c r="C29" i="10" s="1"/>
  <c r="C21" i="3"/>
  <c r="B29" i="10" s="1"/>
  <c r="B22" i="3"/>
  <c r="C30" i="10" s="1"/>
  <c r="C22" i="3"/>
  <c r="B30" i="10" s="1"/>
  <c r="B23" i="3"/>
  <c r="C31" i="10" s="1"/>
  <c r="C23" i="3"/>
  <c r="B31" i="10" s="1"/>
  <c r="B24" i="3"/>
  <c r="C32" i="10" s="1"/>
  <c r="C24" i="3"/>
  <c r="B32" i="10" s="1"/>
  <c r="B25" i="3"/>
  <c r="C33" i="10" s="1"/>
  <c r="C25" i="3"/>
  <c r="B33" i="10" s="1"/>
  <c r="B26" i="3"/>
  <c r="C34" i="10" s="1"/>
  <c r="C26" i="3"/>
  <c r="B34" i="10" s="1"/>
  <c r="B27" i="3"/>
  <c r="C35" i="10" s="1"/>
  <c r="C27" i="3"/>
  <c r="B35" i="10" s="1"/>
  <c r="B28" i="3"/>
  <c r="C36" i="10" s="1"/>
  <c r="C28" i="3"/>
  <c r="B36" i="10" s="1"/>
  <c r="B29" i="3"/>
  <c r="C37" i="10" s="1"/>
  <c r="C29" i="3"/>
  <c r="B37" i="10" s="1"/>
  <c r="B30" i="3"/>
  <c r="C38" i="10" s="1"/>
  <c r="C30" i="3"/>
  <c r="B38" i="10" s="1"/>
  <c r="B31" i="3"/>
  <c r="C39" i="10" s="1"/>
  <c r="C31" i="3"/>
  <c r="B39" i="10" s="1"/>
  <c r="B32" i="3"/>
  <c r="C40" i="10" s="1"/>
  <c r="C32" i="3"/>
  <c r="B40" i="10" s="1"/>
  <c r="B33" i="3"/>
  <c r="C41" i="10" s="1"/>
  <c r="C33" i="3"/>
  <c r="B41" i="10" s="1"/>
  <c r="C3" i="3"/>
  <c r="B11" i="10" s="1"/>
  <c r="B3" i="3"/>
  <c r="BR4" i="3"/>
  <c r="G12" i="10" s="1"/>
  <c r="BR5" i="3"/>
  <c r="BR6" i="3"/>
  <c r="BR7" i="3"/>
  <c r="BR8" i="3"/>
  <c r="BR9" i="3"/>
  <c r="BR10" i="3"/>
  <c r="BR11" i="3"/>
  <c r="BR12" i="3"/>
  <c r="BR13" i="3"/>
  <c r="BR14" i="3"/>
  <c r="BR15" i="3"/>
  <c r="BR16" i="3"/>
  <c r="BR17" i="3"/>
  <c r="BR18" i="3"/>
  <c r="BR19" i="3"/>
  <c r="BR20" i="3"/>
  <c r="BR21" i="3"/>
  <c r="BR22" i="3"/>
  <c r="BR23" i="3"/>
  <c r="BR24" i="3"/>
  <c r="BR25" i="3"/>
  <c r="BR26" i="3"/>
  <c r="BR27" i="3"/>
  <c r="BR28" i="3"/>
  <c r="BR29" i="3"/>
  <c r="BR30" i="3"/>
  <c r="BR31" i="3"/>
  <c r="BR32" i="3"/>
  <c r="BR33" i="3"/>
  <c r="BR34" i="3"/>
  <c r="BR35" i="3"/>
  <c r="BR36" i="3"/>
  <c r="BR37" i="3"/>
  <c r="BR38" i="3"/>
  <c r="BR39" i="3"/>
  <c r="BR40" i="3"/>
  <c r="BR41" i="3"/>
  <c r="BR42" i="3"/>
  <c r="BR43" i="3"/>
  <c r="BR44" i="3"/>
  <c r="BR45" i="3"/>
  <c r="BR46" i="3"/>
  <c r="BR47" i="3"/>
  <c r="BR48" i="3"/>
  <c r="BR49" i="3"/>
  <c r="BR50" i="3"/>
  <c r="BR51" i="3"/>
  <c r="BR52" i="3"/>
  <c r="BR53" i="3"/>
  <c r="BR54" i="3"/>
  <c r="BR55" i="3"/>
  <c r="BR56" i="3"/>
  <c r="BR57" i="3"/>
  <c r="BR58" i="3"/>
  <c r="BR59" i="3"/>
  <c r="BR60" i="3"/>
  <c r="BR61" i="3"/>
  <c r="BR62" i="3"/>
  <c r="BR63" i="3"/>
  <c r="BR64" i="3"/>
  <c r="BR65" i="3"/>
  <c r="BR66" i="3"/>
  <c r="BR67" i="3"/>
  <c r="BR68" i="3"/>
  <c r="BR69" i="3"/>
  <c r="BR70" i="3"/>
  <c r="BR71" i="3"/>
  <c r="BR72" i="3"/>
  <c r="BR73" i="3"/>
  <c r="BR74" i="3"/>
  <c r="BR75" i="3"/>
  <c r="BR76" i="3"/>
  <c r="BR77" i="3"/>
  <c r="BR78" i="3"/>
  <c r="BR79" i="3"/>
  <c r="BR80" i="3"/>
  <c r="BR81" i="3"/>
  <c r="BR82" i="3"/>
  <c r="BR83" i="3"/>
  <c r="BR84" i="3"/>
  <c r="BR85" i="3"/>
  <c r="BR86" i="3"/>
  <c r="BR87" i="3"/>
  <c r="BR88" i="3"/>
  <c r="BR89" i="3"/>
  <c r="BR90" i="3"/>
  <c r="BR91" i="3"/>
  <c r="BR92" i="3"/>
  <c r="BR93" i="3"/>
  <c r="BR94" i="3"/>
  <c r="BR95" i="3"/>
  <c r="BR96" i="3"/>
  <c r="BR97" i="3"/>
  <c r="BR98" i="3"/>
  <c r="BR99" i="3"/>
  <c r="BR100" i="3"/>
  <c r="BR101" i="3"/>
  <c r="BR102" i="3"/>
  <c r="BR103" i="3"/>
  <c r="BR104" i="3"/>
  <c r="BR105" i="3"/>
  <c r="BR106" i="3"/>
  <c r="BR107" i="3"/>
  <c r="BR108" i="3"/>
  <c r="BR109" i="3"/>
  <c r="BR110" i="3"/>
  <c r="BR111" i="3"/>
  <c r="BR112" i="3"/>
  <c r="BR113" i="3"/>
  <c r="BR114" i="3"/>
  <c r="BR115" i="3"/>
  <c r="BR116" i="3"/>
  <c r="BR117" i="3"/>
  <c r="BR118" i="3"/>
  <c r="BR119" i="3"/>
  <c r="BR120" i="3"/>
  <c r="BR121" i="3"/>
  <c r="BR122" i="3"/>
  <c r="BR123" i="3"/>
  <c r="BR124" i="3"/>
  <c r="BR125" i="3"/>
  <c r="BR126" i="3"/>
  <c r="BR127" i="3"/>
  <c r="BR128" i="3"/>
  <c r="BR129" i="3"/>
  <c r="BR130" i="3"/>
  <c r="BR131" i="3"/>
  <c r="BR132" i="3"/>
  <c r="BR133" i="3"/>
  <c r="BR134" i="3"/>
  <c r="BR135" i="3"/>
  <c r="BR136" i="3"/>
  <c r="BR137" i="3"/>
  <c r="BR138" i="3"/>
  <c r="BR139" i="3"/>
  <c r="BR140" i="3"/>
  <c r="BR141" i="3"/>
  <c r="BR142" i="3"/>
  <c r="BR143" i="3"/>
  <c r="BR144" i="3"/>
  <c r="BR145" i="3"/>
  <c r="BR146" i="3"/>
  <c r="BR147" i="3"/>
  <c r="BR148" i="3"/>
  <c r="BR149" i="3"/>
  <c r="BR150" i="3"/>
  <c r="BR151" i="3"/>
  <c r="BR152" i="3"/>
  <c r="BR153" i="3"/>
  <c r="BR154" i="3"/>
  <c r="BR155" i="3"/>
  <c r="BR156" i="3"/>
  <c r="BR157" i="3"/>
  <c r="BR158" i="3"/>
  <c r="BR159" i="3"/>
  <c r="BR160" i="3"/>
  <c r="BR161" i="3"/>
  <c r="BR162" i="3"/>
  <c r="BR163" i="3"/>
  <c r="BR164" i="3"/>
  <c r="BR165" i="3"/>
  <c r="BR166" i="3"/>
  <c r="BR167" i="3"/>
  <c r="BR168" i="3"/>
  <c r="BR169" i="3"/>
  <c r="BR170" i="3"/>
  <c r="BR171" i="3"/>
  <c r="BR172" i="3"/>
  <c r="BR173" i="3"/>
  <c r="BR174" i="3"/>
  <c r="BR175" i="3"/>
  <c r="BR176" i="3"/>
  <c r="BR177" i="3"/>
  <c r="BR178" i="3"/>
  <c r="BR179" i="3"/>
  <c r="BR180" i="3"/>
  <c r="BR181" i="3"/>
  <c r="BR182" i="3"/>
  <c r="BR183" i="3"/>
  <c r="BR184" i="3"/>
  <c r="BR185" i="3"/>
  <c r="BR186" i="3"/>
  <c r="BR187" i="3"/>
  <c r="BR188" i="3"/>
  <c r="BR189" i="3"/>
  <c r="BR190" i="3"/>
  <c r="BR191" i="3"/>
  <c r="BR192" i="3"/>
  <c r="BR193" i="3"/>
  <c r="BR194" i="3"/>
  <c r="BR195" i="3"/>
  <c r="BR196" i="3"/>
  <c r="BR197" i="3"/>
  <c r="BR198" i="3"/>
  <c r="BR199" i="3"/>
  <c r="BR200" i="3"/>
  <c r="BR201" i="3"/>
  <c r="BR202" i="3"/>
  <c r="BR203" i="3"/>
  <c r="BR204" i="3"/>
  <c r="BR205" i="3"/>
  <c r="BR206" i="3"/>
  <c r="BR207" i="3"/>
  <c r="BR208" i="3"/>
  <c r="BR209" i="3"/>
  <c r="BR210" i="3"/>
  <c r="BR211" i="3"/>
  <c r="BR212" i="3"/>
  <c r="BR213" i="3"/>
  <c r="BR214" i="3"/>
  <c r="BR215" i="3"/>
  <c r="BR216" i="3"/>
  <c r="BR217" i="3"/>
  <c r="BR218" i="3"/>
  <c r="BR219" i="3"/>
  <c r="BR220" i="3"/>
  <c r="BR221" i="3"/>
  <c r="BR222" i="3"/>
  <c r="BR3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D2" i="3"/>
  <c r="M4" i="5"/>
  <c r="M5" i="5"/>
  <c r="S6" i="4"/>
  <c r="C11" i="10" l="1"/>
  <c r="B8" i="6"/>
  <c r="B12" i="13"/>
  <c r="BW215" i="3"/>
  <c r="BW207" i="3"/>
  <c r="BW199" i="3"/>
  <c r="BW191" i="3"/>
  <c r="BW183" i="3"/>
  <c r="BW175" i="3"/>
  <c r="BW167" i="3"/>
  <c r="G167" i="10"/>
  <c r="G163" i="10"/>
  <c r="G159" i="10"/>
  <c r="G155" i="10"/>
  <c r="G151" i="10"/>
  <c r="G147" i="10"/>
  <c r="G143" i="10"/>
  <c r="G139" i="10"/>
  <c r="G135" i="10"/>
  <c r="G131" i="10"/>
  <c r="G127" i="10"/>
  <c r="G123" i="10"/>
  <c r="G119" i="10"/>
  <c r="G115" i="10"/>
  <c r="G111" i="10"/>
  <c r="G107" i="10"/>
  <c r="G103" i="10"/>
  <c r="G99" i="10"/>
  <c r="G95" i="10"/>
  <c r="G91" i="10"/>
  <c r="G87" i="10"/>
  <c r="G83" i="10"/>
  <c r="G79" i="10"/>
  <c r="G75" i="10"/>
  <c r="G71" i="10"/>
  <c r="G67" i="10"/>
  <c r="G63" i="10"/>
  <c r="G59" i="10"/>
  <c r="G55" i="10"/>
  <c r="G51" i="10"/>
  <c r="G47" i="10"/>
  <c r="G43" i="10"/>
  <c r="G39" i="10"/>
  <c r="G35" i="10"/>
  <c r="G31" i="10"/>
  <c r="G27" i="10"/>
  <c r="G23" i="10"/>
  <c r="G19" i="10"/>
  <c r="G166" i="10"/>
  <c r="G162" i="10"/>
  <c r="G158" i="10"/>
  <c r="G154" i="10"/>
  <c r="G150" i="10"/>
  <c r="G146" i="10"/>
  <c r="G142" i="10"/>
  <c r="G138" i="10"/>
  <c r="G134" i="10"/>
  <c r="G130" i="10"/>
  <c r="G126" i="10"/>
  <c r="G122" i="10"/>
  <c r="G118" i="10"/>
  <c r="G114" i="10"/>
  <c r="G110" i="10"/>
  <c r="G106" i="10"/>
  <c r="G102" i="10"/>
  <c r="G98" i="10"/>
  <c r="G94" i="10"/>
  <c r="G90" i="10"/>
  <c r="G86" i="10"/>
  <c r="G82" i="10"/>
  <c r="G78" i="10"/>
  <c r="G74" i="10"/>
  <c r="G70" i="10"/>
  <c r="G66" i="10"/>
  <c r="G62" i="10"/>
  <c r="G58" i="10"/>
  <c r="G54" i="10"/>
  <c r="G50" i="10"/>
  <c r="G46" i="10"/>
  <c r="G42" i="10"/>
  <c r="G38" i="10"/>
  <c r="G34" i="10"/>
  <c r="G30" i="10"/>
  <c r="G26" i="10"/>
  <c r="G22" i="10"/>
  <c r="G18" i="10"/>
  <c r="G165" i="10"/>
  <c r="G161" i="10"/>
  <c r="G157" i="10"/>
  <c r="G153" i="10"/>
  <c r="G149" i="10"/>
  <c r="G145" i="10"/>
  <c r="G141" i="10"/>
  <c r="G137" i="10"/>
  <c r="G133" i="10"/>
  <c r="G129" i="10"/>
  <c r="G125" i="10"/>
  <c r="G121" i="10"/>
  <c r="G117" i="10"/>
  <c r="G113" i="10"/>
  <c r="G109" i="10"/>
  <c r="BW97" i="3"/>
  <c r="G101" i="10"/>
  <c r="BW89" i="3"/>
  <c r="G93" i="10"/>
  <c r="BW81" i="3"/>
  <c r="G85" i="10"/>
  <c r="BW73" i="3"/>
  <c r="G77" i="10"/>
  <c r="G73" i="10"/>
  <c r="G69" i="10"/>
  <c r="G65" i="10"/>
  <c r="G61" i="10"/>
  <c r="BW49" i="3"/>
  <c r="G53" i="10"/>
  <c r="G49" i="10"/>
  <c r="G45" i="10"/>
  <c r="BW33" i="3"/>
  <c r="G37" i="10"/>
  <c r="G33" i="10"/>
  <c r="G29" i="10"/>
  <c r="G25" i="10"/>
  <c r="G21" i="10"/>
  <c r="G17" i="10"/>
  <c r="BW216" i="3"/>
  <c r="BW208" i="3"/>
  <c r="BW200" i="3"/>
  <c r="BW192" i="3"/>
  <c r="BW184" i="3"/>
  <c r="BW176" i="3"/>
  <c r="BW168" i="3"/>
  <c r="BW160" i="3"/>
  <c r="G164" i="10"/>
  <c r="G160" i="10"/>
  <c r="G156" i="10"/>
  <c r="G152" i="10"/>
  <c r="G148" i="10"/>
  <c r="G144" i="10"/>
  <c r="G140" i="10"/>
  <c r="G136" i="10"/>
  <c r="G132" i="10"/>
  <c r="G128" i="10"/>
  <c r="G124" i="10"/>
  <c r="G120" i="10"/>
  <c r="G116" i="10"/>
  <c r="G112" i="10"/>
  <c r="G108" i="10"/>
  <c r="G104" i="10"/>
  <c r="G100" i="10"/>
  <c r="G96" i="10"/>
  <c r="G92" i="10"/>
  <c r="G88" i="10"/>
  <c r="G84" i="10"/>
  <c r="G80" i="10"/>
  <c r="G76" i="10"/>
  <c r="G72" i="10"/>
  <c r="G68" i="10"/>
  <c r="G64" i="10"/>
  <c r="G60" i="10"/>
  <c r="G56" i="10"/>
  <c r="G52" i="10"/>
  <c r="G48" i="10"/>
  <c r="G44" i="10"/>
  <c r="G40" i="10"/>
  <c r="G36" i="10"/>
  <c r="G32" i="10"/>
  <c r="G28" i="10"/>
  <c r="G24" i="10"/>
  <c r="G20" i="10"/>
  <c r="G16" i="10"/>
  <c r="G15" i="10"/>
  <c r="G14" i="10"/>
  <c r="G13" i="10"/>
  <c r="AP20" i="3"/>
  <c r="AP21" i="3"/>
  <c r="AP23" i="3"/>
  <c r="AP27" i="3"/>
  <c r="AP29" i="3"/>
  <c r="AP30" i="3"/>
  <c r="AP31" i="3"/>
  <c r="AP32" i="3"/>
  <c r="AP33" i="3"/>
  <c r="AP34" i="3"/>
  <c r="AP35" i="3"/>
  <c r="AP36" i="3"/>
  <c r="AP37" i="3"/>
  <c r="AP38" i="3"/>
  <c r="AP39" i="3"/>
  <c r="AP19" i="3"/>
  <c r="AP26" i="3"/>
  <c r="AP22" i="3"/>
  <c r="AP42" i="3"/>
  <c r="AP43" i="3"/>
  <c r="AP47" i="3"/>
  <c r="AP49" i="3"/>
  <c r="AP25" i="3"/>
  <c r="AP41" i="3"/>
  <c r="AP45" i="3"/>
  <c r="AP56" i="3"/>
  <c r="AP57" i="3"/>
  <c r="AP58" i="3"/>
  <c r="AP53" i="3"/>
  <c r="AP55" i="3"/>
  <c r="AP40" i="3"/>
  <c r="AP46" i="3"/>
  <c r="AP44" i="3"/>
  <c r="AP54" i="3"/>
  <c r="AP7" i="3"/>
  <c r="AP9" i="3"/>
  <c r="AP10" i="3"/>
  <c r="AP12" i="3"/>
  <c r="AP14" i="3"/>
  <c r="AP3" i="3"/>
  <c r="AP52" i="3"/>
  <c r="AP4" i="3"/>
  <c r="AP13" i="3"/>
  <c r="AP15" i="3"/>
  <c r="AP17" i="3"/>
  <c r="AP18" i="3"/>
  <c r="AP6" i="3"/>
  <c r="AP8" i="3"/>
  <c r="AP11" i="3"/>
  <c r="AH19" i="3"/>
  <c r="AH20" i="3"/>
  <c r="AH21" i="3"/>
  <c r="AH23" i="3"/>
  <c r="AH28" i="3"/>
  <c r="AH29" i="3"/>
  <c r="AH30" i="3"/>
  <c r="AH31" i="3"/>
  <c r="AH32" i="3"/>
  <c r="AH33" i="3"/>
  <c r="AH35" i="3"/>
  <c r="AH36" i="3"/>
  <c r="AH37" i="3"/>
  <c r="AH38" i="3"/>
  <c r="AH39" i="3"/>
  <c r="AH26" i="3"/>
  <c r="AH24" i="3"/>
  <c r="AH40" i="3"/>
  <c r="AH41" i="3"/>
  <c r="AH45" i="3"/>
  <c r="AH48" i="3"/>
  <c r="AH49" i="3"/>
  <c r="AH50" i="3"/>
  <c r="AH22" i="3"/>
  <c r="AH47" i="3"/>
  <c r="AH52" i="3"/>
  <c r="AH54" i="3"/>
  <c r="AH56" i="3"/>
  <c r="AH57" i="3"/>
  <c r="AH58" i="3"/>
  <c r="AH25" i="3"/>
  <c r="AH51" i="3"/>
  <c r="AH43" i="3"/>
  <c r="AH46" i="3"/>
  <c r="AH53" i="3"/>
  <c r="AH55" i="3"/>
  <c r="AH13" i="3"/>
  <c r="AH6" i="3"/>
  <c r="AH8" i="3"/>
  <c r="AH15" i="3"/>
  <c r="AH5" i="3"/>
  <c r="AH16" i="3"/>
  <c r="AH17" i="3"/>
  <c r="AH18" i="3"/>
  <c r="AH42" i="3"/>
  <c r="AH4" i="3"/>
  <c r="AH7" i="3"/>
  <c r="AH9" i="3"/>
  <c r="AH10" i="3"/>
  <c r="AH12" i="3"/>
  <c r="AH14" i="3"/>
  <c r="Z20" i="3"/>
  <c r="Z23" i="3"/>
  <c r="Z26" i="3"/>
  <c r="Z28" i="3"/>
  <c r="Z29" i="3"/>
  <c r="Z30" i="3"/>
  <c r="Z31" i="3"/>
  <c r="Z32" i="3"/>
  <c r="Z33" i="3"/>
  <c r="Z35" i="3"/>
  <c r="Z36" i="3"/>
  <c r="Z37" i="3"/>
  <c r="Z39" i="3"/>
  <c r="Z21" i="3"/>
  <c r="Z19" i="3"/>
  <c r="Z47" i="3"/>
  <c r="Z42" i="3"/>
  <c r="Z46" i="3"/>
  <c r="Z49" i="3"/>
  <c r="Z51" i="3"/>
  <c r="Z53" i="3"/>
  <c r="Z55" i="3"/>
  <c r="Z56" i="3"/>
  <c r="Z58" i="3"/>
  <c r="Z24" i="3"/>
  <c r="Z41" i="3"/>
  <c r="Z25" i="3"/>
  <c r="Z40" i="3"/>
  <c r="Z52" i="3"/>
  <c r="Z22" i="3"/>
  <c r="Z44" i="3"/>
  <c r="Z10" i="3"/>
  <c r="Z4" i="3"/>
  <c r="Z7" i="3"/>
  <c r="Z14" i="3"/>
  <c r="Z3" i="3"/>
  <c r="Z5" i="3"/>
  <c r="Z12" i="3"/>
  <c r="Z48" i="3"/>
  <c r="Z6" i="3"/>
  <c r="Z8" i="3"/>
  <c r="Z11" i="3"/>
  <c r="Z13" i="3"/>
  <c r="Z15" i="3"/>
  <c r="Z17" i="3"/>
  <c r="Z18" i="3"/>
  <c r="R26" i="3"/>
  <c r="R27" i="3"/>
  <c r="R28" i="3"/>
  <c r="R29" i="3"/>
  <c r="R30" i="3"/>
  <c r="R31" i="3"/>
  <c r="R32" i="3"/>
  <c r="R34" i="3"/>
  <c r="R35" i="3"/>
  <c r="R36" i="3"/>
  <c r="R37" i="3"/>
  <c r="R39" i="3"/>
  <c r="R40" i="3"/>
  <c r="R24" i="3"/>
  <c r="R21" i="3"/>
  <c r="R19" i="3"/>
  <c r="R41" i="3"/>
  <c r="R44" i="3"/>
  <c r="R23" i="3"/>
  <c r="R45" i="3"/>
  <c r="R47" i="3"/>
  <c r="R48" i="3"/>
  <c r="R50" i="3"/>
  <c r="R51" i="3"/>
  <c r="R20" i="3"/>
  <c r="R46" i="3"/>
  <c r="R52" i="3"/>
  <c r="R54" i="3"/>
  <c r="R56" i="3"/>
  <c r="R57" i="3"/>
  <c r="R58" i="3"/>
  <c r="R25" i="3"/>
  <c r="R43" i="3"/>
  <c r="R55" i="3"/>
  <c r="R22" i="3"/>
  <c r="R8" i="3"/>
  <c r="R15" i="3"/>
  <c r="R5" i="3"/>
  <c r="R3" i="3"/>
  <c r="R11" i="3"/>
  <c r="R13" i="3"/>
  <c r="R53" i="3"/>
  <c r="R9" i="3"/>
  <c r="R10" i="3"/>
  <c r="R12" i="3"/>
  <c r="R14" i="3"/>
  <c r="R16" i="3"/>
  <c r="R17" i="3"/>
  <c r="R18" i="3"/>
  <c r="R42" i="3"/>
  <c r="R4" i="3"/>
  <c r="N20" i="3"/>
  <c r="N21" i="3"/>
  <c r="N23" i="3"/>
  <c r="N27" i="3"/>
  <c r="N28" i="3"/>
  <c r="N30" i="3"/>
  <c r="N31" i="3"/>
  <c r="N32" i="3"/>
  <c r="N33" i="3"/>
  <c r="N34" i="3"/>
  <c r="N35" i="3"/>
  <c r="N36" i="3"/>
  <c r="N37" i="3"/>
  <c r="N39" i="3"/>
  <c r="N40" i="3"/>
  <c r="N19" i="3"/>
  <c r="N22" i="3"/>
  <c r="N43" i="3"/>
  <c r="N46" i="3"/>
  <c r="N24" i="3"/>
  <c r="N41" i="3"/>
  <c r="N44" i="3"/>
  <c r="N49" i="3"/>
  <c r="N50" i="3"/>
  <c r="N51" i="3"/>
  <c r="N57" i="3"/>
  <c r="N58" i="3"/>
  <c r="N52" i="3"/>
  <c r="N54" i="3"/>
  <c r="N56" i="3"/>
  <c r="N25" i="3"/>
  <c r="N42" i="3"/>
  <c r="N48" i="3"/>
  <c r="N53" i="3"/>
  <c r="N6" i="3"/>
  <c r="N55" i="3"/>
  <c r="N8" i="3"/>
  <c r="N11" i="3"/>
  <c r="N13" i="3"/>
  <c r="N3" i="3"/>
  <c r="N4" i="3"/>
  <c r="N5" i="3"/>
  <c r="N16" i="3"/>
  <c r="N17" i="3"/>
  <c r="N18" i="3"/>
  <c r="N7" i="3"/>
  <c r="N9" i="3"/>
  <c r="N10" i="3"/>
  <c r="F20" i="3"/>
  <c r="F21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24" i="3"/>
  <c r="F25" i="3"/>
  <c r="F19" i="3"/>
  <c r="F22" i="3"/>
  <c r="F23" i="3"/>
  <c r="F26" i="3"/>
  <c r="F45" i="3"/>
  <c r="F47" i="3"/>
  <c r="F42" i="3"/>
  <c r="F46" i="3"/>
  <c r="F49" i="3"/>
  <c r="F50" i="3"/>
  <c r="F51" i="3"/>
  <c r="F55" i="3"/>
  <c r="F57" i="3"/>
  <c r="F58" i="3"/>
  <c r="F43" i="3"/>
  <c r="F48" i="3"/>
  <c r="F52" i="3"/>
  <c r="F54" i="3"/>
  <c r="F56" i="3"/>
  <c r="F10" i="3"/>
  <c r="F7" i="3"/>
  <c r="F12" i="3"/>
  <c r="F14" i="3"/>
  <c r="F4" i="3"/>
  <c r="F6" i="3"/>
  <c r="F16" i="3"/>
  <c r="F17" i="3"/>
  <c r="F18" i="3"/>
  <c r="F11" i="3"/>
  <c r="F13" i="3"/>
  <c r="F15" i="3"/>
  <c r="F5" i="3"/>
  <c r="AS19" i="3"/>
  <c r="AS20" i="3"/>
  <c r="AS21" i="3"/>
  <c r="AS23" i="3"/>
  <c r="AS24" i="3"/>
  <c r="AS25" i="3"/>
  <c r="AS26" i="3"/>
  <c r="AS28" i="3"/>
  <c r="AS27" i="3"/>
  <c r="AS31" i="3"/>
  <c r="AS35" i="3"/>
  <c r="AS37" i="3"/>
  <c r="AS38" i="3"/>
  <c r="AS39" i="3"/>
  <c r="AS44" i="3"/>
  <c r="AS48" i="3"/>
  <c r="AS49" i="3"/>
  <c r="AS50" i="3"/>
  <c r="AS52" i="3"/>
  <c r="AS53" i="3"/>
  <c r="AS54" i="3"/>
  <c r="AS55" i="3"/>
  <c r="AS33" i="3"/>
  <c r="AS34" i="3"/>
  <c r="AS41" i="3"/>
  <c r="AS45" i="3"/>
  <c r="AS46" i="3"/>
  <c r="AS42" i="3"/>
  <c r="AS47" i="3"/>
  <c r="AS36" i="3"/>
  <c r="AS32" i="3"/>
  <c r="AS43" i="3"/>
  <c r="AS56" i="3"/>
  <c r="AS57" i="3"/>
  <c r="AS58" i="3"/>
  <c r="AS6" i="3"/>
  <c r="AS8" i="3"/>
  <c r="AS11" i="3"/>
  <c r="AS15" i="3"/>
  <c r="AS16" i="3"/>
  <c r="AS17" i="3"/>
  <c r="AS18" i="3"/>
  <c r="AS9" i="3"/>
  <c r="AS5" i="3"/>
  <c r="AS7" i="3"/>
  <c r="AS10" i="3"/>
  <c r="AS12" i="3"/>
  <c r="AS14" i="3"/>
  <c r="AO19" i="3"/>
  <c r="AO20" i="3"/>
  <c r="AO21" i="3"/>
  <c r="AO22" i="3"/>
  <c r="AO23" i="3"/>
  <c r="AO24" i="3"/>
  <c r="AO25" i="3"/>
  <c r="AO26" i="3"/>
  <c r="AO28" i="3"/>
  <c r="AO30" i="3"/>
  <c r="AO37" i="3"/>
  <c r="AO38" i="3"/>
  <c r="AO39" i="3"/>
  <c r="AO33" i="3"/>
  <c r="AO42" i="3"/>
  <c r="AO43" i="3"/>
  <c r="AO47" i="3"/>
  <c r="AO48" i="3"/>
  <c r="AO49" i="3"/>
  <c r="AO50" i="3"/>
  <c r="AO51" i="3"/>
  <c r="AO52" i="3"/>
  <c r="AO53" i="3"/>
  <c r="AO54" i="3"/>
  <c r="AO27" i="3"/>
  <c r="AO46" i="3"/>
  <c r="AO29" i="3"/>
  <c r="AO31" i="3"/>
  <c r="AO41" i="3"/>
  <c r="AO58" i="3"/>
  <c r="AO56" i="3"/>
  <c r="AO34" i="3"/>
  <c r="AO14" i="3"/>
  <c r="AO3" i="3"/>
  <c r="AO45" i="3"/>
  <c r="AO4" i="3"/>
  <c r="AO13" i="3"/>
  <c r="AO15" i="3"/>
  <c r="AO16" i="3"/>
  <c r="AO18" i="3"/>
  <c r="AO7" i="3"/>
  <c r="AO10" i="3"/>
  <c r="AO12" i="3"/>
  <c r="AO57" i="3"/>
  <c r="AO6" i="3"/>
  <c r="AO8" i="3"/>
  <c r="AO11" i="3"/>
  <c r="AO5" i="3"/>
  <c r="AO9" i="3"/>
  <c r="AK20" i="3"/>
  <c r="AK21" i="3"/>
  <c r="AK22" i="3"/>
  <c r="AK23" i="3"/>
  <c r="AK24" i="3"/>
  <c r="AK26" i="3"/>
  <c r="AK29" i="3"/>
  <c r="AK33" i="3"/>
  <c r="AK37" i="3"/>
  <c r="AK28" i="3"/>
  <c r="AK30" i="3"/>
  <c r="AK32" i="3"/>
  <c r="AK34" i="3"/>
  <c r="AK48" i="3"/>
  <c r="AK49" i="3"/>
  <c r="AK50" i="3"/>
  <c r="AK51" i="3"/>
  <c r="AK54" i="3"/>
  <c r="AK55" i="3"/>
  <c r="AK36" i="3"/>
  <c r="AK42" i="3"/>
  <c r="AK43" i="3"/>
  <c r="AK46" i="3"/>
  <c r="AK47" i="3"/>
  <c r="AK44" i="3"/>
  <c r="AK39" i="3"/>
  <c r="AK41" i="3"/>
  <c r="AK45" i="3"/>
  <c r="AK27" i="3"/>
  <c r="AK57" i="3"/>
  <c r="AK58" i="3"/>
  <c r="AK40" i="3"/>
  <c r="AK56" i="3"/>
  <c r="AK4" i="3"/>
  <c r="AK7" i="3"/>
  <c r="AK9" i="3"/>
  <c r="AK10" i="3"/>
  <c r="AK12" i="3"/>
  <c r="AK14" i="3"/>
  <c r="AK16" i="3"/>
  <c r="AK17" i="3"/>
  <c r="AK18" i="3"/>
  <c r="AK5" i="3"/>
  <c r="AK3" i="3"/>
  <c r="AK13" i="3"/>
  <c r="AK15" i="3"/>
  <c r="AK6" i="3"/>
  <c r="AK8" i="3"/>
  <c r="AK11" i="3"/>
  <c r="AG19" i="3"/>
  <c r="AG20" i="3"/>
  <c r="AG21" i="3"/>
  <c r="AG22" i="3"/>
  <c r="AG23" i="3"/>
  <c r="AG24" i="3"/>
  <c r="AG25" i="3"/>
  <c r="AG26" i="3"/>
  <c r="AG31" i="3"/>
  <c r="AG33" i="3"/>
  <c r="AG27" i="3"/>
  <c r="AG34" i="3"/>
  <c r="AG35" i="3"/>
  <c r="AG37" i="3"/>
  <c r="AG45" i="3"/>
  <c r="AG48" i="3"/>
  <c r="AG50" i="3"/>
  <c r="AG51" i="3"/>
  <c r="AG52" i="3"/>
  <c r="AG53" i="3"/>
  <c r="AG54" i="3"/>
  <c r="AG55" i="3"/>
  <c r="AG28" i="3"/>
  <c r="AG30" i="3"/>
  <c r="AG38" i="3"/>
  <c r="AG36" i="3"/>
  <c r="AG41" i="3"/>
  <c r="AG43" i="3"/>
  <c r="AG46" i="3"/>
  <c r="AG40" i="3"/>
  <c r="AG42" i="3"/>
  <c r="AG56" i="3"/>
  <c r="AG58" i="3"/>
  <c r="AG3" i="3"/>
  <c r="AG5" i="3"/>
  <c r="AG16" i="3"/>
  <c r="AG17" i="3"/>
  <c r="AG18" i="3"/>
  <c r="AG8" i="3"/>
  <c r="AG4" i="3"/>
  <c r="AG7" i="3"/>
  <c r="AG9" i="3"/>
  <c r="AG12" i="3"/>
  <c r="AG14" i="3"/>
  <c r="AG11" i="3"/>
  <c r="AG13" i="3"/>
  <c r="AG15" i="3"/>
  <c r="AG6" i="3"/>
  <c r="AC19" i="3"/>
  <c r="AC20" i="3"/>
  <c r="AC22" i="3"/>
  <c r="AC23" i="3"/>
  <c r="AC24" i="3"/>
  <c r="AC34" i="3"/>
  <c r="AC31" i="3"/>
  <c r="AC29" i="3"/>
  <c r="AC30" i="3"/>
  <c r="AC41" i="3"/>
  <c r="AC44" i="3"/>
  <c r="AC49" i="3"/>
  <c r="AC50" i="3"/>
  <c r="AC51" i="3"/>
  <c r="AC52" i="3"/>
  <c r="AC53" i="3"/>
  <c r="AC54" i="3"/>
  <c r="AC55" i="3"/>
  <c r="AC36" i="3"/>
  <c r="AC37" i="3"/>
  <c r="AC45" i="3"/>
  <c r="AC48" i="3"/>
  <c r="AC32" i="3"/>
  <c r="AC38" i="3"/>
  <c r="AC43" i="3"/>
  <c r="AC46" i="3"/>
  <c r="AC47" i="3"/>
  <c r="AC27" i="3"/>
  <c r="AC28" i="3"/>
  <c r="AC39" i="3"/>
  <c r="AC57" i="3"/>
  <c r="AC58" i="3"/>
  <c r="AC56" i="3"/>
  <c r="AC3" i="3"/>
  <c r="AC6" i="3"/>
  <c r="AC8" i="3"/>
  <c r="AC17" i="3"/>
  <c r="AC18" i="3"/>
  <c r="AC11" i="3"/>
  <c r="AC13" i="3"/>
  <c r="AC12" i="3"/>
  <c r="AC4" i="3"/>
  <c r="AC7" i="3"/>
  <c r="AC9" i="3"/>
  <c r="AC10" i="3"/>
  <c r="AC14" i="3"/>
  <c r="Y19" i="3"/>
  <c r="Y20" i="3"/>
  <c r="Y21" i="3"/>
  <c r="Y22" i="3"/>
  <c r="Y23" i="3"/>
  <c r="Y24" i="3"/>
  <c r="Y25" i="3"/>
  <c r="Y26" i="3"/>
  <c r="Y30" i="3"/>
  <c r="Y34" i="3"/>
  <c r="Y36" i="3"/>
  <c r="Y27" i="3"/>
  <c r="Y31" i="3"/>
  <c r="Y33" i="3"/>
  <c r="Y35" i="3"/>
  <c r="Y39" i="3"/>
  <c r="Y42" i="3"/>
  <c r="Y43" i="3"/>
  <c r="Y46" i="3"/>
  <c r="Y49" i="3"/>
  <c r="Y50" i="3"/>
  <c r="Y51" i="3"/>
  <c r="Y52" i="3"/>
  <c r="Y53" i="3"/>
  <c r="Y54" i="3"/>
  <c r="Y55" i="3"/>
  <c r="Y32" i="3"/>
  <c r="Y40" i="3"/>
  <c r="Y41" i="3"/>
  <c r="Y44" i="3"/>
  <c r="Y29" i="3"/>
  <c r="Y28" i="3"/>
  <c r="Y37" i="3"/>
  <c r="Y38" i="3"/>
  <c r="Y47" i="3"/>
  <c r="Y48" i="3"/>
  <c r="Y57" i="3"/>
  <c r="Y56" i="3"/>
  <c r="Y14" i="3"/>
  <c r="Y6" i="3"/>
  <c r="Y8" i="3"/>
  <c r="Y11" i="3"/>
  <c r="Y13" i="3"/>
  <c r="Y15" i="3"/>
  <c r="Y16" i="3"/>
  <c r="Y17" i="3"/>
  <c r="Y18" i="3"/>
  <c r="Y7" i="3"/>
  <c r="Y3" i="3"/>
  <c r="Y58" i="3"/>
  <c r="Y10" i="3"/>
  <c r="Y12" i="3"/>
  <c r="Y4" i="3"/>
  <c r="Y9" i="3"/>
  <c r="U19" i="3"/>
  <c r="U21" i="3"/>
  <c r="U22" i="3"/>
  <c r="U24" i="3"/>
  <c r="U25" i="3"/>
  <c r="U26" i="3"/>
  <c r="U27" i="3"/>
  <c r="U28" i="3"/>
  <c r="U29" i="3"/>
  <c r="U32" i="3"/>
  <c r="U35" i="3"/>
  <c r="U38" i="3"/>
  <c r="U30" i="3"/>
  <c r="U34" i="3"/>
  <c r="U36" i="3"/>
  <c r="U37" i="3"/>
  <c r="U39" i="3"/>
  <c r="U49" i="3"/>
  <c r="U51" i="3"/>
  <c r="U52" i="3"/>
  <c r="U53" i="3"/>
  <c r="U54" i="3"/>
  <c r="U55" i="3"/>
  <c r="U42" i="3"/>
  <c r="U43" i="3"/>
  <c r="U46" i="3"/>
  <c r="U31" i="3"/>
  <c r="U33" i="3"/>
  <c r="U45" i="3"/>
  <c r="U47" i="3"/>
  <c r="U44" i="3"/>
  <c r="U48" i="3"/>
  <c r="U41" i="3"/>
  <c r="U56" i="3"/>
  <c r="U58" i="3"/>
  <c r="U57" i="3"/>
  <c r="U3" i="3"/>
  <c r="U4" i="3"/>
  <c r="U6" i="3"/>
  <c r="U7" i="3"/>
  <c r="U9" i="3"/>
  <c r="U14" i="3"/>
  <c r="U16" i="3"/>
  <c r="U17" i="3"/>
  <c r="U10" i="3"/>
  <c r="U8" i="3"/>
  <c r="U11" i="3"/>
  <c r="U15" i="3"/>
  <c r="U5" i="3"/>
  <c r="Q19" i="3"/>
  <c r="Q22" i="3"/>
  <c r="Q23" i="3"/>
  <c r="Q24" i="3"/>
  <c r="Q26" i="3"/>
  <c r="Q31" i="3"/>
  <c r="Q37" i="3"/>
  <c r="Q38" i="3"/>
  <c r="Q39" i="3"/>
  <c r="Q27" i="3"/>
  <c r="Q28" i="3"/>
  <c r="Q29" i="3"/>
  <c r="Q32" i="3"/>
  <c r="Q33" i="3"/>
  <c r="Q45" i="3"/>
  <c r="Q47" i="3"/>
  <c r="Q48" i="3"/>
  <c r="Q49" i="3"/>
  <c r="Q51" i="3"/>
  <c r="Q52" i="3"/>
  <c r="Q53" i="3"/>
  <c r="Q54" i="3"/>
  <c r="Q55" i="3"/>
  <c r="Q56" i="3"/>
  <c r="Q36" i="3"/>
  <c r="Q40" i="3"/>
  <c r="Q42" i="3"/>
  <c r="Q44" i="3"/>
  <c r="Q34" i="3"/>
  <c r="Q35" i="3"/>
  <c r="Q41" i="3"/>
  <c r="Q43" i="3"/>
  <c r="Q57" i="3"/>
  <c r="Q30" i="3"/>
  <c r="Q46" i="3"/>
  <c r="Q5" i="3"/>
  <c r="Q3" i="3"/>
  <c r="Q9" i="3"/>
  <c r="Q10" i="3"/>
  <c r="Q14" i="3"/>
  <c r="Q17" i="3"/>
  <c r="Q18" i="3"/>
  <c r="Q58" i="3"/>
  <c r="Q4" i="3"/>
  <c r="Q6" i="3"/>
  <c r="Q8" i="3"/>
  <c r="Q15" i="3"/>
  <c r="M19" i="3"/>
  <c r="M20" i="3"/>
  <c r="M21" i="3"/>
  <c r="M22" i="3"/>
  <c r="M24" i="3"/>
  <c r="M25" i="3"/>
  <c r="M26" i="3"/>
  <c r="M38" i="3"/>
  <c r="M40" i="3"/>
  <c r="M31" i="3"/>
  <c r="M32" i="3"/>
  <c r="M41" i="3"/>
  <c r="M44" i="3"/>
  <c r="M49" i="3"/>
  <c r="M50" i="3"/>
  <c r="M51" i="3"/>
  <c r="M52" i="3"/>
  <c r="M53" i="3"/>
  <c r="M54" i="3"/>
  <c r="M55" i="3"/>
  <c r="M56" i="3"/>
  <c r="M28" i="3"/>
  <c r="M30" i="3"/>
  <c r="M35" i="3"/>
  <c r="M45" i="3"/>
  <c r="M47" i="3"/>
  <c r="M48" i="3"/>
  <c r="M27" i="3"/>
  <c r="M34" i="3"/>
  <c r="M39" i="3"/>
  <c r="M42" i="3"/>
  <c r="M43" i="3"/>
  <c r="M36" i="3"/>
  <c r="M37" i="3"/>
  <c r="M46" i="3"/>
  <c r="M58" i="3"/>
  <c r="M57" i="3"/>
  <c r="M11" i="3"/>
  <c r="M13" i="3"/>
  <c r="M5" i="3"/>
  <c r="M16" i="3"/>
  <c r="M18" i="3"/>
  <c r="M15" i="3"/>
  <c r="M3" i="3"/>
  <c r="M7" i="3"/>
  <c r="M9" i="3"/>
  <c r="M10" i="3"/>
  <c r="M12" i="3"/>
  <c r="M14" i="3"/>
  <c r="M4" i="3"/>
  <c r="M6" i="3"/>
  <c r="I19" i="3"/>
  <c r="I20" i="3"/>
  <c r="I21" i="3"/>
  <c r="I22" i="3"/>
  <c r="I23" i="3"/>
  <c r="I24" i="3"/>
  <c r="I25" i="3"/>
  <c r="I26" i="3"/>
  <c r="I30" i="3"/>
  <c r="I36" i="3"/>
  <c r="I33" i="3"/>
  <c r="I31" i="3"/>
  <c r="I38" i="3"/>
  <c r="I39" i="3"/>
  <c r="I40" i="3"/>
  <c r="I43" i="3"/>
  <c r="I46" i="3"/>
  <c r="I49" i="3"/>
  <c r="I50" i="3"/>
  <c r="I51" i="3"/>
  <c r="I52" i="3"/>
  <c r="I53" i="3"/>
  <c r="I54" i="3"/>
  <c r="I56" i="3"/>
  <c r="I37" i="3"/>
  <c r="I41" i="3"/>
  <c r="I44" i="3"/>
  <c r="I48" i="3"/>
  <c r="I42" i="3"/>
  <c r="I28" i="3"/>
  <c r="I29" i="3"/>
  <c r="I32" i="3"/>
  <c r="I35" i="3"/>
  <c r="I47" i="3"/>
  <c r="I57" i="3"/>
  <c r="I27" i="3"/>
  <c r="I4" i="3"/>
  <c r="I8" i="3"/>
  <c r="I11" i="3"/>
  <c r="I13" i="3"/>
  <c r="I15" i="3"/>
  <c r="I16" i="3"/>
  <c r="I17" i="3"/>
  <c r="I18" i="3"/>
  <c r="I5" i="3"/>
  <c r="I10" i="3"/>
  <c r="I7" i="3"/>
  <c r="I12" i="3"/>
  <c r="I14" i="3"/>
  <c r="I6" i="3"/>
  <c r="E19" i="3"/>
  <c r="E20" i="3"/>
  <c r="E21" i="3"/>
  <c r="E22" i="3"/>
  <c r="E23" i="3"/>
  <c r="E24" i="3"/>
  <c r="E25" i="3"/>
  <c r="E26" i="3"/>
  <c r="E27" i="3"/>
  <c r="E32" i="3"/>
  <c r="E35" i="3"/>
  <c r="E30" i="3"/>
  <c r="E34" i="3"/>
  <c r="E42" i="3"/>
  <c r="E46" i="3"/>
  <c r="E49" i="3"/>
  <c r="E50" i="3"/>
  <c r="E51" i="3"/>
  <c r="E53" i="3"/>
  <c r="E54" i="3"/>
  <c r="E55" i="3"/>
  <c r="E56" i="3"/>
  <c r="E29" i="3"/>
  <c r="E37" i="3"/>
  <c r="E39" i="3"/>
  <c r="E40" i="3"/>
  <c r="E41" i="3"/>
  <c r="E48" i="3"/>
  <c r="E38" i="3"/>
  <c r="E45" i="3"/>
  <c r="E47" i="3"/>
  <c r="E36" i="3"/>
  <c r="E31" i="3"/>
  <c r="E57" i="3"/>
  <c r="E14" i="3"/>
  <c r="E4" i="3"/>
  <c r="E6" i="3"/>
  <c r="E16" i="3"/>
  <c r="E17" i="3"/>
  <c r="E18" i="3"/>
  <c r="E9" i="3"/>
  <c r="E12" i="3"/>
  <c r="E3" i="3"/>
  <c r="E58" i="3"/>
  <c r="E11" i="3"/>
  <c r="E13" i="3"/>
  <c r="E5" i="3"/>
  <c r="E10" i="3"/>
  <c r="E7" i="3"/>
  <c r="AT24" i="3"/>
  <c r="AT27" i="3"/>
  <c r="AT28" i="3"/>
  <c r="AT29" i="3"/>
  <c r="AT31" i="3"/>
  <c r="AT32" i="3"/>
  <c r="AT33" i="3"/>
  <c r="AT34" i="3"/>
  <c r="AT35" i="3"/>
  <c r="AT37" i="3"/>
  <c r="AT38" i="3"/>
  <c r="AT39" i="3"/>
  <c r="AT22" i="3"/>
  <c r="AT25" i="3"/>
  <c r="AT19" i="3"/>
  <c r="AT26" i="3"/>
  <c r="AT43" i="3"/>
  <c r="AT47" i="3"/>
  <c r="AT40" i="3"/>
  <c r="AT44" i="3"/>
  <c r="AT48" i="3"/>
  <c r="AT49" i="3"/>
  <c r="AT50" i="3"/>
  <c r="AT53" i="3"/>
  <c r="AT55" i="3"/>
  <c r="AT56" i="3"/>
  <c r="AT57" i="3"/>
  <c r="AT58" i="3"/>
  <c r="AT45" i="3"/>
  <c r="AT54" i="3"/>
  <c r="AT52" i="3"/>
  <c r="AT7" i="3"/>
  <c r="AT10" i="3"/>
  <c r="AT12" i="3"/>
  <c r="AT51" i="3"/>
  <c r="AT4" i="3"/>
  <c r="AT9" i="3"/>
  <c r="AT8" i="3"/>
  <c r="AT13" i="3"/>
  <c r="AT15" i="3"/>
  <c r="AT16" i="3"/>
  <c r="AT17" i="3"/>
  <c r="AT18" i="3"/>
  <c r="AT5" i="3"/>
  <c r="AL26" i="3"/>
  <c r="AL28" i="3"/>
  <c r="AL29" i="3"/>
  <c r="AL30" i="3"/>
  <c r="AL31" i="3"/>
  <c r="AL32" i="3"/>
  <c r="AL33" i="3"/>
  <c r="AL34" i="3"/>
  <c r="AL35" i="3"/>
  <c r="AL36" i="3"/>
  <c r="AL38" i="3"/>
  <c r="AL39" i="3"/>
  <c r="AL23" i="3"/>
  <c r="AL21" i="3"/>
  <c r="AL25" i="3"/>
  <c r="AL22" i="3"/>
  <c r="AL41" i="3"/>
  <c r="AL45" i="3"/>
  <c r="AL20" i="3"/>
  <c r="AL49" i="3"/>
  <c r="AL50" i="3"/>
  <c r="AL40" i="3"/>
  <c r="AL52" i="3"/>
  <c r="AL57" i="3"/>
  <c r="AL58" i="3"/>
  <c r="AL42" i="3"/>
  <c r="AL44" i="3"/>
  <c r="AL47" i="3"/>
  <c r="AL55" i="3"/>
  <c r="AL46" i="3"/>
  <c r="AL19" i="3"/>
  <c r="AL53" i="3"/>
  <c r="AL5" i="3"/>
  <c r="AL3" i="3"/>
  <c r="AL6" i="3"/>
  <c r="AL11" i="3"/>
  <c r="AL4" i="3"/>
  <c r="AL7" i="3"/>
  <c r="AL12" i="3"/>
  <c r="AL16" i="3"/>
  <c r="AL17" i="3"/>
  <c r="AL18" i="3"/>
  <c r="AL13" i="3"/>
  <c r="AL15" i="3"/>
  <c r="AD25" i="3"/>
  <c r="AD27" i="3"/>
  <c r="AD29" i="3"/>
  <c r="AD30" i="3"/>
  <c r="AD31" i="3"/>
  <c r="AD34" i="3"/>
  <c r="AD35" i="3"/>
  <c r="AD36" i="3"/>
  <c r="AD38" i="3"/>
  <c r="AD20" i="3"/>
  <c r="AD22" i="3"/>
  <c r="AD23" i="3"/>
  <c r="AD24" i="3"/>
  <c r="AD42" i="3"/>
  <c r="AD43" i="3"/>
  <c r="AD46" i="3"/>
  <c r="AD26" i="3"/>
  <c r="AD40" i="3"/>
  <c r="AD41" i="3"/>
  <c r="AD44" i="3"/>
  <c r="AD49" i="3"/>
  <c r="AD50" i="3"/>
  <c r="AD19" i="3"/>
  <c r="AD56" i="3"/>
  <c r="AD57" i="3"/>
  <c r="AD47" i="3"/>
  <c r="AD52" i="3"/>
  <c r="AD54" i="3"/>
  <c r="AD21" i="3"/>
  <c r="AD51" i="3"/>
  <c r="AD53" i="3"/>
  <c r="AD45" i="3"/>
  <c r="AD55" i="3"/>
  <c r="AD7" i="3"/>
  <c r="AD11" i="3"/>
  <c r="AD15" i="3"/>
  <c r="AD3" i="3"/>
  <c r="AD4" i="3"/>
  <c r="AD9" i="3"/>
  <c r="AD10" i="3"/>
  <c r="AD14" i="3"/>
  <c r="AD6" i="3"/>
  <c r="AD8" i="3"/>
  <c r="AD16" i="3"/>
  <c r="AD17" i="3"/>
  <c r="AD18" i="3"/>
  <c r="AD5" i="3"/>
  <c r="AD12" i="3"/>
  <c r="V27" i="3"/>
  <c r="V28" i="3"/>
  <c r="V29" i="3"/>
  <c r="V30" i="3"/>
  <c r="V31" i="3"/>
  <c r="V32" i="3"/>
  <c r="V33" i="3"/>
  <c r="V34" i="3"/>
  <c r="V35" i="3"/>
  <c r="V36" i="3"/>
  <c r="V37" i="3"/>
  <c r="V38" i="3"/>
  <c r="V40" i="3"/>
  <c r="V25" i="3"/>
  <c r="V21" i="3"/>
  <c r="V45" i="3"/>
  <c r="V47" i="3"/>
  <c r="V48" i="3"/>
  <c r="V19" i="3"/>
  <c r="V23" i="3"/>
  <c r="V49" i="3"/>
  <c r="V50" i="3"/>
  <c r="V51" i="3"/>
  <c r="V24" i="3"/>
  <c r="V41" i="3"/>
  <c r="V43" i="3"/>
  <c r="V56" i="3"/>
  <c r="V57" i="3"/>
  <c r="V58" i="3"/>
  <c r="V46" i="3"/>
  <c r="V53" i="3"/>
  <c r="V42" i="3"/>
  <c r="V44" i="3"/>
  <c r="V52" i="3"/>
  <c r="V54" i="3"/>
  <c r="V26" i="3"/>
  <c r="V10" i="3"/>
  <c r="V12" i="3"/>
  <c r="V3" i="3"/>
  <c r="V4" i="3"/>
  <c r="V6" i="3"/>
  <c r="V7" i="3"/>
  <c r="V9" i="3"/>
  <c r="V14" i="3"/>
  <c r="V17" i="3"/>
  <c r="V18" i="3"/>
  <c r="V8" i="3"/>
  <c r="V11" i="3"/>
  <c r="V13" i="3"/>
  <c r="V15" i="3"/>
  <c r="V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40" i="3"/>
  <c r="J21" i="3"/>
  <c r="J42" i="3"/>
  <c r="J20" i="3"/>
  <c r="J43" i="3"/>
  <c r="J46" i="3"/>
  <c r="J49" i="3"/>
  <c r="J50" i="3"/>
  <c r="J51" i="3"/>
  <c r="J22" i="3"/>
  <c r="J45" i="3"/>
  <c r="J47" i="3"/>
  <c r="J53" i="3"/>
  <c r="J55" i="3"/>
  <c r="J57" i="3"/>
  <c r="J58" i="3"/>
  <c r="J19" i="3"/>
  <c r="J25" i="3"/>
  <c r="J44" i="3"/>
  <c r="J23" i="3"/>
  <c r="J52" i="3"/>
  <c r="J54" i="3"/>
  <c r="J56" i="3"/>
  <c r="J12" i="3"/>
  <c r="J4" i="3"/>
  <c r="J6" i="3"/>
  <c r="J3" i="3"/>
  <c r="J14" i="3"/>
  <c r="J8" i="3"/>
  <c r="J11" i="3"/>
  <c r="J13" i="3"/>
  <c r="J15" i="3"/>
  <c r="J16" i="3"/>
  <c r="J17" i="3"/>
  <c r="J18" i="3"/>
  <c r="J41" i="3"/>
  <c r="J5" i="3"/>
  <c r="J10" i="3"/>
  <c r="J9" i="3"/>
  <c r="AV19" i="3"/>
  <c r="AV20" i="3"/>
  <c r="AV21" i="3"/>
  <c r="AV22" i="3"/>
  <c r="AV23" i="3"/>
  <c r="AV24" i="3"/>
  <c r="AV25" i="3"/>
  <c r="AV26" i="3"/>
  <c r="AV29" i="3"/>
  <c r="AV33" i="3"/>
  <c r="AV35" i="3"/>
  <c r="AV40" i="3"/>
  <c r="AV42" i="3"/>
  <c r="AV44" i="3"/>
  <c r="AV45" i="3"/>
  <c r="AV46" i="3"/>
  <c r="AV32" i="3"/>
  <c r="AV27" i="3"/>
  <c r="AV28" i="3"/>
  <c r="AV30" i="3"/>
  <c r="AV31" i="3"/>
  <c r="AV37" i="3"/>
  <c r="AV38" i="3"/>
  <c r="AV39" i="3"/>
  <c r="AV52" i="3"/>
  <c r="AV50" i="3"/>
  <c r="AV51" i="3"/>
  <c r="AV34" i="3"/>
  <c r="AV48" i="3"/>
  <c r="AV53" i="3"/>
  <c r="AV56" i="3"/>
  <c r="AV49" i="3"/>
  <c r="AV55" i="3"/>
  <c r="AV57" i="3"/>
  <c r="AV58" i="3"/>
  <c r="AV15" i="3"/>
  <c r="AV16" i="3"/>
  <c r="AV18" i="3"/>
  <c r="AV7" i="3"/>
  <c r="AV10" i="3"/>
  <c r="AV12" i="3"/>
  <c r="AV14" i="3"/>
  <c r="AV17" i="3"/>
  <c r="AV4" i="3"/>
  <c r="AV9" i="3"/>
  <c r="AV36" i="3"/>
  <c r="AV54" i="3"/>
  <c r="AV6" i="3"/>
  <c r="AV8" i="3"/>
  <c r="AV11" i="3"/>
  <c r="AV13" i="3"/>
  <c r="AV3" i="3"/>
  <c r="AV5" i="3"/>
  <c r="AN19" i="3"/>
  <c r="AN20" i="3"/>
  <c r="AN21" i="3"/>
  <c r="AN22" i="3"/>
  <c r="AN23" i="3"/>
  <c r="AN25" i="3"/>
  <c r="AN26" i="3"/>
  <c r="AN40" i="3"/>
  <c r="AN41" i="3"/>
  <c r="AN42" i="3"/>
  <c r="AN43" i="3"/>
  <c r="AN44" i="3"/>
  <c r="AN45" i="3"/>
  <c r="AN47" i="3"/>
  <c r="AN31" i="3"/>
  <c r="AN30" i="3"/>
  <c r="AN35" i="3"/>
  <c r="AN37" i="3"/>
  <c r="AN38" i="3"/>
  <c r="AN39" i="3"/>
  <c r="AN29" i="3"/>
  <c r="AN32" i="3"/>
  <c r="AN33" i="3"/>
  <c r="AN50" i="3"/>
  <c r="AN53" i="3"/>
  <c r="AN54" i="3"/>
  <c r="AN34" i="3"/>
  <c r="AN48" i="3"/>
  <c r="AN51" i="3"/>
  <c r="AN49" i="3"/>
  <c r="AN56" i="3"/>
  <c r="AN52" i="3"/>
  <c r="AN57" i="3"/>
  <c r="AN15" i="3"/>
  <c r="AN16" i="3"/>
  <c r="AN18" i="3"/>
  <c r="AN6" i="3"/>
  <c r="AN11" i="3"/>
  <c r="AN4" i="3"/>
  <c r="AN13" i="3"/>
  <c r="AN17" i="3"/>
  <c r="AN5" i="3"/>
  <c r="AN58" i="3"/>
  <c r="AN7" i="3"/>
  <c r="AN9" i="3"/>
  <c r="AN10" i="3"/>
  <c r="AN12" i="3"/>
  <c r="AN14" i="3"/>
  <c r="AN3" i="3"/>
  <c r="AF20" i="3"/>
  <c r="AF21" i="3"/>
  <c r="AF22" i="3"/>
  <c r="AF23" i="3"/>
  <c r="AF24" i="3"/>
  <c r="AF25" i="3"/>
  <c r="AF26" i="3"/>
  <c r="AF29" i="3"/>
  <c r="AF33" i="3"/>
  <c r="AF35" i="3"/>
  <c r="AF37" i="3"/>
  <c r="AF40" i="3"/>
  <c r="AF41" i="3"/>
  <c r="AF42" i="3"/>
  <c r="AF43" i="3"/>
  <c r="AF44" i="3"/>
  <c r="AF45" i="3"/>
  <c r="AF46" i="3"/>
  <c r="AF48" i="3"/>
  <c r="AF27" i="3"/>
  <c r="AF28" i="3"/>
  <c r="AF30" i="3"/>
  <c r="AF32" i="3"/>
  <c r="AF38" i="3"/>
  <c r="AF39" i="3"/>
  <c r="AF31" i="3"/>
  <c r="AF50" i="3"/>
  <c r="AF51" i="3"/>
  <c r="AF34" i="3"/>
  <c r="AF53" i="3"/>
  <c r="AF55" i="3"/>
  <c r="AF49" i="3"/>
  <c r="AF54" i="3"/>
  <c r="AF57" i="3"/>
  <c r="AF52" i="3"/>
  <c r="AF16" i="3"/>
  <c r="AF18" i="3"/>
  <c r="AF4" i="3"/>
  <c r="AF7" i="3"/>
  <c r="AF9" i="3"/>
  <c r="AF10" i="3"/>
  <c r="AF12" i="3"/>
  <c r="AF14" i="3"/>
  <c r="AF17" i="3"/>
  <c r="AF56" i="3"/>
  <c r="AF58" i="3"/>
  <c r="AF13" i="3"/>
  <c r="AF15" i="3"/>
  <c r="AF36" i="3"/>
  <c r="AF6" i="3"/>
  <c r="AF8" i="3"/>
  <c r="AF3" i="3"/>
  <c r="AF5" i="3"/>
  <c r="AB19" i="3"/>
  <c r="AB20" i="3"/>
  <c r="AB21" i="3"/>
  <c r="AB22" i="3"/>
  <c r="AB23" i="3"/>
  <c r="AB24" i="3"/>
  <c r="AB25" i="3"/>
  <c r="AB26" i="3"/>
  <c r="AB31" i="3"/>
  <c r="AB33" i="3"/>
  <c r="AB40" i="3"/>
  <c r="AB41" i="3"/>
  <c r="AB42" i="3"/>
  <c r="AB43" i="3"/>
  <c r="AB44" i="3"/>
  <c r="AB45" i="3"/>
  <c r="AB46" i="3"/>
  <c r="AB47" i="3"/>
  <c r="AB48" i="3"/>
  <c r="AB28" i="3"/>
  <c r="AB29" i="3"/>
  <c r="AB32" i="3"/>
  <c r="AB36" i="3"/>
  <c r="AB34" i="3"/>
  <c r="AB35" i="3"/>
  <c r="AB39" i="3"/>
  <c r="AB27" i="3"/>
  <c r="AB49" i="3"/>
  <c r="AB52" i="3"/>
  <c r="AB54" i="3"/>
  <c r="AB30" i="3"/>
  <c r="AB50" i="3"/>
  <c r="AB55" i="3"/>
  <c r="AB56" i="3"/>
  <c r="AB38" i="3"/>
  <c r="AB6" i="3"/>
  <c r="AB17" i="3"/>
  <c r="AB5" i="3"/>
  <c r="AB12" i="3"/>
  <c r="AB16" i="3"/>
  <c r="AB18" i="3"/>
  <c r="AB57" i="3"/>
  <c r="AB4" i="3"/>
  <c r="AB7" i="3"/>
  <c r="AB9" i="3"/>
  <c r="AB14" i="3"/>
  <c r="AB11" i="3"/>
  <c r="AB13" i="3"/>
  <c r="AB15" i="3"/>
  <c r="AB3" i="3"/>
  <c r="AB8" i="3"/>
  <c r="X19" i="3"/>
  <c r="X20" i="3"/>
  <c r="X21" i="3"/>
  <c r="X23" i="3"/>
  <c r="X24" i="3"/>
  <c r="X25" i="3"/>
  <c r="X26" i="3"/>
  <c r="X40" i="3"/>
  <c r="X41" i="3"/>
  <c r="X42" i="3"/>
  <c r="X43" i="3"/>
  <c r="X44" i="3"/>
  <c r="X45" i="3"/>
  <c r="X46" i="3"/>
  <c r="X48" i="3"/>
  <c r="X33" i="3"/>
  <c r="X32" i="3"/>
  <c r="X28" i="3"/>
  <c r="X37" i="3"/>
  <c r="X30" i="3"/>
  <c r="X35" i="3"/>
  <c r="X38" i="3"/>
  <c r="X36" i="3"/>
  <c r="X39" i="3"/>
  <c r="X52" i="3"/>
  <c r="X54" i="3"/>
  <c r="X27" i="3"/>
  <c r="X34" i="3"/>
  <c r="X49" i="3"/>
  <c r="X29" i="3"/>
  <c r="X50" i="3"/>
  <c r="X55" i="3"/>
  <c r="X57" i="3"/>
  <c r="X56" i="3"/>
  <c r="X58" i="3"/>
  <c r="X53" i="3"/>
  <c r="X11" i="3"/>
  <c r="X13" i="3"/>
  <c r="X16" i="3"/>
  <c r="X18" i="3"/>
  <c r="X8" i="3"/>
  <c r="X17" i="3"/>
  <c r="X5" i="3"/>
  <c r="X10" i="3"/>
  <c r="X12" i="3"/>
  <c r="X51" i="3"/>
  <c r="X7" i="3"/>
  <c r="X9" i="3"/>
  <c r="X14" i="3"/>
  <c r="X3" i="3"/>
  <c r="X6" i="3"/>
  <c r="T19" i="3"/>
  <c r="T20" i="3"/>
  <c r="T21" i="3"/>
  <c r="T22" i="3"/>
  <c r="T24" i="3"/>
  <c r="T25" i="3"/>
  <c r="T26" i="3"/>
  <c r="T30" i="3"/>
  <c r="T34" i="3"/>
  <c r="T41" i="3"/>
  <c r="T43" i="3"/>
  <c r="T44" i="3"/>
  <c r="T45" i="3"/>
  <c r="T46" i="3"/>
  <c r="T47" i="3"/>
  <c r="T48" i="3"/>
  <c r="T28" i="3"/>
  <c r="T38" i="3"/>
  <c r="T29" i="3"/>
  <c r="T31" i="3"/>
  <c r="T35" i="3"/>
  <c r="T37" i="3"/>
  <c r="T40" i="3"/>
  <c r="T49" i="3"/>
  <c r="T50" i="3"/>
  <c r="T55" i="3"/>
  <c r="T27" i="3"/>
  <c r="T51" i="3"/>
  <c r="T39" i="3"/>
  <c r="T54" i="3"/>
  <c r="T58" i="3"/>
  <c r="T57" i="3"/>
  <c r="T32" i="3"/>
  <c r="T17" i="3"/>
  <c r="T8" i="3"/>
  <c r="T11" i="3"/>
  <c r="T13" i="3"/>
  <c r="T15" i="3"/>
  <c r="T4" i="3"/>
  <c r="T6" i="3"/>
  <c r="T9" i="3"/>
  <c r="T14" i="3"/>
  <c r="T16" i="3"/>
  <c r="T18" i="3"/>
  <c r="T33" i="3"/>
  <c r="T5" i="3"/>
  <c r="T10" i="3"/>
  <c r="T12" i="3"/>
  <c r="T3" i="3"/>
  <c r="T7" i="3"/>
  <c r="P19" i="3"/>
  <c r="P20" i="3"/>
  <c r="P21" i="3"/>
  <c r="P23" i="3"/>
  <c r="P24" i="3"/>
  <c r="P26" i="3"/>
  <c r="P27" i="3"/>
  <c r="P28" i="3"/>
  <c r="P29" i="3"/>
  <c r="P32" i="3"/>
  <c r="P35" i="3"/>
  <c r="P41" i="3"/>
  <c r="P42" i="3"/>
  <c r="P43" i="3"/>
  <c r="P44" i="3"/>
  <c r="P45" i="3"/>
  <c r="P46" i="3"/>
  <c r="P47" i="3"/>
  <c r="P48" i="3"/>
  <c r="P30" i="3"/>
  <c r="P34" i="3"/>
  <c r="P36" i="3"/>
  <c r="P40" i="3"/>
  <c r="P37" i="3"/>
  <c r="P38" i="3"/>
  <c r="P39" i="3"/>
  <c r="P33" i="3"/>
  <c r="P49" i="3"/>
  <c r="P50" i="3"/>
  <c r="P53" i="3"/>
  <c r="P55" i="3"/>
  <c r="P31" i="3"/>
  <c r="P51" i="3"/>
  <c r="P52" i="3"/>
  <c r="P58" i="3"/>
  <c r="P9" i="3"/>
  <c r="P14" i="3"/>
  <c r="P16" i="3"/>
  <c r="P18" i="3"/>
  <c r="P4" i="3"/>
  <c r="P6" i="3"/>
  <c r="P10" i="3"/>
  <c r="P12" i="3"/>
  <c r="P17" i="3"/>
  <c r="P54" i="3"/>
  <c r="P56" i="3"/>
  <c r="P8" i="3"/>
  <c r="P11" i="3"/>
  <c r="P13" i="3"/>
  <c r="P15" i="3"/>
  <c r="P57" i="3"/>
  <c r="P5" i="3"/>
  <c r="P3" i="3"/>
  <c r="L19" i="3"/>
  <c r="L20" i="3"/>
  <c r="L21" i="3"/>
  <c r="L22" i="3"/>
  <c r="L23" i="3"/>
  <c r="L24" i="3"/>
  <c r="L25" i="3"/>
  <c r="L26" i="3"/>
  <c r="L31" i="3"/>
  <c r="L37" i="3"/>
  <c r="L39" i="3"/>
  <c r="L41" i="3"/>
  <c r="L42" i="3"/>
  <c r="L43" i="3"/>
  <c r="L44" i="3"/>
  <c r="L45" i="3"/>
  <c r="L46" i="3"/>
  <c r="L47" i="3"/>
  <c r="L27" i="3"/>
  <c r="L28" i="3"/>
  <c r="L32" i="3"/>
  <c r="L30" i="3"/>
  <c r="L35" i="3"/>
  <c r="L33" i="3"/>
  <c r="L34" i="3"/>
  <c r="L38" i="3"/>
  <c r="L52" i="3"/>
  <c r="L54" i="3"/>
  <c r="L56" i="3"/>
  <c r="L36" i="3"/>
  <c r="L51" i="3"/>
  <c r="L50" i="3"/>
  <c r="L58" i="3"/>
  <c r="L49" i="3"/>
  <c r="L53" i="3"/>
  <c r="L57" i="3"/>
  <c r="L55" i="3"/>
  <c r="L7" i="3"/>
  <c r="L9" i="3"/>
  <c r="L10" i="3"/>
  <c r="L12" i="3"/>
  <c r="L14" i="3"/>
  <c r="L5" i="3"/>
  <c r="L16" i="3"/>
  <c r="L17" i="3"/>
  <c r="L18" i="3"/>
  <c r="L8" i="3"/>
  <c r="L11" i="3"/>
  <c r="L13" i="3"/>
  <c r="L15" i="3"/>
  <c r="L3" i="3"/>
  <c r="H19" i="3"/>
  <c r="H20" i="3"/>
  <c r="H21" i="3"/>
  <c r="H22" i="3"/>
  <c r="H23" i="3"/>
  <c r="H24" i="3"/>
  <c r="H25" i="3"/>
  <c r="H26" i="3"/>
  <c r="H33" i="3"/>
  <c r="H38" i="3"/>
  <c r="H39" i="3"/>
  <c r="H40" i="3"/>
  <c r="H41" i="3"/>
  <c r="H42" i="3"/>
  <c r="H43" i="3"/>
  <c r="H44" i="3"/>
  <c r="H45" i="3"/>
  <c r="H47" i="3"/>
  <c r="H48" i="3"/>
  <c r="H29" i="3"/>
  <c r="H31" i="3"/>
  <c r="H36" i="3"/>
  <c r="H37" i="3"/>
  <c r="H27" i="3"/>
  <c r="H35" i="3"/>
  <c r="H28" i="3"/>
  <c r="H32" i="3"/>
  <c r="H30" i="3"/>
  <c r="H49" i="3"/>
  <c r="H50" i="3"/>
  <c r="H52" i="3"/>
  <c r="H56" i="3"/>
  <c r="H34" i="3"/>
  <c r="H55" i="3"/>
  <c r="H51" i="3"/>
  <c r="H58" i="3"/>
  <c r="H11" i="3"/>
  <c r="H15" i="3"/>
  <c r="H16" i="3"/>
  <c r="H17" i="3"/>
  <c r="H18" i="3"/>
  <c r="H10" i="3"/>
  <c r="H13" i="3"/>
  <c r="H57" i="3"/>
  <c r="H7" i="3"/>
  <c r="H9" i="3"/>
  <c r="H12" i="3"/>
  <c r="H14" i="3"/>
  <c r="H4" i="3"/>
  <c r="H6" i="3"/>
  <c r="H3" i="3"/>
  <c r="H8" i="3"/>
  <c r="D20" i="3"/>
  <c r="D22" i="3"/>
  <c r="D23" i="3"/>
  <c r="D24" i="3"/>
  <c r="D25" i="3"/>
  <c r="D26" i="3"/>
  <c r="D27" i="3"/>
  <c r="D30" i="3"/>
  <c r="D34" i="3"/>
  <c r="D41" i="3"/>
  <c r="D42" i="3"/>
  <c r="D43" i="3"/>
  <c r="D44" i="3"/>
  <c r="D47" i="3"/>
  <c r="D48" i="3"/>
  <c r="D33" i="3"/>
  <c r="D28" i="3"/>
  <c r="D29" i="3"/>
  <c r="D31" i="3"/>
  <c r="D39" i="3"/>
  <c r="D40" i="3"/>
  <c r="D53" i="3"/>
  <c r="D51" i="3"/>
  <c r="D52" i="3"/>
  <c r="D35" i="3"/>
  <c r="D49" i="3"/>
  <c r="D54" i="3"/>
  <c r="D57" i="3"/>
  <c r="D50" i="3"/>
  <c r="D56" i="3"/>
  <c r="D58" i="3"/>
  <c r="D8" i="3"/>
  <c r="D11" i="3"/>
  <c r="D13" i="3"/>
  <c r="D15" i="3"/>
  <c r="D6" i="3"/>
  <c r="D16" i="3"/>
  <c r="D17" i="3"/>
  <c r="D18" i="3"/>
  <c r="D5" i="3"/>
  <c r="D10" i="3"/>
  <c r="D37" i="3"/>
  <c r="D55" i="3"/>
  <c r="D7" i="3"/>
  <c r="D9" i="3"/>
  <c r="D12" i="3"/>
  <c r="D3" i="3"/>
  <c r="D4" i="3"/>
  <c r="AR19" i="3"/>
  <c r="AR20" i="3"/>
  <c r="AR21" i="3"/>
  <c r="AR22" i="3"/>
  <c r="AR23" i="3"/>
  <c r="AR24" i="3"/>
  <c r="AR25" i="3"/>
  <c r="AR26" i="3"/>
  <c r="AR27" i="3"/>
  <c r="AR31" i="3"/>
  <c r="AR34" i="3"/>
  <c r="AR40" i="3"/>
  <c r="AR41" i="3"/>
  <c r="AR42" i="3"/>
  <c r="AR43" i="3"/>
  <c r="AR44" i="3"/>
  <c r="AR45" i="3"/>
  <c r="AR47" i="3"/>
  <c r="AR33" i="3"/>
  <c r="AR32" i="3"/>
  <c r="AR36" i="3"/>
  <c r="AR38" i="3"/>
  <c r="AR39" i="3"/>
  <c r="AR54" i="3"/>
  <c r="AR28" i="3"/>
  <c r="AR37" i="3"/>
  <c r="AR48" i="3"/>
  <c r="AR49" i="3"/>
  <c r="AR51" i="3"/>
  <c r="AR53" i="3"/>
  <c r="AR57" i="3"/>
  <c r="AR50" i="3"/>
  <c r="AR58" i="3"/>
  <c r="AR6" i="3"/>
  <c r="AR8" i="3"/>
  <c r="AR11" i="3"/>
  <c r="AR17" i="3"/>
  <c r="AR5" i="3"/>
  <c r="AR13" i="3"/>
  <c r="AR15" i="3"/>
  <c r="AR16" i="3"/>
  <c r="AR18" i="3"/>
  <c r="AR56" i="3"/>
  <c r="AR7" i="3"/>
  <c r="AR10" i="3"/>
  <c r="AR14" i="3"/>
  <c r="AR9" i="3"/>
  <c r="AR3" i="3"/>
  <c r="AJ19" i="3"/>
  <c r="AJ20" i="3"/>
  <c r="AJ21" i="3"/>
  <c r="AJ22" i="3"/>
  <c r="AJ23" i="3"/>
  <c r="AJ24" i="3"/>
  <c r="AJ25" i="3"/>
  <c r="AJ28" i="3"/>
  <c r="AJ30" i="3"/>
  <c r="AJ32" i="3"/>
  <c r="AJ36" i="3"/>
  <c r="AJ38" i="3"/>
  <c r="AJ39" i="3"/>
  <c r="AJ40" i="3"/>
  <c r="AJ42" i="3"/>
  <c r="AJ43" i="3"/>
  <c r="AJ44" i="3"/>
  <c r="AJ45" i="3"/>
  <c r="AJ46" i="3"/>
  <c r="AJ47" i="3"/>
  <c r="AJ27" i="3"/>
  <c r="AJ29" i="3"/>
  <c r="AJ31" i="3"/>
  <c r="AJ34" i="3"/>
  <c r="AJ53" i="3"/>
  <c r="AJ55" i="3"/>
  <c r="AJ49" i="3"/>
  <c r="AJ37" i="3"/>
  <c r="AJ50" i="3"/>
  <c r="AJ35" i="3"/>
  <c r="AJ52" i="3"/>
  <c r="AJ48" i="3"/>
  <c r="AJ58" i="3"/>
  <c r="AJ33" i="3"/>
  <c r="AJ51" i="3"/>
  <c r="AJ54" i="3"/>
  <c r="AJ56" i="3"/>
  <c r="AJ9" i="3"/>
  <c r="AJ10" i="3"/>
  <c r="AJ12" i="3"/>
  <c r="AJ13" i="3"/>
  <c r="AJ15" i="3"/>
  <c r="AJ14" i="3"/>
  <c r="AJ16" i="3"/>
  <c r="AJ18" i="3"/>
  <c r="AJ6" i="3"/>
  <c r="AJ8" i="3"/>
  <c r="AJ11" i="3"/>
  <c r="AJ5" i="3"/>
  <c r="AJ3" i="3"/>
  <c r="AJ4" i="3"/>
  <c r="AJ7" i="3"/>
  <c r="AU19" i="3"/>
  <c r="AU23" i="3"/>
  <c r="AU32" i="3"/>
  <c r="AU37" i="3"/>
  <c r="AU38" i="3"/>
  <c r="AU39" i="3"/>
  <c r="AU21" i="3"/>
  <c r="AU22" i="3"/>
  <c r="AU25" i="3"/>
  <c r="AU28" i="3"/>
  <c r="AU30" i="3"/>
  <c r="AU20" i="3"/>
  <c r="AU31" i="3"/>
  <c r="AU35" i="3"/>
  <c r="AU36" i="3"/>
  <c r="AU42" i="3"/>
  <c r="AU43" i="3"/>
  <c r="AU47" i="3"/>
  <c r="AU29" i="3"/>
  <c r="AU50" i="3"/>
  <c r="AU51" i="3"/>
  <c r="AU33" i="3"/>
  <c r="AU34" i="3"/>
  <c r="AU40" i="3"/>
  <c r="AU44" i="3"/>
  <c r="AU53" i="3"/>
  <c r="AU55" i="3"/>
  <c r="AU56" i="3"/>
  <c r="AU57" i="3"/>
  <c r="AU58" i="3"/>
  <c r="AU41" i="3"/>
  <c r="AU45" i="3"/>
  <c r="AU46" i="3"/>
  <c r="AU48" i="3"/>
  <c r="AU49" i="3"/>
  <c r="AU27" i="3"/>
  <c r="AU52" i="3"/>
  <c r="AU54" i="3"/>
  <c r="AU4" i="3"/>
  <c r="AU5" i="3"/>
  <c r="AU6" i="3"/>
  <c r="AU7" i="3"/>
  <c r="AU8" i="3"/>
  <c r="AU9" i="3"/>
  <c r="AU10" i="3"/>
  <c r="AU11" i="3"/>
  <c r="AU12" i="3"/>
  <c r="AU13" i="3"/>
  <c r="AU14" i="3"/>
  <c r="AU3" i="3"/>
  <c r="AU15" i="3"/>
  <c r="AU16" i="3"/>
  <c r="AU17" i="3"/>
  <c r="AU18" i="3"/>
  <c r="AQ25" i="3"/>
  <c r="AQ29" i="3"/>
  <c r="AQ33" i="3"/>
  <c r="AQ35" i="3"/>
  <c r="AQ19" i="3"/>
  <c r="AQ26" i="3"/>
  <c r="AQ32" i="3"/>
  <c r="AQ41" i="3"/>
  <c r="AQ45" i="3"/>
  <c r="AQ24" i="3"/>
  <c r="AQ36" i="3"/>
  <c r="AQ28" i="3"/>
  <c r="AQ37" i="3"/>
  <c r="AQ44" i="3"/>
  <c r="AQ48" i="3"/>
  <c r="AQ52" i="3"/>
  <c r="AQ43" i="3"/>
  <c r="AQ56" i="3"/>
  <c r="AQ57" i="3"/>
  <c r="AQ58" i="3"/>
  <c r="AQ23" i="3"/>
  <c r="AQ50" i="3"/>
  <c r="AQ38" i="3"/>
  <c r="AQ55" i="3"/>
  <c r="AQ40" i="3"/>
  <c r="AQ42" i="3"/>
  <c r="AQ54" i="3"/>
  <c r="AQ21" i="3"/>
  <c r="AQ39" i="3"/>
  <c r="AQ46" i="3"/>
  <c r="AQ4" i="3"/>
  <c r="AQ5" i="3"/>
  <c r="AQ6" i="3"/>
  <c r="AQ7" i="3"/>
  <c r="AQ8" i="3"/>
  <c r="AQ10" i="3"/>
  <c r="AQ11" i="3"/>
  <c r="AQ12" i="3"/>
  <c r="AQ14" i="3"/>
  <c r="AQ53" i="3"/>
  <c r="AQ3" i="3"/>
  <c r="AQ16" i="3"/>
  <c r="AQ17" i="3"/>
  <c r="AQ18" i="3"/>
  <c r="AM19" i="3"/>
  <c r="AM24" i="3"/>
  <c r="AM20" i="3"/>
  <c r="AM22" i="3"/>
  <c r="AM27" i="3"/>
  <c r="AM31" i="3"/>
  <c r="AM23" i="3"/>
  <c r="AM33" i="3"/>
  <c r="AM35" i="3"/>
  <c r="AM37" i="3"/>
  <c r="AM38" i="3"/>
  <c r="AM39" i="3"/>
  <c r="AM40" i="3"/>
  <c r="AM44" i="3"/>
  <c r="AM21" i="3"/>
  <c r="AM41" i="3"/>
  <c r="AM45" i="3"/>
  <c r="AM46" i="3"/>
  <c r="AM54" i="3"/>
  <c r="AM28" i="3"/>
  <c r="AM36" i="3"/>
  <c r="AM48" i="3"/>
  <c r="AM51" i="3"/>
  <c r="AM52" i="3"/>
  <c r="AM56" i="3"/>
  <c r="AM58" i="3"/>
  <c r="AM26" i="3"/>
  <c r="AM42" i="3"/>
  <c r="AM47" i="3"/>
  <c r="AM49" i="3"/>
  <c r="AM55" i="3"/>
  <c r="AM30" i="3"/>
  <c r="AM32" i="3"/>
  <c r="AM53" i="3"/>
  <c r="AM5" i="3"/>
  <c r="AM6" i="3"/>
  <c r="AM7" i="3"/>
  <c r="AM8" i="3"/>
  <c r="AM9" i="3"/>
  <c r="AM10" i="3"/>
  <c r="AM11" i="3"/>
  <c r="AM12" i="3"/>
  <c r="AM13" i="3"/>
  <c r="AM14" i="3"/>
  <c r="AM15" i="3"/>
  <c r="AM50" i="3"/>
  <c r="AM3" i="3"/>
  <c r="AM16" i="3"/>
  <c r="AM17" i="3"/>
  <c r="AM18" i="3"/>
  <c r="AI22" i="3"/>
  <c r="AI21" i="3"/>
  <c r="AI27" i="3"/>
  <c r="AI19" i="3"/>
  <c r="AI26" i="3"/>
  <c r="AI31" i="3"/>
  <c r="AI20" i="3"/>
  <c r="AI25" i="3"/>
  <c r="AI36" i="3"/>
  <c r="AI43" i="3"/>
  <c r="AI46" i="3"/>
  <c r="AI47" i="3"/>
  <c r="AI23" i="3"/>
  <c r="AI24" i="3"/>
  <c r="AI32" i="3"/>
  <c r="AI33" i="3"/>
  <c r="AI35" i="3"/>
  <c r="AI37" i="3"/>
  <c r="AI40" i="3"/>
  <c r="AI41" i="3"/>
  <c r="AI44" i="3"/>
  <c r="AI28" i="3"/>
  <c r="AI49" i="3"/>
  <c r="AI38" i="3"/>
  <c r="AI39" i="3"/>
  <c r="AI45" i="3"/>
  <c r="AI50" i="3"/>
  <c r="AI52" i="3"/>
  <c r="AI54" i="3"/>
  <c r="AI57" i="3"/>
  <c r="AI58" i="3"/>
  <c r="AI29" i="3"/>
  <c r="AI30" i="3"/>
  <c r="AI48" i="3"/>
  <c r="AI51" i="3"/>
  <c r="AI34" i="3"/>
  <c r="AI4" i="3"/>
  <c r="AI5" i="3"/>
  <c r="AI6" i="3"/>
  <c r="AI7" i="3"/>
  <c r="AI8" i="3"/>
  <c r="AI9" i="3"/>
  <c r="AI10" i="3"/>
  <c r="AI12" i="3"/>
  <c r="AI13" i="3"/>
  <c r="AI14" i="3"/>
  <c r="AI15" i="3"/>
  <c r="AI53" i="3"/>
  <c r="AI3" i="3"/>
  <c r="AI16" i="3"/>
  <c r="AI17" i="3"/>
  <c r="AI18" i="3"/>
  <c r="AE24" i="3"/>
  <c r="AE26" i="3"/>
  <c r="AE27" i="3"/>
  <c r="AE28" i="3"/>
  <c r="AE30" i="3"/>
  <c r="AE32" i="3"/>
  <c r="AE36" i="3"/>
  <c r="AE38" i="3"/>
  <c r="AE39" i="3"/>
  <c r="AE20" i="3"/>
  <c r="AE22" i="3"/>
  <c r="AE19" i="3"/>
  <c r="AE21" i="3"/>
  <c r="AE23" i="3"/>
  <c r="AE33" i="3"/>
  <c r="AE47" i="3"/>
  <c r="AE29" i="3"/>
  <c r="AE42" i="3"/>
  <c r="AE43" i="3"/>
  <c r="AE46" i="3"/>
  <c r="AE34" i="3"/>
  <c r="AE45" i="3"/>
  <c r="AE53" i="3"/>
  <c r="AE55" i="3"/>
  <c r="AE40" i="3"/>
  <c r="AE44" i="3"/>
  <c r="AE48" i="3"/>
  <c r="AE56" i="3"/>
  <c r="AE57" i="3"/>
  <c r="AE58" i="3"/>
  <c r="AE35" i="3"/>
  <c r="AE51" i="3"/>
  <c r="AE41" i="3"/>
  <c r="AE50" i="3"/>
  <c r="AE4" i="3"/>
  <c r="AE5" i="3"/>
  <c r="AE6" i="3"/>
  <c r="AE7" i="3"/>
  <c r="AE8" i="3"/>
  <c r="AE9" i="3"/>
  <c r="AE10" i="3"/>
  <c r="AE11" i="3"/>
  <c r="AE13" i="3"/>
  <c r="AE14" i="3"/>
  <c r="AE15" i="3"/>
  <c r="AE31" i="3"/>
  <c r="AE3" i="3"/>
  <c r="AE17" i="3"/>
  <c r="AE18" i="3"/>
  <c r="AA19" i="3"/>
  <c r="AA21" i="3"/>
  <c r="AA22" i="3"/>
  <c r="AA24" i="3"/>
  <c r="AA28" i="3"/>
  <c r="AA29" i="3"/>
  <c r="AA32" i="3"/>
  <c r="AA35" i="3"/>
  <c r="AA39" i="3"/>
  <c r="AA26" i="3"/>
  <c r="AA27" i="3"/>
  <c r="AA30" i="3"/>
  <c r="AA25" i="3"/>
  <c r="AA34" i="3"/>
  <c r="AA45" i="3"/>
  <c r="AA48" i="3"/>
  <c r="AA33" i="3"/>
  <c r="AA38" i="3"/>
  <c r="AA20" i="3"/>
  <c r="AA42" i="3"/>
  <c r="AA44" i="3"/>
  <c r="AA51" i="3"/>
  <c r="AA50" i="3"/>
  <c r="AA53" i="3"/>
  <c r="AA55" i="3"/>
  <c r="AA57" i="3"/>
  <c r="AA58" i="3"/>
  <c r="AA36" i="3"/>
  <c r="AA37" i="3"/>
  <c r="AA41" i="3"/>
  <c r="AA40" i="3"/>
  <c r="AA49" i="3"/>
  <c r="AA52" i="3"/>
  <c r="AA43" i="3"/>
  <c r="AA4" i="3"/>
  <c r="AA5" i="3"/>
  <c r="AA7" i="3"/>
  <c r="AA9" i="3"/>
  <c r="AA11" i="3"/>
  <c r="AA12" i="3"/>
  <c r="AA13" i="3"/>
  <c r="AA14" i="3"/>
  <c r="AA15" i="3"/>
  <c r="AA54" i="3"/>
  <c r="AA3" i="3"/>
  <c r="AA46" i="3"/>
  <c r="AA16" i="3"/>
  <c r="AA18" i="3"/>
  <c r="W24" i="3"/>
  <c r="W25" i="3"/>
  <c r="W26" i="3"/>
  <c r="W31" i="3"/>
  <c r="W33" i="3"/>
  <c r="W37" i="3"/>
  <c r="W22" i="3"/>
  <c r="W27" i="3"/>
  <c r="W28" i="3"/>
  <c r="W29" i="3"/>
  <c r="W32" i="3"/>
  <c r="W40" i="3"/>
  <c r="W41" i="3"/>
  <c r="W44" i="3"/>
  <c r="W21" i="3"/>
  <c r="W30" i="3"/>
  <c r="W34" i="3"/>
  <c r="W36" i="3"/>
  <c r="W38" i="3"/>
  <c r="W45" i="3"/>
  <c r="W47" i="3"/>
  <c r="W48" i="3"/>
  <c r="W23" i="3"/>
  <c r="W39" i="3"/>
  <c r="W52" i="3"/>
  <c r="W54" i="3"/>
  <c r="W43" i="3"/>
  <c r="W56" i="3"/>
  <c r="W58" i="3"/>
  <c r="W46" i="3"/>
  <c r="W50" i="3"/>
  <c r="W51" i="3"/>
  <c r="W20" i="3"/>
  <c r="W35" i="3"/>
  <c r="W53" i="3"/>
  <c r="W4" i="3"/>
  <c r="W7" i="3"/>
  <c r="W8" i="3"/>
  <c r="W9" i="3"/>
  <c r="W10" i="3"/>
  <c r="W11" i="3"/>
  <c r="W12" i="3"/>
  <c r="W13" i="3"/>
  <c r="W14" i="3"/>
  <c r="W15" i="3"/>
  <c r="W3" i="3"/>
  <c r="W55" i="3"/>
  <c r="W16" i="3"/>
  <c r="W17" i="3"/>
  <c r="W18" i="3"/>
  <c r="S19" i="3"/>
  <c r="S20" i="3"/>
  <c r="S21" i="3"/>
  <c r="S25" i="3"/>
  <c r="S40" i="3"/>
  <c r="S24" i="3"/>
  <c r="S33" i="3"/>
  <c r="S29" i="3"/>
  <c r="S30" i="3"/>
  <c r="S34" i="3"/>
  <c r="S35" i="3"/>
  <c r="S43" i="3"/>
  <c r="S46" i="3"/>
  <c r="S27" i="3"/>
  <c r="S41" i="3"/>
  <c r="S44" i="3"/>
  <c r="S22" i="3"/>
  <c r="S28" i="3"/>
  <c r="S42" i="3"/>
  <c r="S48" i="3"/>
  <c r="S51" i="3"/>
  <c r="S23" i="3"/>
  <c r="S52" i="3"/>
  <c r="S54" i="3"/>
  <c r="S56" i="3"/>
  <c r="S57" i="3"/>
  <c r="S58" i="3"/>
  <c r="S38" i="3"/>
  <c r="S53" i="3"/>
  <c r="S36" i="3"/>
  <c r="S55" i="3"/>
  <c r="S47" i="3"/>
  <c r="S50" i="3"/>
  <c r="S4" i="3"/>
  <c r="S5" i="3"/>
  <c r="S6" i="3"/>
  <c r="S7" i="3"/>
  <c r="S8" i="3"/>
  <c r="S10" i="3"/>
  <c r="S11" i="3"/>
  <c r="S12" i="3"/>
  <c r="S13" i="3"/>
  <c r="S15" i="3"/>
  <c r="S45" i="3"/>
  <c r="S49" i="3"/>
  <c r="S3" i="3"/>
  <c r="S16" i="3"/>
  <c r="S18" i="3"/>
  <c r="O22" i="3"/>
  <c r="O24" i="3"/>
  <c r="O25" i="3"/>
  <c r="O34" i="3"/>
  <c r="O36" i="3"/>
  <c r="O20" i="3"/>
  <c r="O23" i="3"/>
  <c r="O26" i="3"/>
  <c r="O33" i="3"/>
  <c r="O27" i="3"/>
  <c r="O37" i="3"/>
  <c r="O38" i="3"/>
  <c r="O39" i="3"/>
  <c r="O42" i="3"/>
  <c r="O32" i="3"/>
  <c r="O43" i="3"/>
  <c r="O46" i="3"/>
  <c r="O49" i="3"/>
  <c r="O50" i="3"/>
  <c r="O53" i="3"/>
  <c r="O55" i="3"/>
  <c r="O31" i="3"/>
  <c r="O35" i="3"/>
  <c r="O57" i="3"/>
  <c r="O58" i="3"/>
  <c r="O29" i="3"/>
  <c r="O45" i="3"/>
  <c r="O47" i="3"/>
  <c r="O51" i="3"/>
  <c r="O52" i="3"/>
  <c r="O28" i="3"/>
  <c r="O48" i="3"/>
  <c r="O56" i="3"/>
  <c r="O4" i="3"/>
  <c r="O5" i="3"/>
  <c r="O6" i="3"/>
  <c r="O8" i="3"/>
  <c r="O9" i="3"/>
  <c r="O10" i="3"/>
  <c r="O11" i="3"/>
  <c r="O12" i="3"/>
  <c r="O13" i="3"/>
  <c r="O14" i="3"/>
  <c r="O15" i="3"/>
  <c r="O44" i="3"/>
  <c r="O40" i="3"/>
  <c r="O3" i="3"/>
  <c r="O16" i="3"/>
  <c r="O17" i="3"/>
  <c r="O18" i="3"/>
  <c r="K19" i="3"/>
  <c r="K25" i="3"/>
  <c r="K20" i="3"/>
  <c r="K27" i="3"/>
  <c r="K32" i="3"/>
  <c r="K30" i="3"/>
  <c r="K34" i="3"/>
  <c r="K24" i="3"/>
  <c r="K26" i="3"/>
  <c r="K33" i="3"/>
  <c r="K45" i="3"/>
  <c r="K47" i="3"/>
  <c r="K21" i="3"/>
  <c r="K31" i="3"/>
  <c r="K36" i="3"/>
  <c r="K38" i="3"/>
  <c r="K40" i="3"/>
  <c r="K42" i="3"/>
  <c r="K41" i="3"/>
  <c r="K43" i="3"/>
  <c r="K48" i="3"/>
  <c r="K51" i="3"/>
  <c r="K37" i="3"/>
  <c r="K46" i="3"/>
  <c r="K53" i="3"/>
  <c r="K55" i="3"/>
  <c r="K57" i="3"/>
  <c r="K29" i="3"/>
  <c r="K44" i="3"/>
  <c r="K49" i="3"/>
  <c r="K39" i="3"/>
  <c r="K52" i="3"/>
  <c r="K54" i="3"/>
  <c r="K23" i="3"/>
  <c r="K4" i="3"/>
  <c r="K5" i="3"/>
  <c r="K6" i="3"/>
  <c r="K7" i="3"/>
  <c r="K8" i="3"/>
  <c r="K9" i="3"/>
  <c r="K11" i="3"/>
  <c r="K12" i="3"/>
  <c r="K13" i="3"/>
  <c r="K14" i="3"/>
  <c r="K15" i="3"/>
  <c r="K3" i="3"/>
  <c r="K16" i="3"/>
  <c r="K17" i="3"/>
  <c r="K18" i="3"/>
  <c r="G22" i="3"/>
  <c r="G23" i="3"/>
  <c r="G24" i="3"/>
  <c r="G21" i="3"/>
  <c r="G29" i="3"/>
  <c r="G37" i="3"/>
  <c r="G25" i="3"/>
  <c r="G27" i="3"/>
  <c r="G28" i="3"/>
  <c r="G32" i="3"/>
  <c r="G20" i="3"/>
  <c r="G35" i="3"/>
  <c r="G41" i="3"/>
  <c r="G44" i="3"/>
  <c r="G48" i="3"/>
  <c r="G19" i="3"/>
  <c r="G45" i="3"/>
  <c r="G47" i="3"/>
  <c r="G26" i="3"/>
  <c r="G30" i="3"/>
  <c r="G36" i="3"/>
  <c r="G49" i="3"/>
  <c r="G50" i="3"/>
  <c r="G52" i="3"/>
  <c r="G54" i="3"/>
  <c r="G56" i="3"/>
  <c r="G34" i="3"/>
  <c r="G39" i="3"/>
  <c r="G40" i="3"/>
  <c r="G55" i="3"/>
  <c r="G57" i="3"/>
  <c r="G51" i="3"/>
  <c r="G33" i="3"/>
  <c r="G46" i="3"/>
  <c r="G38" i="3"/>
  <c r="G42" i="3"/>
  <c r="G4" i="3"/>
  <c r="G5" i="3"/>
  <c r="G6" i="3"/>
  <c r="G7" i="3"/>
  <c r="G8" i="3"/>
  <c r="G9" i="3"/>
  <c r="G10" i="3"/>
  <c r="G11" i="3"/>
  <c r="G12" i="3"/>
  <c r="G13" i="3"/>
  <c r="G14" i="3"/>
  <c r="G15" i="3"/>
  <c r="G53" i="3"/>
  <c r="G43" i="3"/>
  <c r="G3" i="3"/>
  <c r="G16" i="3"/>
  <c r="G17" i="3"/>
  <c r="G229" i="10"/>
  <c r="G225" i="10"/>
  <c r="G221" i="10"/>
  <c r="G217" i="10"/>
  <c r="G213" i="10"/>
  <c r="G209" i="10"/>
  <c r="G205" i="10"/>
  <c r="G201" i="10"/>
  <c r="G197" i="10"/>
  <c r="G193" i="10"/>
  <c r="G189" i="10"/>
  <c r="G185" i="10"/>
  <c r="G181" i="10"/>
  <c r="G177" i="10"/>
  <c r="G173" i="10"/>
  <c r="G169" i="10"/>
  <c r="G228" i="10"/>
  <c r="G224" i="10"/>
  <c r="G220" i="10"/>
  <c r="G216" i="10"/>
  <c r="G212" i="10"/>
  <c r="G208" i="10"/>
  <c r="G204" i="10"/>
  <c r="G200" i="10"/>
  <c r="G196" i="10"/>
  <c r="G192" i="10"/>
  <c r="G188" i="10"/>
  <c r="G184" i="10"/>
  <c r="G180" i="10"/>
  <c r="G176" i="10"/>
  <c r="G172" i="10"/>
  <c r="G168" i="10"/>
  <c r="G227" i="10"/>
  <c r="G223" i="10"/>
  <c r="G219" i="10"/>
  <c r="G215" i="10"/>
  <c r="G211" i="10"/>
  <c r="G207" i="10"/>
  <c r="G203" i="10"/>
  <c r="G199" i="10"/>
  <c r="G195" i="10"/>
  <c r="G191" i="10"/>
  <c r="G187" i="10"/>
  <c r="G183" i="10"/>
  <c r="G179" i="10"/>
  <c r="G175" i="10"/>
  <c r="G171" i="10"/>
  <c r="BW220" i="3"/>
  <c r="BW212" i="3"/>
  <c r="BW204" i="3"/>
  <c r="BW196" i="3"/>
  <c r="BW188" i="3"/>
  <c r="BW180" i="3"/>
  <c r="BW172" i="3"/>
  <c r="BW164" i="3"/>
  <c r="G230" i="10"/>
  <c r="G226" i="10"/>
  <c r="G222" i="10"/>
  <c r="G218" i="10"/>
  <c r="G214" i="10"/>
  <c r="G210" i="10"/>
  <c r="G206" i="10"/>
  <c r="G202" i="10"/>
  <c r="G198" i="10"/>
  <c r="G194" i="10"/>
  <c r="G190" i="10"/>
  <c r="G186" i="10"/>
  <c r="G182" i="10"/>
  <c r="G178" i="10"/>
  <c r="G174" i="10"/>
  <c r="G170" i="10"/>
  <c r="BW219" i="3"/>
  <c r="BW211" i="3"/>
  <c r="BW203" i="3"/>
  <c r="BW195" i="3"/>
  <c r="BW187" i="3"/>
  <c r="BW179" i="3"/>
  <c r="BW171" i="3"/>
  <c r="BW163" i="3"/>
  <c r="G81" i="10"/>
  <c r="G57" i="10"/>
  <c r="BW128" i="3"/>
  <c r="BW102" i="3"/>
  <c r="G105" i="10"/>
  <c r="BW222" i="3"/>
  <c r="BW218" i="3"/>
  <c r="BW214" i="3"/>
  <c r="BW210" i="3"/>
  <c r="BW206" i="3"/>
  <c r="BW202" i="3"/>
  <c r="BW198" i="3"/>
  <c r="BW194" i="3"/>
  <c r="BW190" i="3"/>
  <c r="BW186" i="3"/>
  <c r="BW182" i="3"/>
  <c r="BW178" i="3"/>
  <c r="BW174" i="3"/>
  <c r="BW170" i="3"/>
  <c r="BW166" i="3"/>
  <c r="BW162" i="3"/>
  <c r="BW127" i="3"/>
  <c r="BW70" i="3"/>
  <c r="BW109" i="3"/>
  <c r="G97" i="10"/>
  <c r="BW221" i="3"/>
  <c r="BW217" i="3"/>
  <c r="BW213" i="3"/>
  <c r="BW209" i="3"/>
  <c r="BW205" i="3"/>
  <c r="BW201" i="3"/>
  <c r="BW197" i="3"/>
  <c r="BW193" i="3"/>
  <c r="BW189" i="3"/>
  <c r="BW185" i="3"/>
  <c r="BW181" i="3"/>
  <c r="BW177" i="3"/>
  <c r="BW173" i="3"/>
  <c r="BW169" i="3"/>
  <c r="BW165" i="3"/>
  <c r="BW161" i="3"/>
  <c r="BW126" i="3"/>
  <c r="BW42" i="3"/>
  <c r="BW159" i="3"/>
  <c r="BW158" i="3"/>
  <c r="BW157" i="3"/>
  <c r="BW156" i="3"/>
  <c r="BW155" i="3"/>
  <c r="BW154" i="3"/>
  <c r="BW153" i="3"/>
  <c r="BW152" i="3"/>
  <c r="BW151" i="3"/>
  <c r="BW150" i="3"/>
  <c r="BW149" i="3"/>
  <c r="BW148" i="3"/>
  <c r="BW147" i="3"/>
  <c r="BW146" i="3"/>
  <c r="BW145" i="3"/>
  <c r="BW144" i="3"/>
  <c r="BW143" i="3"/>
  <c r="BW142" i="3"/>
  <c r="BW141" i="3"/>
  <c r="BW140" i="3"/>
  <c r="BW139" i="3"/>
  <c r="BW138" i="3"/>
  <c r="BW137" i="3"/>
  <c r="BW136" i="3"/>
  <c r="BW135" i="3"/>
  <c r="BW134" i="3"/>
  <c r="BW133" i="3"/>
  <c r="BW132" i="3"/>
  <c r="BW131" i="3"/>
  <c r="BW130" i="3"/>
  <c r="BW129" i="3"/>
  <c r="BW125" i="3"/>
  <c r="BW124" i="3"/>
  <c r="BW123" i="3"/>
  <c r="BW122" i="3"/>
  <c r="BW121" i="3"/>
  <c r="BW120" i="3"/>
  <c r="BW119" i="3"/>
  <c r="BW118" i="3"/>
  <c r="BW117" i="3"/>
  <c r="BW116" i="3"/>
  <c r="BW115" i="3"/>
  <c r="BW114" i="3"/>
  <c r="BW113" i="3"/>
  <c r="BW112" i="3"/>
  <c r="BW111" i="3"/>
  <c r="BW110" i="3"/>
  <c r="BW108" i="3"/>
  <c r="BW107" i="3"/>
  <c r="BW106" i="3"/>
  <c r="BW105" i="3"/>
  <c r="BW104" i="3"/>
  <c r="BW101" i="3"/>
  <c r="BW100" i="3"/>
  <c r="BW99" i="3"/>
  <c r="BW98" i="3"/>
  <c r="BW96" i="3"/>
  <c r="BW95" i="3"/>
  <c r="BW94" i="3"/>
  <c r="BW93" i="3"/>
  <c r="BW92" i="3"/>
  <c r="BW91" i="3"/>
  <c r="BW90" i="3"/>
  <c r="BW88" i="3"/>
  <c r="BW87" i="3"/>
  <c r="BW86" i="3"/>
  <c r="BW85" i="3"/>
  <c r="BW84" i="3"/>
  <c r="BW83" i="3"/>
  <c r="BW82" i="3"/>
  <c r="G89" i="10"/>
  <c r="BW80" i="3"/>
  <c r="BW79" i="3"/>
  <c r="BW78" i="3"/>
  <c r="BW77" i="3"/>
  <c r="BW76" i="3"/>
  <c r="BW75" i="3"/>
  <c r="BW74" i="3"/>
  <c r="BW72" i="3"/>
  <c r="BW71" i="3"/>
  <c r="BW69" i="3"/>
  <c r="BW68" i="3"/>
  <c r="BW67" i="3"/>
  <c r="BW66" i="3"/>
  <c r="BW65" i="3"/>
  <c r="BW64" i="3"/>
  <c r="BW63" i="3"/>
  <c r="BW62" i="3"/>
  <c r="BW61" i="3"/>
  <c r="BW60" i="3"/>
  <c r="BW59" i="3"/>
  <c r="BW58" i="3"/>
  <c r="BW57" i="3"/>
  <c r="BW56" i="3"/>
  <c r="BW55" i="3"/>
  <c r="BW54" i="3"/>
  <c r="BW53" i="3"/>
  <c r="BW52" i="3"/>
  <c r="BW51" i="3"/>
  <c r="BW50" i="3"/>
  <c r="BW48" i="3"/>
  <c r="BW47" i="3"/>
  <c r="BW46" i="3"/>
  <c r="BW45" i="3"/>
  <c r="BW44" i="3"/>
  <c r="BW43" i="3"/>
  <c r="BW103" i="3"/>
  <c r="BW41" i="3"/>
  <c r="BW40" i="3"/>
  <c r="BW39" i="3"/>
  <c r="BW38" i="3"/>
  <c r="BW37" i="3"/>
  <c r="BW36" i="3"/>
  <c r="BW35" i="3"/>
  <c r="BW34" i="3"/>
  <c r="G41" i="10"/>
  <c r="M7" i="5"/>
  <c r="G11" i="10"/>
  <c r="BW32" i="3"/>
  <c r="BW24" i="3"/>
  <c r="BW16" i="3"/>
  <c r="BW4" i="3"/>
  <c r="BW3" i="3"/>
  <c r="BW31" i="3"/>
  <c r="BW27" i="3"/>
  <c r="BW23" i="3"/>
  <c r="BW19" i="3"/>
  <c r="BW15" i="3"/>
  <c r="BW11" i="3"/>
  <c r="BW7" i="3"/>
  <c r="BW30" i="3"/>
  <c r="BW26" i="3"/>
  <c r="BW22" i="3"/>
  <c r="BW18" i="3"/>
  <c r="BW14" i="3"/>
  <c r="BW10" i="3"/>
  <c r="BW6" i="3"/>
  <c r="BW28" i="3"/>
  <c r="BW20" i="3"/>
  <c r="BW12" i="3"/>
  <c r="BW8" i="3"/>
  <c r="BW29" i="3"/>
  <c r="BW25" i="3"/>
  <c r="BW21" i="3"/>
  <c r="BW17" i="3"/>
  <c r="BW13" i="3"/>
  <c r="BW9" i="3"/>
  <c r="BW5" i="3"/>
  <c r="M6" i="5"/>
  <c r="AH12" i="13" l="1"/>
  <c r="AI12" i="13"/>
  <c r="AD12" i="13"/>
  <c r="A66" i="13"/>
  <c r="A57" i="13"/>
  <c r="A13" i="13"/>
  <c r="A61" i="13"/>
  <c r="A17" i="13"/>
  <c r="A60" i="13"/>
  <c r="A16" i="13"/>
  <c r="A14" i="13"/>
  <c r="A30" i="13"/>
  <c r="A46" i="13"/>
  <c r="A62" i="13"/>
  <c r="A27" i="13"/>
  <c r="A43" i="13"/>
  <c r="A59" i="13"/>
  <c r="A65" i="13"/>
  <c r="A33" i="13"/>
  <c r="A37" i="13"/>
  <c r="A41" i="13"/>
  <c r="A38" i="13"/>
  <c r="A19" i="13"/>
  <c r="A51" i="13"/>
  <c r="A67" i="13"/>
  <c r="A20" i="13"/>
  <c r="A25" i="13"/>
  <c r="A56" i="13"/>
  <c r="A29" i="13"/>
  <c r="A44" i="13"/>
  <c r="A21" i="13"/>
  <c r="A64" i="13"/>
  <c r="A26" i="13"/>
  <c r="A42" i="13"/>
  <c r="A58" i="13"/>
  <c r="A23" i="13"/>
  <c r="A39" i="13"/>
  <c r="A55" i="13"/>
  <c r="A36" i="13"/>
  <c r="A63" i="13"/>
  <c r="A45" i="13"/>
  <c r="A24" i="13"/>
  <c r="A49" i="13"/>
  <c r="A12" i="13"/>
  <c r="A53" i="13"/>
  <c r="A32" i="13"/>
  <c r="A18" i="13"/>
  <c r="A34" i="13"/>
  <c r="A50" i="13"/>
  <c r="A15" i="13"/>
  <c r="A31" i="13"/>
  <c r="A47" i="13"/>
  <c r="A52" i="13"/>
  <c r="A40" i="13"/>
  <c r="A28" i="13"/>
  <c r="A48" i="13"/>
  <c r="A22" i="13"/>
  <c r="A54" i="13"/>
  <c r="A35" i="13"/>
  <c r="G3" i="10"/>
  <c r="G5" i="10"/>
  <c r="G4" i="10"/>
  <c r="G7" i="10"/>
  <c r="G6" i="10"/>
  <c r="C6" i="1"/>
  <c r="C5" i="1"/>
  <c r="C4" i="1"/>
  <c r="C3" i="1"/>
  <c r="BM1" i="3"/>
  <c r="AJ12" i="13" l="1"/>
  <c r="G8" i="10"/>
  <c r="BM219" i="3" l="1"/>
  <c r="BN219" i="3"/>
  <c r="BM215" i="3"/>
  <c r="BN215" i="3"/>
  <c r="BN211" i="3"/>
  <c r="BM211" i="3"/>
  <c r="BM207" i="3"/>
  <c r="BN207" i="3"/>
  <c r="BM203" i="3"/>
  <c r="BN203" i="3"/>
  <c r="BN199" i="3"/>
  <c r="BM199" i="3"/>
  <c r="BN195" i="3"/>
  <c r="BM195" i="3"/>
  <c r="BM189" i="3"/>
  <c r="BN189" i="3"/>
  <c r="BM187" i="3"/>
  <c r="BN187" i="3"/>
  <c r="D192" i="6" s="1"/>
  <c r="BN183" i="3"/>
  <c r="D188" i="6" s="1"/>
  <c r="BM183" i="3"/>
  <c r="BN179" i="3"/>
  <c r="D184" i="6" s="1"/>
  <c r="BM179" i="3"/>
  <c r="BM175" i="3"/>
  <c r="BN175" i="3"/>
  <c r="D180" i="6" s="1"/>
  <c r="BM171" i="3"/>
  <c r="BN171" i="3"/>
  <c r="D176" i="6" s="1"/>
  <c r="BM167" i="3"/>
  <c r="BN167" i="3"/>
  <c r="D172" i="6" s="1"/>
  <c r="BM163" i="3"/>
  <c r="BN163" i="3"/>
  <c r="D168" i="6" s="1"/>
  <c r="BN159" i="3"/>
  <c r="D164" i="6" s="1"/>
  <c r="BM159" i="3"/>
  <c r="BM155" i="3"/>
  <c r="BN155" i="3"/>
  <c r="D160" i="6" s="1"/>
  <c r="BM151" i="3"/>
  <c r="BN151" i="3"/>
  <c r="D156" i="6" s="1"/>
  <c r="BN149" i="3"/>
  <c r="D154" i="6" s="1"/>
  <c r="BM149" i="3"/>
  <c r="BM143" i="3"/>
  <c r="BN143" i="3"/>
  <c r="D148" i="6" s="1"/>
  <c r="BM139" i="3"/>
  <c r="BN139" i="3"/>
  <c r="D144" i="6" s="1"/>
  <c r="BM135" i="3"/>
  <c r="BN135" i="3"/>
  <c r="D140" i="6" s="1"/>
  <c r="BM131" i="3"/>
  <c r="BN131" i="3"/>
  <c r="D136" i="6" s="1"/>
  <c r="BM129" i="3"/>
  <c r="BN129" i="3"/>
  <c r="D134" i="6" s="1"/>
  <c r="BM125" i="3"/>
  <c r="BN125" i="3"/>
  <c r="D130" i="6" s="1"/>
  <c r="BM121" i="3"/>
  <c r="BN121" i="3"/>
  <c r="D126" i="6" s="1"/>
  <c r="BM117" i="3"/>
  <c r="BN117" i="3"/>
  <c r="D122" i="6" s="1"/>
  <c r="BM113" i="3"/>
  <c r="BN113" i="3"/>
  <c r="D118" i="6" s="1"/>
  <c r="BN109" i="3"/>
  <c r="D114" i="6" s="1"/>
  <c r="BM109" i="3"/>
  <c r="BN107" i="3"/>
  <c r="D112" i="6" s="1"/>
  <c r="BM107" i="3"/>
  <c r="BN101" i="3"/>
  <c r="D106" i="6" s="1"/>
  <c r="BM101" i="3"/>
  <c r="BN99" i="3"/>
  <c r="D104" i="6" s="1"/>
  <c r="BM99" i="3"/>
  <c r="BM93" i="3"/>
  <c r="BN93" i="3"/>
  <c r="D98" i="6" s="1"/>
  <c r="BM89" i="3"/>
  <c r="BN89" i="3"/>
  <c r="D94" i="6" s="1"/>
  <c r="BM85" i="3"/>
  <c r="BN85" i="3"/>
  <c r="D90" i="6" s="1"/>
  <c r="BN81" i="3"/>
  <c r="D86" i="6" s="1"/>
  <c r="BM81" i="3"/>
  <c r="BM222" i="3"/>
  <c r="BN222" i="3"/>
  <c r="BN220" i="3"/>
  <c r="BM220" i="3"/>
  <c r="BN216" i="3"/>
  <c r="BM216" i="3"/>
  <c r="BM212" i="3"/>
  <c r="BN212" i="3"/>
  <c r="BM208" i="3"/>
  <c r="BN208" i="3"/>
  <c r="BN202" i="3"/>
  <c r="BM202" i="3"/>
  <c r="BM200" i="3"/>
  <c r="BN200" i="3"/>
  <c r="BM194" i="3"/>
  <c r="BN194" i="3"/>
  <c r="BM190" i="3"/>
  <c r="BN190" i="3"/>
  <c r="BM186" i="3"/>
  <c r="BN186" i="3"/>
  <c r="D191" i="6" s="1"/>
  <c r="BM182" i="3"/>
  <c r="BN182" i="3"/>
  <c r="D187" i="6" s="1"/>
  <c r="BM178" i="3"/>
  <c r="BN178" i="3"/>
  <c r="D183" i="6" s="1"/>
  <c r="BM174" i="3"/>
  <c r="BN174" i="3"/>
  <c r="D179" i="6" s="1"/>
  <c r="BM170" i="3"/>
  <c r="BN170" i="3"/>
  <c r="D175" i="6" s="1"/>
  <c r="BN166" i="3"/>
  <c r="D171" i="6" s="1"/>
  <c r="BM166" i="3"/>
  <c r="BN162" i="3"/>
  <c r="D167" i="6" s="1"/>
  <c r="BM162" i="3"/>
  <c r="BN158" i="3"/>
  <c r="D163" i="6" s="1"/>
  <c r="BM158" i="3"/>
  <c r="BN154" i="3"/>
  <c r="D159" i="6" s="1"/>
  <c r="BM154" i="3"/>
  <c r="BM152" i="3"/>
  <c r="BN152" i="3"/>
  <c r="D157" i="6" s="1"/>
  <c r="BM148" i="3"/>
  <c r="BN148" i="3"/>
  <c r="D153" i="6" s="1"/>
  <c r="BM144" i="3"/>
  <c r="BN144" i="3"/>
  <c r="D149" i="6" s="1"/>
  <c r="BN140" i="3"/>
  <c r="D145" i="6" s="1"/>
  <c r="BM140" i="3"/>
  <c r="BN136" i="3"/>
  <c r="D141" i="6" s="1"/>
  <c r="BM136" i="3"/>
  <c r="BM132" i="3"/>
  <c r="BN132" i="3"/>
  <c r="D137" i="6" s="1"/>
  <c r="BN126" i="3"/>
  <c r="D131" i="6" s="1"/>
  <c r="BM126" i="3"/>
  <c r="BN124" i="3"/>
  <c r="D129" i="6" s="1"/>
  <c r="BM124" i="3"/>
  <c r="BN120" i="3"/>
  <c r="D125" i="6" s="1"/>
  <c r="BM120" i="3"/>
  <c r="BM116" i="3"/>
  <c r="BN116" i="3"/>
  <c r="D121" i="6" s="1"/>
  <c r="BN110" i="3"/>
  <c r="D115" i="6" s="1"/>
  <c r="BM110" i="3"/>
  <c r="BM108" i="3"/>
  <c r="BN108" i="3"/>
  <c r="D113" i="6" s="1"/>
  <c r="BN102" i="3"/>
  <c r="D107" i="6" s="1"/>
  <c r="BM102" i="3"/>
  <c r="BN98" i="3"/>
  <c r="D103" i="6" s="1"/>
  <c r="BM98" i="3"/>
  <c r="BN94" i="3"/>
  <c r="D99" i="6" s="1"/>
  <c r="BM94" i="3"/>
  <c r="BM90" i="3"/>
  <c r="BN90" i="3"/>
  <c r="D95" i="6" s="1"/>
  <c r="BM88" i="3"/>
  <c r="BN88" i="3"/>
  <c r="D93" i="6" s="1"/>
  <c r="BN84" i="3"/>
  <c r="D89" i="6" s="1"/>
  <c r="BM84" i="3"/>
  <c r="BN80" i="3"/>
  <c r="D85" i="6" s="1"/>
  <c r="BM80" i="3"/>
  <c r="BN76" i="3"/>
  <c r="D81" i="6" s="1"/>
  <c r="BM76" i="3"/>
  <c r="BM74" i="3"/>
  <c r="BN74" i="3"/>
  <c r="D79" i="6" s="1"/>
  <c r="BN72" i="3"/>
  <c r="D77" i="6" s="1"/>
  <c r="BM72" i="3"/>
  <c r="BM70" i="3"/>
  <c r="BN70" i="3"/>
  <c r="D75" i="6" s="1"/>
  <c r="BN68" i="3"/>
  <c r="D73" i="6" s="1"/>
  <c r="BM68" i="3"/>
  <c r="BM66" i="3"/>
  <c r="BN66" i="3"/>
  <c r="D71" i="6" s="1"/>
  <c r="BN64" i="3"/>
  <c r="D69" i="6" s="1"/>
  <c r="BM64" i="3"/>
  <c r="BM62" i="3"/>
  <c r="BN62" i="3"/>
  <c r="D67" i="6" s="1"/>
  <c r="BN60" i="3"/>
  <c r="D65" i="6" s="1"/>
  <c r="BM60" i="3"/>
  <c r="BM58" i="3"/>
  <c r="BN58" i="3"/>
  <c r="D63" i="6" s="1"/>
  <c r="BN56" i="3"/>
  <c r="D61" i="6" s="1"/>
  <c r="BM56" i="3"/>
  <c r="BN54" i="3"/>
  <c r="D59" i="6" s="1"/>
  <c r="BM54" i="3"/>
  <c r="BN52" i="3"/>
  <c r="D57" i="6" s="1"/>
  <c r="BM52" i="3"/>
  <c r="BM50" i="3"/>
  <c r="BN50" i="3"/>
  <c r="D55" i="6" s="1"/>
  <c r="BN48" i="3"/>
  <c r="D53" i="6" s="1"/>
  <c r="BM48" i="3"/>
  <c r="BN46" i="3"/>
  <c r="D51" i="6" s="1"/>
  <c r="BM46" i="3"/>
  <c r="BN44" i="3"/>
  <c r="D49" i="6" s="1"/>
  <c r="BM44" i="3"/>
  <c r="BM42" i="3"/>
  <c r="BN42" i="3"/>
  <c r="D47" i="6" s="1"/>
  <c r="BM40" i="3"/>
  <c r="BN40" i="3"/>
  <c r="D45" i="6" s="1"/>
  <c r="BM38" i="3"/>
  <c r="BN38" i="3"/>
  <c r="D43" i="6" s="1"/>
  <c r="BM36" i="3"/>
  <c r="BN36" i="3"/>
  <c r="D41" i="6" s="1"/>
  <c r="BN34" i="3"/>
  <c r="D39" i="6" s="1"/>
  <c r="BM34" i="3"/>
  <c r="BM218" i="3"/>
  <c r="BN218" i="3"/>
  <c r="BM214" i="3"/>
  <c r="BN214" i="3"/>
  <c r="BM210" i="3"/>
  <c r="BN210" i="3"/>
  <c r="BM206" i="3"/>
  <c r="BN206" i="3"/>
  <c r="BM204" i="3"/>
  <c r="BN204" i="3"/>
  <c r="BM198" i="3"/>
  <c r="BN198" i="3"/>
  <c r="BM196" i="3"/>
  <c r="BN196" i="3"/>
  <c r="BM192" i="3"/>
  <c r="BN192" i="3"/>
  <c r="BM188" i="3"/>
  <c r="BN188" i="3"/>
  <c r="BM184" i="3"/>
  <c r="BN184" i="3"/>
  <c r="D189" i="6" s="1"/>
  <c r="BM180" i="3"/>
  <c r="BN180" i="3"/>
  <c r="D185" i="6" s="1"/>
  <c r="BN176" i="3"/>
  <c r="D181" i="6" s="1"/>
  <c r="BM176" i="3"/>
  <c r="BN172" i="3"/>
  <c r="D177" i="6" s="1"/>
  <c r="BM172" i="3"/>
  <c r="BM168" i="3"/>
  <c r="BN168" i="3"/>
  <c r="D173" i="6" s="1"/>
  <c r="BM164" i="3"/>
  <c r="BN164" i="3"/>
  <c r="D169" i="6" s="1"/>
  <c r="BM160" i="3"/>
  <c r="BN160" i="3"/>
  <c r="D165" i="6" s="1"/>
  <c r="BM156" i="3"/>
  <c r="BN156" i="3"/>
  <c r="D161" i="6" s="1"/>
  <c r="BN150" i="3"/>
  <c r="D155" i="6" s="1"/>
  <c r="BM150" i="3"/>
  <c r="BM146" i="3"/>
  <c r="BN146" i="3"/>
  <c r="D151" i="6" s="1"/>
  <c r="BN142" i="3"/>
  <c r="D147" i="6" s="1"/>
  <c r="BM142" i="3"/>
  <c r="BM138" i="3"/>
  <c r="BN138" i="3"/>
  <c r="D143" i="6" s="1"/>
  <c r="BM134" i="3"/>
  <c r="BN134" i="3"/>
  <c r="D139" i="6" s="1"/>
  <c r="BM130" i="3"/>
  <c r="BN130" i="3"/>
  <c r="D135" i="6" s="1"/>
  <c r="BM128" i="3"/>
  <c r="BN128" i="3"/>
  <c r="D133" i="6" s="1"/>
  <c r="BM122" i="3"/>
  <c r="BN122" i="3"/>
  <c r="D127" i="6" s="1"/>
  <c r="BM118" i="3"/>
  <c r="BN118" i="3"/>
  <c r="D123" i="6" s="1"/>
  <c r="BM114" i="3"/>
  <c r="BN114" i="3"/>
  <c r="D119" i="6" s="1"/>
  <c r="BN112" i="3"/>
  <c r="D117" i="6" s="1"/>
  <c r="BM112" i="3"/>
  <c r="BN106" i="3"/>
  <c r="D111" i="6" s="1"/>
  <c r="BM106" i="3"/>
  <c r="BM104" i="3"/>
  <c r="BN104" i="3"/>
  <c r="D109" i="6" s="1"/>
  <c r="BM100" i="3"/>
  <c r="BN100" i="3"/>
  <c r="D105" i="6" s="1"/>
  <c r="BM96" i="3"/>
  <c r="BN96" i="3"/>
  <c r="D101" i="6" s="1"/>
  <c r="BN92" i="3"/>
  <c r="D97" i="6" s="1"/>
  <c r="BM92" i="3"/>
  <c r="BM86" i="3"/>
  <c r="BN86" i="3"/>
  <c r="D91" i="6" s="1"/>
  <c r="BM82" i="3"/>
  <c r="BN82" i="3"/>
  <c r="D87" i="6" s="1"/>
  <c r="BM78" i="3"/>
  <c r="BN78" i="3"/>
  <c r="D83" i="6" s="1"/>
  <c r="BM221" i="3"/>
  <c r="BN221" i="3"/>
  <c r="BM217" i="3"/>
  <c r="BN217" i="3"/>
  <c r="BM213" i="3"/>
  <c r="BN213" i="3"/>
  <c r="BM209" i="3"/>
  <c r="BN209" i="3"/>
  <c r="BM205" i="3"/>
  <c r="BN205" i="3"/>
  <c r="BM201" i="3"/>
  <c r="BN201" i="3"/>
  <c r="BM197" i="3"/>
  <c r="BN197" i="3"/>
  <c r="BM193" i="3"/>
  <c r="BN193" i="3"/>
  <c r="BM191" i="3"/>
  <c r="BN191" i="3"/>
  <c r="BM185" i="3"/>
  <c r="BN185" i="3"/>
  <c r="D190" i="6" s="1"/>
  <c r="BM181" i="3"/>
  <c r="BN181" i="3"/>
  <c r="D186" i="6" s="1"/>
  <c r="BN177" i="3"/>
  <c r="D182" i="6" s="1"/>
  <c r="BM177" i="3"/>
  <c r="BN173" i="3"/>
  <c r="D178" i="6" s="1"/>
  <c r="BM173" i="3"/>
  <c r="BM169" i="3"/>
  <c r="BN169" i="3"/>
  <c r="D174" i="6" s="1"/>
  <c r="BN165" i="3"/>
  <c r="D170" i="6" s="1"/>
  <c r="BM165" i="3"/>
  <c r="BN161" i="3"/>
  <c r="D166" i="6" s="1"/>
  <c r="BM161" i="3"/>
  <c r="BN157" i="3"/>
  <c r="D162" i="6" s="1"/>
  <c r="BM157" i="3"/>
  <c r="BN153" i="3"/>
  <c r="D158" i="6" s="1"/>
  <c r="BM153" i="3"/>
  <c r="BM147" i="3"/>
  <c r="BN147" i="3"/>
  <c r="D152" i="6" s="1"/>
  <c r="BM145" i="3"/>
  <c r="BN145" i="3"/>
  <c r="D150" i="6" s="1"/>
  <c r="BM141" i="3"/>
  <c r="BN141" i="3"/>
  <c r="D146" i="6" s="1"/>
  <c r="BM137" i="3"/>
  <c r="BN137" i="3"/>
  <c r="D142" i="6" s="1"/>
  <c r="BM133" i="3"/>
  <c r="BN133" i="3"/>
  <c r="D138" i="6" s="1"/>
  <c r="BM127" i="3"/>
  <c r="BN127" i="3"/>
  <c r="D132" i="6" s="1"/>
  <c r="BM123" i="3"/>
  <c r="BN123" i="3"/>
  <c r="D128" i="6" s="1"/>
  <c r="BM119" i="3"/>
  <c r="BN119" i="3"/>
  <c r="D124" i="6" s="1"/>
  <c r="BM115" i="3"/>
  <c r="BN115" i="3"/>
  <c r="D120" i="6" s="1"/>
  <c r="BN111" i="3"/>
  <c r="D116" i="6" s="1"/>
  <c r="BM111" i="3"/>
  <c r="BN105" i="3"/>
  <c r="D110" i="6" s="1"/>
  <c r="BM105" i="3"/>
  <c r="BN103" i="3"/>
  <c r="D108" i="6" s="1"/>
  <c r="BM103" i="3"/>
  <c r="BN97" i="3"/>
  <c r="D102" i="6" s="1"/>
  <c r="BM97" i="3"/>
  <c r="BM95" i="3"/>
  <c r="BN95" i="3"/>
  <c r="D100" i="6" s="1"/>
  <c r="BN91" i="3"/>
  <c r="D96" i="6" s="1"/>
  <c r="BM91" i="3"/>
  <c r="BN87" i="3"/>
  <c r="D92" i="6" s="1"/>
  <c r="BM87" i="3"/>
  <c r="BM83" i="3"/>
  <c r="BN83" i="3"/>
  <c r="D88" i="6" s="1"/>
  <c r="BM79" i="3"/>
  <c r="BN79" i="3"/>
  <c r="D84" i="6" s="1"/>
  <c r="BN77" i="3"/>
  <c r="D82" i="6" s="1"/>
  <c r="BM77" i="3"/>
  <c r="BM75" i="3"/>
  <c r="BN75" i="3"/>
  <c r="D80" i="6" s="1"/>
  <c r="BN73" i="3"/>
  <c r="D78" i="6" s="1"/>
  <c r="BM73" i="3"/>
  <c r="BM71" i="3"/>
  <c r="BN71" i="3"/>
  <c r="D76" i="6" s="1"/>
  <c r="BN69" i="3"/>
  <c r="D74" i="6" s="1"/>
  <c r="BM69" i="3"/>
  <c r="BM67" i="3"/>
  <c r="BN67" i="3"/>
  <c r="D72" i="6" s="1"/>
  <c r="BN65" i="3"/>
  <c r="D70" i="6" s="1"/>
  <c r="BM65" i="3"/>
  <c r="BM63" i="3"/>
  <c r="BN63" i="3"/>
  <c r="D68" i="6" s="1"/>
  <c r="BM61" i="3"/>
  <c r="BN61" i="3"/>
  <c r="D66" i="6" s="1"/>
  <c r="BM59" i="3"/>
  <c r="BN59" i="3"/>
  <c r="D64" i="6" s="1"/>
  <c r="BN57" i="3"/>
  <c r="D62" i="6" s="1"/>
  <c r="BM57" i="3"/>
  <c r="BM55" i="3"/>
  <c r="BN55" i="3"/>
  <c r="D60" i="6" s="1"/>
  <c r="BN53" i="3"/>
  <c r="D58" i="6" s="1"/>
  <c r="BM53" i="3"/>
  <c r="BM51" i="3"/>
  <c r="BN51" i="3"/>
  <c r="D56" i="6" s="1"/>
  <c r="BN49" i="3"/>
  <c r="D54" i="6" s="1"/>
  <c r="BM49" i="3"/>
  <c r="BM47" i="3"/>
  <c r="BN47" i="3"/>
  <c r="D52" i="6" s="1"/>
  <c r="BM45" i="3"/>
  <c r="BN45" i="3"/>
  <c r="D50" i="6" s="1"/>
  <c r="BM43" i="3"/>
  <c r="BN43" i="3"/>
  <c r="D48" i="6" s="1"/>
  <c r="BM41" i="3"/>
  <c r="BN41" i="3"/>
  <c r="D46" i="6" s="1"/>
  <c r="BN39" i="3"/>
  <c r="D44" i="6" s="1"/>
  <c r="BM39" i="3"/>
  <c r="BM37" i="3"/>
  <c r="BN37" i="3"/>
  <c r="D42" i="6" s="1"/>
  <c r="BM35" i="3"/>
  <c r="BN35" i="3"/>
  <c r="D40" i="6" s="1"/>
  <c r="BL101" i="3"/>
  <c r="BL221" i="3"/>
  <c r="BT221" i="3" s="1"/>
  <c r="BL219" i="3"/>
  <c r="BT219" i="3" s="1"/>
  <c r="BL217" i="3"/>
  <c r="BT217" i="3" s="1"/>
  <c r="BL205" i="3"/>
  <c r="BT205" i="3" s="1"/>
  <c r="BL199" i="3"/>
  <c r="BT199" i="3" s="1"/>
  <c r="BL197" i="3"/>
  <c r="BT197" i="3" s="1"/>
  <c r="BL189" i="3"/>
  <c r="BT189" i="3" s="1"/>
  <c r="BL187" i="3"/>
  <c r="BL179" i="3"/>
  <c r="BL177" i="3"/>
  <c r="BL175" i="3"/>
  <c r="BL169" i="3"/>
  <c r="BL167" i="3"/>
  <c r="BL165" i="3"/>
  <c r="BL163" i="3"/>
  <c r="BL159" i="3"/>
  <c r="BL151" i="3"/>
  <c r="BL139" i="3"/>
  <c r="BL131" i="3"/>
  <c r="BL129" i="3"/>
  <c r="BL121" i="3"/>
  <c r="BL117" i="3"/>
  <c r="BL115" i="3"/>
  <c r="BL113" i="3"/>
  <c r="BL111" i="3"/>
  <c r="BL109" i="3"/>
  <c r="BL105" i="3"/>
  <c r="BL103" i="3"/>
  <c r="BL99" i="3"/>
  <c r="BL97" i="3"/>
  <c r="BL95" i="3"/>
  <c r="BL93" i="3"/>
  <c r="BL91" i="3"/>
  <c r="BL89" i="3"/>
  <c r="BL87" i="3"/>
  <c r="BL85" i="3"/>
  <c r="BL83" i="3"/>
  <c r="BL81" i="3"/>
  <c r="BL79" i="3"/>
  <c r="BL77" i="3"/>
  <c r="BL75" i="3"/>
  <c r="BL73" i="3"/>
  <c r="BL71" i="3"/>
  <c r="BL69" i="3"/>
  <c r="BL67" i="3"/>
  <c r="BL65" i="3"/>
  <c r="BL63" i="3"/>
  <c r="BL61" i="3"/>
  <c r="BL59" i="3"/>
  <c r="BL57" i="3"/>
  <c r="BL55" i="3"/>
  <c r="BL53" i="3"/>
  <c r="BL51" i="3"/>
  <c r="BL49" i="3"/>
  <c r="BL47" i="3"/>
  <c r="BL45" i="3"/>
  <c r="BL43" i="3"/>
  <c r="BL41" i="3"/>
  <c r="BL39" i="3"/>
  <c r="BL37" i="3"/>
  <c r="BL35" i="3"/>
  <c r="BL209" i="3"/>
  <c r="BT209" i="3" s="1"/>
  <c r="BL203" i="3"/>
  <c r="BT203" i="3" s="1"/>
  <c r="BL201" i="3"/>
  <c r="BT201" i="3" s="1"/>
  <c r="BL185" i="3"/>
  <c r="BL157" i="3"/>
  <c r="BL153" i="3"/>
  <c r="BL149" i="3"/>
  <c r="BL145" i="3"/>
  <c r="BL143" i="3"/>
  <c r="BL137" i="3"/>
  <c r="BL125" i="3"/>
  <c r="BL123" i="3"/>
  <c r="BL119" i="3"/>
  <c r="BL107" i="3"/>
  <c r="BL215" i="3"/>
  <c r="BT215" i="3" s="1"/>
  <c r="BL213" i="3"/>
  <c r="BT213" i="3" s="1"/>
  <c r="BL211" i="3"/>
  <c r="BT211" i="3" s="1"/>
  <c r="BL207" i="3"/>
  <c r="BT207" i="3" s="1"/>
  <c r="BL195" i="3"/>
  <c r="BT195" i="3" s="1"/>
  <c r="BL193" i="3"/>
  <c r="BT193" i="3" s="1"/>
  <c r="BL191" i="3"/>
  <c r="BT191" i="3" s="1"/>
  <c r="BL183" i="3"/>
  <c r="BL181" i="3"/>
  <c r="BL173" i="3"/>
  <c r="BL171" i="3"/>
  <c r="BL161" i="3"/>
  <c r="BL155" i="3"/>
  <c r="BL147" i="3"/>
  <c r="BL141" i="3"/>
  <c r="BL135" i="3"/>
  <c r="BL133" i="3"/>
  <c r="BL127" i="3"/>
  <c r="BL222" i="3"/>
  <c r="BT222" i="3" s="1"/>
  <c r="BL220" i="3"/>
  <c r="BT220" i="3" s="1"/>
  <c r="BL218" i="3"/>
  <c r="BT218" i="3" s="1"/>
  <c r="BL216" i="3"/>
  <c r="BT216" i="3" s="1"/>
  <c r="BL214" i="3"/>
  <c r="BT214" i="3" s="1"/>
  <c r="BL212" i="3"/>
  <c r="BT212" i="3" s="1"/>
  <c r="BL210" i="3"/>
  <c r="BT210" i="3" s="1"/>
  <c r="BL208" i="3"/>
  <c r="BT208" i="3" s="1"/>
  <c r="BL206" i="3"/>
  <c r="BT206" i="3" s="1"/>
  <c r="BL204" i="3"/>
  <c r="BT204" i="3" s="1"/>
  <c r="BL202" i="3"/>
  <c r="BT202" i="3" s="1"/>
  <c r="BL200" i="3"/>
  <c r="BT200" i="3" s="1"/>
  <c r="BL198" i="3"/>
  <c r="BT198" i="3" s="1"/>
  <c r="BL196" i="3"/>
  <c r="BT196" i="3" s="1"/>
  <c r="BL194" i="3"/>
  <c r="BT194" i="3" s="1"/>
  <c r="BL192" i="3"/>
  <c r="BT192" i="3" s="1"/>
  <c r="BL190" i="3"/>
  <c r="BT190" i="3" s="1"/>
  <c r="BL188" i="3"/>
  <c r="BT188" i="3" s="1"/>
  <c r="BL186" i="3"/>
  <c r="BL184" i="3"/>
  <c r="BL182" i="3"/>
  <c r="BL180" i="3"/>
  <c r="BL178" i="3"/>
  <c r="BL176" i="3"/>
  <c r="BL174" i="3"/>
  <c r="BL172" i="3"/>
  <c r="BL170" i="3"/>
  <c r="BL168" i="3"/>
  <c r="BL166" i="3"/>
  <c r="BL164" i="3"/>
  <c r="BL162" i="3"/>
  <c r="BL160" i="3"/>
  <c r="BL158" i="3"/>
  <c r="BL156" i="3"/>
  <c r="BL154" i="3"/>
  <c r="BL152" i="3"/>
  <c r="BL150" i="3"/>
  <c r="BL148" i="3"/>
  <c r="BL146" i="3"/>
  <c r="BL144" i="3"/>
  <c r="BL142" i="3"/>
  <c r="BL140" i="3"/>
  <c r="BL138" i="3"/>
  <c r="BL136" i="3"/>
  <c r="BL134" i="3"/>
  <c r="BL132" i="3"/>
  <c r="BL130" i="3"/>
  <c r="BL128" i="3"/>
  <c r="BL126" i="3"/>
  <c r="BL124" i="3"/>
  <c r="BL122" i="3"/>
  <c r="BL120" i="3"/>
  <c r="BL118" i="3"/>
  <c r="BL116" i="3"/>
  <c r="BL114" i="3"/>
  <c r="BL112" i="3"/>
  <c r="BL110" i="3"/>
  <c r="BL108" i="3"/>
  <c r="BL106" i="3"/>
  <c r="BL104" i="3"/>
  <c r="BL102" i="3"/>
  <c r="BL100" i="3"/>
  <c r="BL98" i="3"/>
  <c r="BL96" i="3"/>
  <c r="BL94" i="3"/>
  <c r="BL92" i="3"/>
  <c r="BL90" i="3"/>
  <c r="BL88" i="3"/>
  <c r="BL86" i="3"/>
  <c r="BL84" i="3"/>
  <c r="BL82" i="3"/>
  <c r="BL80" i="3"/>
  <c r="BL78" i="3"/>
  <c r="BL76" i="3"/>
  <c r="BL74" i="3"/>
  <c r="BL72" i="3"/>
  <c r="BL70" i="3"/>
  <c r="BL68" i="3"/>
  <c r="BL66" i="3"/>
  <c r="BL64" i="3"/>
  <c r="BL62" i="3"/>
  <c r="BL60" i="3"/>
  <c r="BL58" i="3"/>
  <c r="BL56" i="3"/>
  <c r="BL54" i="3"/>
  <c r="BL52" i="3"/>
  <c r="BL50" i="3"/>
  <c r="BL48" i="3"/>
  <c r="BL46" i="3"/>
  <c r="BL44" i="3"/>
  <c r="BL42" i="3"/>
  <c r="BL40" i="3"/>
  <c r="BL38" i="3"/>
  <c r="BL36" i="3"/>
  <c r="BL34" i="3"/>
  <c r="H198" i="10" l="1"/>
  <c r="G199" i="13"/>
  <c r="H214" i="10"/>
  <c r="G215" i="13"/>
  <c r="H230" i="10"/>
  <c r="G231" i="13"/>
  <c r="H199" i="10"/>
  <c r="G200" i="13"/>
  <c r="H219" i="10"/>
  <c r="G220" i="13"/>
  <c r="H217" i="10"/>
  <c r="G218" i="13"/>
  <c r="H205" i="10"/>
  <c r="G206" i="13"/>
  <c r="H227" i="10"/>
  <c r="G228" i="13"/>
  <c r="H200" i="10"/>
  <c r="G201" i="13"/>
  <c r="H208" i="10"/>
  <c r="G209" i="13"/>
  <c r="H216" i="10"/>
  <c r="G217" i="13"/>
  <c r="H224" i="10"/>
  <c r="G225" i="13"/>
  <c r="H201" i="10"/>
  <c r="G202" i="13"/>
  <c r="H221" i="10"/>
  <c r="G222" i="13"/>
  <c r="H207" i="10"/>
  <c r="G208" i="13"/>
  <c r="H229" i="10"/>
  <c r="G230" i="13"/>
  <c r="H206" i="10"/>
  <c r="G207" i="13"/>
  <c r="H222" i="10"/>
  <c r="G223" i="13"/>
  <c r="H202" i="10"/>
  <c r="G203" i="13"/>
  <c r="H210" i="10"/>
  <c r="G211" i="13"/>
  <c r="H218" i="10"/>
  <c r="G219" i="13"/>
  <c r="H226" i="10"/>
  <c r="G227" i="13"/>
  <c r="H203" i="10"/>
  <c r="G204" i="13"/>
  <c r="H223" i="10"/>
  <c r="G224" i="13"/>
  <c r="H209" i="10"/>
  <c r="G210" i="13"/>
  <c r="H213" i="10"/>
  <c r="G214" i="13"/>
  <c r="H196" i="10"/>
  <c r="G197" i="13"/>
  <c r="H204" i="10"/>
  <c r="G205" i="13"/>
  <c r="H212" i="10"/>
  <c r="G213" i="13"/>
  <c r="H220" i="10"/>
  <c r="G221" i="13"/>
  <c r="H228" i="10"/>
  <c r="G229" i="13"/>
  <c r="H215" i="10"/>
  <c r="G216" i="13"/>
  <c r="H211" i="10"/>
  <c r="G212" i="13"/>
  <c r="H197" i="10"/>
  <c r="G198" i="13"/>
  <c r="H225" i="10"/>
  <c r="G226" i="13"/>
  <c r="BX200" i="3"/>
  <c r="BX216" i="3"/>
  <c r="BX221" i="3"/>
  <c r="BX194" i="3"/>
  <c r="BX202" i="3"/>
  <c r="BX210" i="3"/>
  <c r="BX218" i="3"/>
  <c r="BX195" i="3"/>
  <c r="BX215" i="3"/>
  <c r="BX201" i="3"/>
  <c r="BX205" i="3"/>
  <c r="BX208" i="3"/>
  <c r="BX193" i="3"/>
  <c r="BX188" i="3"/>
  <c r="BX196" i="3"/>
  <c r="BX204" i="3"/>
  <c r="BX212" i="3"/>
  <c r="BX220" i="3"/>
  <c r="BX207" i="3"/>
  <c r="BX203" i="3"/>
  <c r="BX189" i="3"/>
  <c r="BX217" i="3"/>
  <c r="BX192" i="3"/>
  <c r="BX213" i="3"/>
  <c r="BX199" i="3"/>
  <c r="BX190" i="3"/>
  <c r="BX198" i="3"/>
  <c r="BX206" i="3"/>
  <c r="BX214" i="3"/>
  <c r="BX222" i="3"/>
  <c r="BX191" i="3"/>
  <c r="BX211" i="3"/>
  <c r="BX209" i="3"/>
  <c r="BX197" i="3"/>
  <c r="BX219" i="3"/>
  <c r="D45" i="10"/>
  <c r="BL44" i="1"/>
  <c r="D49" i="10"/>
  <c r="BL48" i="1"/>
  <c r="D53" i="10"/>
  <c r="BL52" i="1"/>
  <c r="D69" i="10"/>
  <c r="BL68" i="1"/>
  <c r="D91" i="10"/>
  <c r="BL90" i="1"/>
  <c r="D123" i="10"/>
  <c r="BL122" i="1"/>
  <c r="D131" i="10"/>
  <c r="BL130" i="1"/>
  <c r="D141" i="10"/>
  <c r="BL140" i="1"/>
  <c r="D149" i="10"/>
  <c r="BL148" i="1"/>
  <c r="D155" i="10"/>
  <c r="BL154" i="1"/>
  <c r="D189" i="10"/>
  <c r="BL188" i="1"/>
  <c r="D199" i="10"/>
  <c r="BL198" i="1"/>
  <c r="D205" i="10"/>
  <c r="BL204" i="1"/>
  <c r="D213" i="10"/>
  <c r="BL212" i="1"/>
  <c r="D221" i="10"/>
  <c r="BL220" i="1"/>
  <c r="D229" i="10"/>
  <c r="BL228" i="1"/>
  <c r="D90" i="10"/>
  <c r="BL89" i="1"/>
  <c r="D108" i="10"/>
  <c r="BL107" i="1"/>
  <c r="D122" i="10"/>
  <c r="BL121" i="1"/>
  <c r="D130" i="10"/>
  <c r="BL129" i="1"/>
  <c r="D138" i="10"/>
  <c r="BL137" i="1"/>
  <c r="D146" i="10"/>
  <c r="BL145" i="1"/>
  <c r="D154" i="10"/>
  <c r="BL153" i="1"/>
  <c r="BL163" i="1"/>
  <c r="D164" i="10"/>
  <c r="D172" i="10"/>
  <c r="BL171" i="1"/>
  <c r="D188" i="10"/>
  <c r="BL187" i="1"/>
  <c r="BL195" i="1"/>
  <c r="D196" i="10"/>
  <c r="D204" i="10"/>
  <c r="BL203" i="1"/>
  <c r="D212" i="10"/>
  <c r="BL211" i="1"/>
  <c r="D218" i="10"/>
  <c r="BL217" i="1"/>
  <c r="D226" i="10"/>
  <c r="BL225" i="1"/>
  <c r="D44" i="10"/>
  <c r="BL43" i="1"/>
  <c r="D48" i="10"/>
  <c r="BL47" i="1"/>
  <c r="D98" i="10"/>
  <c r="BL97" i="1"/>
  <c r="D116" i="10"/>
  <c r="BL115" i="1"/>
  <c r="D124" i="10"/>
  <c r="BL123" i="1"/>
  <c r="D140" i="10"/>
  <c r="BL139" i="1"/>
  <c r="D156" i="10"/>
  <c r="BL155" i="1"/>
  <c r="D178" i="10"/>
  <c r="BL177" i="1"/>
  <c r="D186" i="10"/>
  <c r="BL185" i="1"/>
  <c r="D194" i="10"/>
  <c r="BL193" i="1"/>
  <c r="D202" i="10"/>
  <c r="BL201" i="1"/>
  <c r="D220" i="10"/>
  <c r="BL219" i="1"/>
  <c r="D97" i="10"/>
  <c r="BL96" i="1"/>
  <c r="D121" i="10"/>
  <c r="BL120" i="1"/>
  <c r="D129" i="10"/>
  <c r="BL128" i="1"/>
  <c r="D137" i="10"/>
  <c r="BL136" i="1"/>
  <c r="D143" i="10"/>
  <c r="BL142" i="1"/>
  <c r="D151" i="10"/>
  <c r="BL150" i="1"/>
  <c r="D159" i="10"/>
  <c r="BL158" i="1"/>
  <c r="D175" i="10"/>
  <c r="BL174" i="1"/>
  <c r="D183" i="10"/>
  <c r="BL182" i="1"/>
  <c r="D197" i="10"/>
  <c r="BL196" i="1"/>
  <c r="D215" i="10"/>
  <c r="BL214" i="1"/>
  <c r="D223" i="10"/>
  <c r="BL222" i="1"/>
  <c r="D57" i="10"/>
  <c r="BL56" i="1"/>
  <c r="D61" i="10"/>
  <c r="BL60" i="1"/>
  <c r="D65" i="10"/>
  <c r="BL64" i="1"/>
  <c r="D73" i="10"/>
  <c r="BL72" i="1"/>
  <c r="D77" i="10"/>
  <c r="BL76" i="1"/>
  <c r="D81" i="10"/>
  <c r="BL80" i="1"/>
  <c r="D85" i="10"/>
  <c r="BL84" i="1"/>
  <c r="D99" i="10"/>
  <c r="BL98" i="1"/>
  <c r="D105" i="10"/>
  <c r="BL104" i="1"/>
  <c r="D113" i="10"/>
  <c r="BL112" i="1"/>
  <c r="D165" i="10"/>
  <c r="BL164" i="1"/>
  <c r="D173" i="10"/>
  <c r="BL172" i="1"/>
  <c r="D181" i="10"/>
  <c r="BL180" i="1"/>
  <c r="BL99" i="1"/>
  <c r="D100" i="10"/>
  <c r="D114" i="10"/>
  <c r="BL113" i="1"/>
  <c r="D180" i="10"/>
  <c r="BL179" i="1"/>
  <c r="D52" i="10"/>
  <c r="BL51" i="1"/>
  <c r="D56" i="10"/>
  <c r="BL55" i="1"/>
  <c r="D60" i="10"/>
  <c r="BL59" i="1"/>
  <c r="BL63" i="1"/>
  <c r="D64" i="10"/>
  <c r="BL67" i="1"/>
  <c r="D68" i="10"/>
  <c r="D72" i="10"/>
  <c r="BL71" i="1"/>
  <c r="D76" i="10"/>
  <c r="BL75" i="1"/>
  <c r="D80" i="10"/>
  <c r="BL79" i="1"/>
  <c r="D84" i="10"/>
  <c r="BL83" i="1"/>
  <c r="D92" i="10"/>
  <c r="BL91" i="1"/>
  <c r="D106" i="10"/>
  <c r="BL105" i="1"/>
  <c r="BL131" i="1"/>
  <c r="D132" i="10"/>
  <c r="D148" i="10"/>
  <c r="BL147" i="1"/>
  <c r="D162" i="10"/>
  <c r="BL161" i="1"/>
  <c r="D170" i="10"/>
  <c r="BL169" i="1"/>
  <c r="D210" i="10"/>
  <c r="BL209" i="1"/>
  <c r="D228" i="10"/>
  <c r="BL227" i="1"/>
  <c r="D89" i="10"/>
  <c r="BL88" i="1"/>
  <c r="D107" i="10"/>
  <c r="BL106" i="1"/>
  <c r="D115" i="10"/>
  <c r="BL114" i="1"/>
  <c r="D167" i="10"/>
  <c r="BL166" i="1"/>
  <c r="D191" i="10"/>
  <c r="BL190" i="1"/>
  <c r="D207" i="10"/>
  <c r="BL206" i="1"/>
  <c r="BL42" i="1"/>
  <c r="D43" i="10"/>
  <c r="D51" i="10"/>
  <c r="BL50" i="1"/>
  <c r="D55" i="10"/>
  <c r="BL54" i="1"/>
  <c r="D59" i="10"/>
  <c r="BL58" i="1"/>
  <c r="D63" i="10"/>
  <c r="BL62" i="1"/>
  <c r="D67" i="10"/>
  <c r="BL66" i="1"/>
  <c r="D71" i="10"/>
  <c r="BL70" i="1"/>
  <c r="D75" i="10"/>
  <c r="BL74" i="1"/>
  <c r="D79" i="10"/>
  <c r="BL78" i="1"/>
  <c r="D83" i="10"/>
  <c r="BL82" i="1"/>
  <c r="D87" i="10"/>
  <c r="BL86" i="1"/>
  <c r="D103" i="10"/>
  <c r="BL102" i="1"/>
  <c r="D127" i="10"/>
  <c r="BL126" i="1"/>
  <c r="D135" i="10"/>
  <c r="BL134" i="1"/>
  <c r="D145" i="10"/>
  <c r="BL144" i="1"/>
  <c r="D153" i="10"/>
  <c r="BL152" i="1"/>
  <c r="D177" i="10"/>
  <c r="BL176" i="1"/>
  <c r="D193" i="10"/>
  <c r="BL192" i="1"/>
  <c r="D201" i="10"/>
  <c r="BL200" i="1"/>
  <c r="D209" i="10"/>
  <c r="BL208" i="1"/>
  <c r="D217" i="10"/>
  <c r="BL216" i="1"/>
  <c r="D225" i="10"/>
  <c r="BL224" i="1"/>
  <c r="D86" i="10"/>
  <c r="BL85" i="1"/>
  <c r="D94" i="10"/>
  <c r="BL93" i="1"/>
  <c r="D104" i="10"/>
  <c r="BL103" i="1"/>
  <c r="D112" i="10"/>
  <c r="BL111" i="1"/>
  <c r="D126" i="10"/>
  <c r="BL125" i="1"/>
  <c r="D136" i="10"/>
  <c r="BL135" i="1"/>
  <c r="D142" i="10"/>
  <c r="BL141" i="1"/>
  <c r="D168" i="10"/>
  <c r="BL167" i="1"/>
  <c r="D176" i="10"/>
  <c r="BL175" i="1"/>
  <c r="BL191" i="1"/>
  <c r="D192" i="10"/>
  <c r="D200" i="10"/>
  <c r="BL199" i="1"/>
  <c r="D206" i="10"/>
  <c r="BL205" i="1"/>
  <c r="D214" i="10"/>
  <c r="BL213" i="1"/>
  <c r="D222" i="10"/>
  <c r="BL221" i="1"/>
  <c r="D46" i="10"/>
  <c r="BL45" i="1"/>
  <c r="D50" i="10"/>
  <c r="BL49" i="1"/>
  <c r="D58" i="10"/>
  <c r="BL57" i="1"/>
  <c r="D66" i="10"/>
  <c r="BL65" i="1"/>
  <c r="D70" i="10"/>
  <c r="BL69" i="1"/>
  <c r="D74" i="10"/>
  <c r="BL73" i="1"/>
  <c r="D78" i="10"/>
  <c r="BL77" i="1"/>
  <c r="D82" i="10"/>
  <c r="BL81" i="1"/>
  <c r="D96" i="10"/>
  <c r="BL95" i="1"/>
  <c r="D152" i="10"/>
  <c r="BL151" i="1"/>
  <c r="D160" i="10"/>
  <c r="BL159" i="1"/>
  <c r="D182" i="10"/>
  <c r="BL181" i="1"/>
  <c r="D190" i="10"/>
  <c r="BL189" i="1"/>
  <c r="D198" i="10"/>
  <c r="BL197" i="1"/>
  <c r="D208" i="10"/>
  <c r="BL207" i="1"/>
  <c r="D216" i="10"/>
  <c r="BL215" i="1"/>
  <c r="D230" i="10"/>
  <c r="BL229" i="1"/>
  <c r="D93" i="10"/>
  <c r="BL92" i="1"/>
  <c r="D101" i="10"/>
  <c r="BL100" i="1"/>
  <c r="D125" i="10"/>
  <c r="BL124" i="1"/>
  <c r="D133" i="10"/>
  <c r="BL132" i="1"/>
  <c r="D139" i="10"/>
  <c r="BL138" i="1"/>
  <c r="D147" i="10"/>
  <c r="BL146" i="1"/>
  <c r="D163" i="10"/>
  <c r="BL162" i="1"/>
  <c r="D171" i="10"/>
  <c r="BL170" i="1"/>
  <c r="D179" i="10"/>
  <c r="BL178" i="1"/>
  <c r="D195" i="10"/>
  <c r="BL194" i="1"/>
  <c r="D211" i="10"/>
  <c r="BL210" i="1"/>
  <c r="D227" i="10"/>
  <c r="BL226" i="1"/>
  <c r="D47" i="10"/>
  <c r="BL46" i="1"/>
  <c r="D95" i="10"/>
  <c r="BL94" i="1"/>
  <c r="D111" i="10"/>
  <c r="BL110" i="1"/>
  <c r="D119" i="10"/>
  <c r="BL118" i="1"/>
  <c r="D161" i="10"/>
  <c r="BL160" i="1"/>
  <c r="D169" i="10"/>
  <c r="BL168" i="1"/>
  <c r="D185" i="10"/>
  <c r="BL184" i="1"/>
  <c r="D120" i="10"/>
  <c r="BL119" i="1"/>
  <c r="D150" i="10"/>
  <c r="BL149" i="1"/>
  <c r="D158" i="10"/>
  <c r="BL157" i="1"/>
  <c r="D184" i="10"/>
  <c r="BL183" i="1"/>
  <c r="D42" i="10"/>
  <c r="BL41" i="1"/>
  <c r="D54" i="10"/>
  <c r="BL53" i="1"/>
  <c r="D62" i="10"/>
  <c r="BL61" i="1"/>
  <c r="D88" i="10"/>
  <c r="BL87" i="1"/>
  <c r="D102" i="10"/>
  <c r="BL101" i="1"/>
  <c r="D110" i="10"/>
  <c r="BL109" i="1"/>
  <c r="D118" i="10"/>
  <c r="BL117" i="1"/>
  <c r="BL127" i="1"/>
  <c r="D128" i="10"/>
  <c r="D134" i="10"/>
  <c r="BL133" i="1"/>
  <c r="D144" i="10"/>
  <c r="BL143" i="1"/>
  <c r="D166" i="10"/>
  <c r="BL165" i="1"/>
  <c r="D174" i="10"/>
  <c r="BL173" i="1"/>
  <c r="D224" i="10"/>
  <c r="BL223" i="1"/>
  <c r="D109" i="10"/>
  <c r="BL108" i="1"/>
  <c r="D117" i="10"/>
  <c r="BL116" i="1"/>
  <c r="D157" i="10"/>
  <c r="BL156" i="1"/>
  <c r="D187" i="10"/>
  <c r="BL186" i="1"/>
  <c r="D203" i="10"/>
  <c r="BL202" i="1"/>
  <c r="D219" i="10"/>
  <c r="BL218" i="1"/>
  <c r="BP201" i="1"/>
  <c r="F194" i="2" s="1"/>
  <c r="BP209" i="1"/>
  <c r="F202" i="2" s="1"/>
  <c r="BP217" i="1"/>
  <c r="F210" i="2" s="1"/>
  <c r="BP225" i="1"/>
  <c r="F218" i="2" s="1"/>
  <c r="BP202" i="1"/>
  <c r="F195" i="2" s="1"/>
  <c r="BP222" i="1"/>
  <c r="F215" i="2" s="1"/>
  <c r="BP216" i="1"/>
  <c r="F209" i="2" s="1"/>
  <c r="BP204" i="1"/>
  <c r="F197" i="2" s="1"/>
  <c r="BP226" i="1"/>
  <c r="F219" i="2" s="1"/>
  <c r="BP195" i="1"/>
  <c r="F188" i="2" s="1"/>
  <c r="BP203" i="1"/>
  <c r="F196" i="2" s="1"/>
  <c r="BP211" i="1"/>
  <c r="F204" i="2" s="1"/>
  <c r="BP219" i="1"/>
  <c r="F212" i="2" s="1"/>
  <c r="BP227" i="1"/>
  <c r="F220" i="2" s="1"/>
  <c r="BP214" i="1"/>
  <c r="F207" i="2" s="1"/>
  <c r="BP206" i="1"/>
  <c r="F199" i="2" s="1"/>
  <c r="BP228" i="1"/>
  <c r="F221" i="2" s="1"/>
  <c r="BP197" i="1"/>
  <c r="F190" i="2" s="1"/>
  <c r="BP205" i="1"/>
  <c r="F198" i="2" s="1"/>
  <c r="BP213" i="1"/>
  <c r="F206" i="2" s="1"/>
  <c r="BP221" i="1"/>
  <c r="F214" i="2" s="1"/>
  <c r="BP229" i="1"/>
  <c r="F222" i="2" s="1"/>
  <c r="BP198" i="1"/>
  <c r="F191" i="2" s="1"/>
  <c r="BP218" i="1"/>
  <c r="F211" i="2" s="1"/>
  <c r="BP208" i="1"/>
  <c r="F201" i="2" s="1"/>
  <c r="BP212" i="1"/>
  <c r="F205" i="2" s="1"/>
  <c r="BP199" i="1"/>
  <c r="F192" i="2" s="1"/>
  <c r="BP207" i="1"/>
  <c r="F200" i="2" s="1"/>
  <c r="BP215" i="1"/>
  <c r="F208" i="2" s="1"/>
  <c r="BP223" i="1"/>
  <c r="F216" i="2" s="1"/>
  <c r="BP200" i="1"/>
  <c r="F193" i="2" s="1"/>
  <c r="BP220" i="1"/>
  <c r="F213" i="2" s="1"/>
  <c r="BP210" i="1"/>
  <c r="F203" i="2" s="1"/>
  <c r="BP196" i="1"/>
  <c r="F189" i="2" s="1"/>
  <c r="BP224" i="1"/>
  <c r="F217" i="2" s="1"/>
  <c r="BM15" i="3"/>
  <c r="BM18" i="3"/>
  <c r="BM23" i="3"/>
  <c r="BN32" i="3"/>
  <c r="D37" i="6" s="1"/>
  <c r="BP74" i="3"/>
  <c r="BP98" i="3"/>
  <c r="BP130" i="3"/>
  <c r="BP162" i="3"/>
  <c r="F167" i="6" s="1"/>
  <c r="BP194" i="3"/>
  <c r="F199" i="6" s="1"/>
  <c r="G199" i="6" s="1"/>
  <c r="BQ194" i="3"/>
  <c r="F202" i="10" s="1"/>
  <c r="BP181" i="3"/>
  <c r="F186" i="6" s="1"/>
  <c r="BP157" i="3"/>
  <c r="BP57" i="3"/>
  <c r="BP81" i="3"/>
  <c r="BP117" i="3"/>
  <c r="BP165" i="3"/>
  <c r="F170" i="6" s="1"/>
  <c r="BQ197" i="3"/>
  <c r="F205" i="10" s="1"/>
  <c r="BP197" i="3"/>
  <c r="F202" i="6" s="1"/>
  <c r="G202" i="6" s="1"/>
  <c r="BP42" i="3"/>
  <c r="BP66" i="3"/>
  <c r="BP106" i="3"/>
  <c r="BP138" i="3"/>
  <c r="BP170" i="3"/>
  <c r="F175" i="6" s="1"/>
  <c r="BP202" i="3"/>
  <c r="F207" i="6" s="1"/>
  <c r="G207" i="6" s="1"/>
  <c r="BQ202" i="3"/>
  <c r="F210" i="10" s="1"/>
  <c r="BP133" i="3"/>
  <c r="BP195" i="3"/>
  <c r="F200" i="6" s="1"/>
  <c r="G200" i="6" s="1"/>
  <c r="BQ195" i="3"/>
  <c r="F203" i="10" s="1"/>
  <c r="BQ209" i="3"/>
  <c r="F217" i="10" s="1"/>
  <c r="BP209" i="3"/>
  <c r="F214" i="6" s="1"/>
  <c r="G214" i="6" s="1"/>
  <c r="BP65" i="3"/>
  <c r="BP97" i="3"/>
  <c r="BM30" i="3"/>
  <c r="BN33" i="3"/>
  <c r="D38" i="6" s="1"/>
  <c r="BP36" i="3"/>
  <c r="BP44" i="3"/>
  <c r="BP52" i="3"/>
  <c r="BP60" i="3"/>
  <c r="BP68" i="3"/>
  <c r="BP76" i="3"/>
  <c r="BP84" i="3"/>
  <c r="BP92" i="3"/>
  <c r="BP100" i="3"/>
  <c r="BP108" i="3"/>
  <c r="BP116" i="3"/>
  <c r="BP124" i="3"/>
  <c r="BP132" i="3"/>
  <c r="BP140" i="3"/>
  <c r="BP148" i="3"/>
  <c r="BP156" i="3"/>
  <c r="BP164" i="3"/>
  <c r="F169" i="6" s="1"/>
  <c r="BP172" i="3"/>
  <c r="F177" i="6" s="1"/>
  <c r="BP180" i="3"/>
  <c r="F185" i="6" s="1"/>
  <c r="BP188" i="3"/>
  <c r="F193" i="6" s="1"/>
  <c r="G193" i="6" s="1"/>
  <c r="BQ188" i="3"/>
  <c r="F196" i="10" s="1"/>
  <c r="BP196" i="3"/>
  <c r="F201" i="6" s="1"/>
  <c r="G201" i="6" s="1"/>
  <c r="BQ196" i="3"/>
  <c r="F204" i="10" s="1"/>
  <c r="BP204" i="3"/>
  <c r="F209" i="6" s="1"/>
  <c r="G209" i="6" s="1"/>
  <c r="BQ204" i="3"/>
  <c r="F212" i="10" s="1"/>
  <c r="BP212" i="3"/>
  <c r="F217" i="6" s="1"/>
  <c r="G217" i="6" s="1"/>
  <c r="BQ212" i="3"/>
  <c r="F220" i="10" s="1"/>
  <c r="BP220" i="3"/>
  <c r="F225" i="6" s="1"/>
  <c r="G225" i="6" s="1"/>
  <c r="BQ220" i="3"/>
  <c r="F228" i="10" s="1"/>
  <c r="BP135" i="3"/>
  <c r="BP161" i="3"/>
  <c r="F166" i="6" s="1"/>
  <c r="BP183" i="3"/>
  <c r="F188" i="6" s="1"/>
  <c r="BP207" i="3"/>
  <c r="F212" i="6" s="1"/>
  <c r="G212" i="6" s="1"/>
  <c r="BQ207" i="3"/>
  <c r="F215" i="10" s="1"/>
  <c r="BP123" i="3"/>
  <c r="BP145" i="3"/>
  <c r="BP185" i="3"/>
  <c r="F190" i="6" s="1"/>
  <c r="BP35" i="3"/>
  <c r="BP43" i="3"/>
  <c r="BP51" i="3"/>
  <c r="BP59" i="3"/>
  <c r="BP67" i="3"/>
  <c r="BP75" i="3"/>
  <c r="BP83" i="3"/>
  <c r="BP91" i="3"/>
  <c r="BP99" i="3"/>
  <c r="BP111" i="3"/>
  <c r="BP121" i="3"/>
  <c r="BP151" i="3"/>
  <c r="BP167" i="3"/>
  <c r="F172" i="6" s="1"/>
  <c r="BP179" i="3"/>
  <c r="F184" i="6" s="1"/>
  <c r="BP199" i="3"/>
  <c r="F204" i="6" s="1"/>
  <c r="G204" i="6" s="1"/>
  <c r="BQ199" i="3"/>
  <c r="F207" i="10" s="1"/>
  <c r="BQ221" i="3"/>
  <c r="F229" i="10" s="1"/>
  <c r="BP221" i="3"/>
  <c r="F226" i="6" s="1"/>
  <c r="G226" i="6" s="1"/>
  <c r="BP101" i="3"/>
  <c r="BM17" i="3"/>
  <c r="BP50" i="3"/>
  <c r="BP82" i="3"/>
  <c r="BP114" i="3"/>
  <c r="BP146" i="3"/>
  <c r="BP178" i="3"/>
  <c r="F183" i="6" s="1"/>
  <c r="BP210" i="3"/>
  <c r="F215" i="6" s="1"/>
  <c r="G215" i="6" s="1"/>
  <c r="BQ210" i="3"/>
  <c r="F218" i="10" s="1"/>
  <c r="BP155" i="3"/>
  <c r="BP119" i="3"/>
  <c r="BP41" i="3"/>
  <c r="BP73" i="3"/>
  <c r="BP89" i="3"/>
  <c r="BP139" i="3"/>
  <c r="BP177" i="3"/>
  <c r="F182" i="6" s="1"/>
  <c r="BP219" i="3"/>
  <c r="F224" i="6" s="1"/>
  <c r="G224" i="6" s="1"/>
  <c r="BQ219" i="3"/>
  <c r="F227" i="10" s="1"/>
  <c r="BN14" i="3"/>
  <c r="BN21" i="3"/>
  <c r="BM27" i="3"/>
  <c r="BM29" i="3"/>
  <c r="BP38" i="3"/>
  <c r="BP46" i="3"/>
  <c r="BP54" i="3"/>
  <c r="BP62" i="3"/>
  <c r="BP70" i="3"/>
  <c r="BP78" i="3"/>
  <c r="BP86" i="3"/>
  <c r="BP94" i="3"/>
  <c r="BP102" i="3"/>
  <c r="BP110" i="3"/>
  <c r="BP118" i="3"/>
  <c r="BP126" i="3"/>
  <c r="BP134" i="3"/>
  <c r="BP142" i="3"/>
  <c r="BP150" i="3"/>
  <c r="BP158" i="3"/>
  <c r="BP166" i="3"/>
  <c r="F171" i="6" s="1"/>
  <c r="BP174" i="3"/>
  <c r="F179" i="6" s="1"/>
  <c r="BP182" i="3"/>
  <c r="F187" i="6" s="1"/>
  <c r="BP190" i="3"/>
  <c r="F195" i="6" s="1"/>
  <c r="G195" i="6" s="1"/>
  <c r="BQ190" i="3"/>
  <c r="F198" i="10" s="1"/>
  <c r="BP198" i="3"/>
  <c r="F203" i="6" s="1"/>
  <c r="G203" i="6" s="1"/>
  <c r="BQ198" i="3"/>
  <c r="F206" i="10" s="1"/>
  <c r="BP206" i="3"/>
  <c r="F211" i="6" s="1"/>
  <c r="G211" i="6" s="1"/>
  <c r="BQ206" i="3"/>
  <c r="F214" i="10" s="1"/>
  <c r="BP214" i="3"/>
  <c r="F219" i="6" s="1"/>
  <c r="G219" i="6" s="1"/>
  <c r="BQ214" i="3"/>
  <c r="F222" i="10" s="1"/>
  <c r="BP222" i="3"/>
  <c r="F227" i="6" s="1"/>
  <c r="G227" i="6" s="1"/>
  <c r="BQ222" i="3"/>
  <c r="F230" i="10" s="1"/>
  <c r="BP141" i="3"/>
  <c r="BP171" i="3"/>
  <c r="F176" i="6" s="1"/>
  <c r="BP191" i="3"/>
  <c r="F196" i="6" s="1"/>
  <c r="G196" i="6" s="1"/>
  <c r="BQ191" i="3"/>
  <c r="F199" i="10" s="1"/>
  <c r="BP211" i="3"/>
  <c r="F216" i="6" s="1"/>
  <c r="G216" i="6" s="1"/>
  <c r="BQ211" i="3"/>
  <c r="F219" i="10" s="1"/>
  <c r="BP125" i="3"/>
  <c r="BP149" i="3"/>
  <c r="BQ201" i="3"/>
  <c r="F209" i="10" s="1"/>
  <c r="BP201" i="3"/>
  <c r="F206" i="6" s="1"/>
  <c r="G206" i="6" s="1"/>
  <c r="BP37" i="3"/>
  <c r="BP45" i="3"/>
  <c r="BP53" i="3"/>
  <c r="BP61" i="3"/>
  <c r="BP69" i="3"/>
  <c r="BP77" i="3"/>
  <c r="BP85" i="3"/>
  <c r="BP93" i="3"/>
  <c r="BP103" i="3"/>
  <c r="BP113" i="3"/>
  <c r="BP129" i="3"/>
  <c r="BP159" i="3"/>
  <c r="BP169" i="3"/>
  <c r="F174" i="6" s="1"/>
  <c r="BP187" i="3"/>
  <c r="F192" i="6" s="1"/>
  <c r="BQ205" i="3"/>
  <c r="F213" i="10" s="1"/>
  <c r="BP205" i="3"/>
  <c r="F210" i="6" s="1"/>
  <c r="G210" i="6" s="1"/>
  <c r="BP34" i="3"/>
  <c r="BP58" i="3"/>
  <c r="BP90" i="3"/>
  <c r="BP122" i="3"/>
  <c r="BP154" i="3"/>
  <c r="BP186" i="3"/>
  <c r="F191" i="6" s="1"/>
  <c r="BP218" i="3"/>
  <c r="F223" i="6" s="1"/>
  <c r="G223" i="6" s="1"/>
  <c r="BQ218" i="3"/>
  <c r="F226" i="10" s="1"/>
  <c r="BP215" i="3"/>
  <c r="F220" i="6" s="1"/>
  <c r="G220" i="6" s="1"/>
  <c r="BQ215" i="3"/>
  <c r="F223" i="10" s="1"/>
  <c r="BP143" i="3"/>
  <c r="BP49" i="3"/>
  <c r="BP109" i="3"/>
  <c r="BM19" i="3"/>
  <c r="BN25" i="3"/>
  <c r="BM6" i="3"/>
  <c r="BN16" i="3"/>
  <c r="BM24" i="3"/>
  <c r="BM28" i="3"/>
  <c r="BP40" i="3"/>
  <c r="BP48" i="3"/>
  <c r="BP56" i="3"/>
  <c r="BP64" i="3"/>
  <c r="BP72" i="3"/>
  <c r="BP80" i="3"/>
  <c r="BP88" i="3"/>
  <c r="BP96" i="3"/>
  <c r="BP104" i="3"/>
  <c r="BP112" i="3"/>
  <c r="BP120" i="3"/>
  <c r="BP128" i="3"/>
  <c r="BP136" i="3"/>
  <c r="BP144" i="3"/>
  <c r="BP152" i="3"/>
  <c r="BP160" i="3"/>
  <c r="F165" i="6" s="1"/>
  <c r="BP168" i="3"/>
  <c r="F173" i="6" s="1"/>
  <c r="BP176" i="3"/>
  <c r="F181" i="6" s="1"/>
  <c r="BP184" i="3"/>
  <c r="F189" i="6" s="1"/>
  <c r="BP192" i="3"/>
  <c r="F197" i="6" s="1"/>
  <c r="G197" i="6" s="1"/>
  <c r="BQ192" i="3"/>
  <c r="F200" i="10" s="1"/>
  <c r="BP200" i="3"/>
  <c r="F205" i="6" s="1"/>
  <c r="G205" i="6" s="1"/>
  <c r="BQ200" i="3"/>
  <c r="F208" i="10" s="1"/>
  <c r="BP208" i="3"/>
  <c r="F213" i="6" s="1"/>
  <c r="G213" i="6" s="1"/>
  <c r="BQ208" i="3"/>
  <c r="F216" i="10" s="1"/>
  <c r="BP216" i="3"/>
  <c r="F221" i="6" s="1"/>
  <c r="G221" i="6" s="1"/>
  <c r="BQ216" i="3"/>
  <c r="F224" i="10" s="1"/>
  <c r="BP127" i="3"/>
  <c r="BP147" i="3"/>
  <c r="BP173" i="3"/>
  <c r="F178" i="6" s="1"/>
  <c r="BQ193" i="3"/>
  <c r="F201" i="10" s="1"/>
  <c r="BP193" i="3"/>
  <c r="F198" i="6" s="1"/>
  <c r="G198" i="6" s="1"/>
  <c r="BQ213" i="3"/>
  <c r="F221" i="10" s="1"/>
  <c r="BP213" i="3"/>
  <c r="F218" i="6" s="1"/>
  <c r="G218" i="6" s="1"/>
  <c r="BP107" i="3"/>
  <c r="BP137" i="3"/>
  <c r="BP153" i="3"/>
  <c r="BP203" i="3"/>
  <c r="F208" i="6" s="1"/>
  <c r="G208" i="6" s="1"/>
  <c r="BQ203" i="3"/>
  <c r="F211" i="10" s="1"/>
  <c r="BP39" i="3"/>
  <c r="BP47" i="3"/>
  <c r="BP55" i="3"/>
  <c r="BP63" i="3"/>
  <c r="BP71" i="3"/>
  <c r="BP79" i="3"/>
  <c r="BP87" i="3"/>
  <c r="BP95" i="3"/>
  <c r="BP105" i="3"/>
  <c r="BP115" i="3"/>
  <c r="BP131" i="3"/>
  <c r="BP163" i="3"/>
  <c r="F168" i="6" s="1"/>
  <c r="BP175" i="3"/>
  <c r="F180" i="6" s="1"/>
  <c r="BQ189" i="3"/>
  <c r="F197" i="10" s="1"/>
  <c r="BP189" i="3"/>
  <c r="F194" i="6" s="1"/>
  <c r="G194" i="6" s="1"/>
  <c r="BQ217" i="3"/>
  <c r="F225" i="10" s="1"/>
  <c r="BP217" i="3"/>
  <c r="F222" i="6" s="1"/>
  <c r="G222" i="6" s="1"/>
  <c r="BN28" i="3"/>
  <c r="D33" i="6" s="1"/>
  <c r="BM16" i="3"/>
  <c r="BN24" i="3"/>
  <c r="D29" i="6" s="1"/>
  <c r="BM32" i="3"/>
  <c r="BN19" i="3"/>
  <c r="BN30" i="3"/>
  <c r="D35" i="6" s="1"/>
  <c r="BN23" i="3"/>
  <c r="BN4" i="3"/>
  <c r="BN8" i="3"/>
  <c r="D13" i="6" s="1"/>
  <c r="BM7" i="3"/>
  <c r="BM14" i="3"/>
  <c r="BN18" i="3"/>
  <c r="BN27" i="3"/>
  <c r="BN17" i="3"/>
  <c r="BM21" i="3"/>
  <c r="BM33" i="3"/>
  <c r="BN15" i="3"/>
  <c r="BN29" i="3"/>
  <c r="BL25" i="3"/>
  <c r="BM25" i="3"/>
  <c r="BO37" i="3"/>
  <c r="BO41" i="3"/>
  <c r="BO45" i="3"/>
  <c r="BO61" i="3"/>
  <c r="BO83" i="3"/>
  <c r="BO115" i="3"/>
  <c r="BO123" i="3"/>
  <c r="BO133" i="3"/>
  <c r="BO141" i="3"/>
  <c r="BO147" i="3"/>
  <c r="BO181" i="3"/>
  <c r="BO191" i="3"/>
  <c r="BM198" i="1" s="1"/>
  <c r="BO197" i="3"/>
  <c r="BM204" i="1" s="1"/>
  <c r="BO205" i="3"/>
  <c r="BM212" i="1" s="1"/>
  <c r="BO213" i="3"/>
  <c r="BM220" i="1" s="1"/>
  <c r="BO221" i="3"/>
  <c r="BM228" i="1" s="1"/>
  <c r="BO82" i="3"/>
  <c r="BO100" i="3"/>
  <c r="BO114" i="3"/>
  <c r="BO122" i="3"/>
  <c r="BO130" i="3"/>
  <c r="BO138" i="3"/>
  <c r="BO146" i="3"/>
  <c r="BO156" i="3"/>
  <c r="BO164" i="3"/>
  <c r="BO180" i="3"/>
  <c r="BO188" i="3"/>
  <c r="BM195" i="1" s="1"/>
  <c r="BO196" i="3"/>
  <c r="BM203" i="1" s="1"/>
  <c r="BO204" i="3"/>
  <c r="BM211" i="1" s="1"/>
  <c r="BO210" i="3"/>
  <c r="BM217" i="1" s="1"/>
  <c r="BO218" i="3"/>
  <c r="BM225" i="1" s="1"/>
  <c r="BO38" i="3"/>
  <c r="BO42" i="3"/>
  <c r="BO50" i="3"/>
  <c r="BO58" i="3"/>
  <c r="BO62" i="3"/>
  <c r="BO66" i="3"/>
  <c r="BO70" i="3"/>
  <c r="BO74" i="3"/>
  <c r="BO88" i="3"/>
  <c r="BO144" i="3"/>
  <c r="BO152" i="3"/>
  <c r="BO174" i="3"/>
  <c r="BO182" i="3"/>
  <c r="BO190" i="3"/>
  <c r="BM197" i="1" s="1"/>
  <c r="BO200" i="3"/>
  <c r="BM207" i="1" s="1"/>
  <c r="BO208" i="3"/>
  <c r="BM215" i="1" s="1"/>
  <c r="BO222" i="3"/>
  <c r="BM229" i="1" s="1"/>
  <c r="BO89" i="3"/>
  <c r="BO113" i="3"/>
  <c r="BO121" i="3"/>
  <c r="BO129" i="3"/>
  <c r="BO135" i="3"/>
  <c r="BO143" i="3"/>
  <c r="BO151" i="3"/>
  <c r="BO167" i="3"/>
  <c r="BO175" i="3"/>
  <c r="BO189" i="3"/>
  <c r="BM196" i="1" s="1"/>
  <c r="BO207" i="3"/>
  <c r="BM214" i="1" s="1"/>
  <c r="BO215" i="3"/>
  <c r="BM222" i="1" s="1"/>
  <c r="BM22" i="3"/>
  <c r="BN22" i="3"/>
  <c r="D27" i="6" s="1"/>
  <c r="BM20" i="3"/>
  <c r="BN20" i="3"/>
  <c r="D25" i="6" s="1"/>
  <c r="BN26" i="3"/>
  <c r="D31" i="6" s="1"/>
  <c r="BM26" i="3"/>
  <c r="BO49" i="3"/>
  <c r="BO53" i="3"/>
  <c r="BO57" i="3"/>
  <c r="BO65" i="3"/>
  <c r="BO69" i="3"/>
  <c r="BO73" i="3"/>
  <c r="BO77" i="3"/>
  <c r="BO91" i="3"/>
  <c r="BO97" i="3"/>
  <c r="BO105" i="3"/>
  <c r="BO157" i="3"/>
  <c r="BO165" i="3"/>
  <c r="BO173" i="3"/>
  <c r="BO92" i="3"/>
  <c r="BO106" i="3"/>
  <c r="BO172" i="3"/>
  <c r="BO34" i="3"/>
  <c r="BO46" i="3"/>
  <c r="BO54" i="3"/>
  <c r="BO80" i="3"/>
  <c r="BO94" i="3"/>
  <c r="BO102" i="3"/>
  <c r="BO110" i="3"/>
  <c r="BO120" i="3"/>
  <c r="BO126" i="3"/>
  <c r="BO136" i="3"/>
  <c r="BO158" i="3"/>
  <c r="BO166" i="3"/>
  <c r="BO216" i="3"/>
  <c r="BM223" i="1" s="1"/>
  <c r="BO81" i="3"/>
  <c r="BO99" i="3"/>
  <c r="BO107" i="3"/>
  <c r="BO159" i="3"/>
  <c r="BO183" i="3"/>
  <c r="BO199" i="3"/>
  <c r="BM206" i="1" s="1"/>
  <c r="BO35" i="3"/>
  <c r="BO43" i="3"/>
  <c r="BO47" i="3"/>
  <c r="BO51" i="3"/>
  <c r="BO55" i="3"/>
  <c r="BO59" i="3"/>
  <c r="BO63" i="3"/>
  <c r="BO67" i="3"/>
  <c r="BO71" i="3"/>
  <c r="BO75" i="3"/>
  <c r="BO79" i="3"/>
  <c r="BO95" i="3"/>
  <c r="BO119" i="3"/>
  <c r="BO127" i="3"/>
  <c r="BO137" i="3"/>
  <c r="BO145" i="3"/>
  <c r="BO169" i="3"/>
  <c r="BO185" i="3"/>
  <c r="BO193" i="3"/>
  <c r="BM200" i="1" s="1"/>
  <c r="BO201" i="3"/>
  <c r="BM208" i="1" s="1"/>
  <c r="BO209" i="3"/>
  <c r="BM216" i="1" s="1"/>
  <c r="BO217" i="3"/>
  <c r="BM224" i="1" s="1"/>
  <c r="BO78" i="3"/>
  <c r="BO86" i="3"/>
  <c r="BO96" i="3"/>
  <c r="BO104" i="3"/>
  <c r="BO118" i="3"/>
  <c r="BO128" i="3"/>
  <c r="BO134" i="3"/>
  <c r="BO160" i="3"/>
  <c r="BO168" i="3"/>
  <c r="BO184" i="3"/>
  <c r="BO192" i="3"/>
  <c r="BM199" i="1" s="1"/>
  <c r="BO198" i="3"/>
  <c r="BM205" i="1" s="1"/>
  <c r="BO206" i="3"/>
  <c r="BM213" i="1" s="1"/>
  <c r="BO214" i="3"/>
  <c r="BM221" i="1" s="1"/>
  <c r="BO36" i="3"/>
  <c r="BO40" i="3"/>
  <c r="BO90" i="3"/>
  <c r="BO108" i="3"/>
  <c r="BO116" i="3"/>
  <c r="BO132" i="3"/>
  <c r="BO148" i="3"/>
  <c r="BO170" i="3"/>
  <c r="BO178" i="3"/>
  <c r="BO186" i="3"/>
  <c r="BO194" i="3"/>
  <c r="BM201" i="1" s="1"/>
  <c r="BO212" i="3"/>
  <c r="BM219" i="1" s="1"/>
  <c r="BO85" i="3"/>
  <c r="BO93" i="3"/>
  <c r="BO117" i="3"/>
  <c r="BO125" i="3"/>
  <c r="BO131" i="3"/>
  <c r="BO139" i="3"/>
  <c r="BO155" i="3"/>
  <c r="BO163" i="3"/>
  <c r="BO171" i="3"/>
  <c r="BO187" i="3"/>
  <c r="BO203" i="3"/>
  <c r="BM210" i="1" s="1"/>
  <c r="BO219" i="3"/>
  <c r="BM226" i="1" s="1"/>
  <c r="BM13" i="3"/>
  <c r="BN13" i="3"/>
  <c r="D18" i="6" s="1"/>
  <c r="BM31" i="3"/>
  <c r="BN31" i="3"/>
  <c r="D36" i="6" s="1"/>
  <c r="BO39" i="3"/>
  <c r="BO87" i="3"/>
  <c r="BO103" i="3"/>
  <c r="BO111" i="3"/>
  <c r="BO153" i="3"/>
  <c r="BO161" i="3"/>
  <c r="BO177" i="3"/>
  <c r="BO112" i="3"/>
  <c r="BO142" i="3"/>
  <c r="BO150" i="3"/>
  <c r="BO176" i="3"/>
  <c r="BO33" i="3"/>
  <c r="BO44" i="3"/>
  <c r="BO48" i="3"/>
  <c r="BO52" i="3"/>
  <c r="BO56" i="3"/>
  <c r="BO60" i="3"/>
  <c r="BO64" i="3"/>
  <c r="BO68" i="3"/>
  <c r="BO72" i="3"/>
  <c r="BO76" i="3"/>
  <c r="BO84" i="3"/>
  <c r="BO98" i="3"/>
  <c r="BO124" i="3"/>
  <c r="BO140" i="3"/>
  <c r="BO154" i="3"/>
  <c r="BO162" i="3"/>
  <c r="BO202" i="3"/>
  <c r="BM209" i="1" s="1"/>
  <c r="BO220" i="3"/>
  <c r="BM227" i="1" s="1"/>
  <c r="BO101" i="3"/>
  <c r="BO109" i="3"/>
  <c r="BO149" i="3"/>
  <c r="BO179" i="3"/>
  <c r="BO195" i="3"/>
  <c r="BM202" i="1" s="1"/>
  <c r="BO211" i="3"/>
  <c r="BM218" i="1" s="1"/>
  <c r="BL19" i="3"/>
  <c r="BN3" i="3"/>
  <c r="BL14" i="3"/>
  <c r="BL21" i="3"/>
  <c r="BL27" i="3"/>
  <c r="BL29" i="3"/>
  <c r="BL16" i="3"/>
  <c r="BL24" i="3"/>
  <c r="BL28" i="3"/>
  <c r="BL15" i="3"/>
  <c r="BN12" i="3"/>
  <c r="D17" i="6" s="1"/>
  <c r="BL18" i="3"/>
  <c r="BL32" i="3"/>
  <c r="BL23" i="3"/>
  <c r="BL17" i="3"/>
  <c r="BM5" i="3"/>
  <c r="BL30" i="3"/>
  <c r="BL33" i="3"/>
  <c r="BL10" i="3"/>
  <c r="BM10" i="3"/>
  <c r="BN10" i="3"/>
  <c r="D15" i="6" s="1"/>
  <c r="BL22" i="3"/>
  <c r="BM4" i="3"/>
  <c r="BL7" i="3"/>
  <c r="BM12" i="3"/>
  <c r="BM8" i="3"/>
  <c r="BN6" i="3"/>
  <c r="D11" i="6" s="1"/>
  <c r="BL20" i="3"/>
  <c r="BL26" i="3"/>
  <c r="BN11" i="3"/>
  <c r="D16" i="6" s="1"/>
  <c r="BL11" i="3"/>
  <c r="BM11" i="3"/>
  <c r="BL5" i="3"/>
  <c r="BN7" i="3"/>
  <c r="D12" i="6" s="1"/>
  <c r="BL8" i="3"/>
  <c r="BL6" i="3"/>
  <c r="BN5" i="3"/>
  <c r="D10" i="6" s="1"/>
  <c r="BL12" i="3"/>
  <c r="BM9" i="3"/>
  <c r="BN9" i="3"/>
  <c r="D14" i="6" s="1"/>
  <c r="BL9" i="3"/>
  <c r="BL13" i="3"/>
  <c r="BL31" i="3"/>
  <c r="BL4" i="3"/>
  <c r="BM3" i="3"/>
  <c r="BL3" i="3"/>
  <c r="BP3" i="3" l="1"/>
  <c r="BN10" i="1" s="1"/>
  <c r="BQ166" i="3"/>
  <c r="F174" i="10" s="1"/>
  <c r="BQ177" i="3"/>
  <c r="F185" i="10" s="1"/>
  <c r="BQ168" i="3"/>
  <c r="F176" i="10" s="1"/>
  <c r="BQ182" i="3"/>
  <c r="F190" i="10" s="1"/>
  <c r="BQ183" i="3"/>
  <c r="F191" i="10" s="1"/>
  <c r="BQ167" i="3"/>
  <c r="F175" i="10" s="1"/>
  <c r="BQ175" i="3"/>
  <c r="F183" i="10" s="1"/>
  <c r="BQ173" i="3"/>
  <c r="F181" i="10" s="1"/>
  <c r="BQ172" i="3"/>
  <c r="F180" i="10" s="1"/>
  <c r="BQ181" i="3"/>
  <c r="F189" i="10" s="1"/>
  <c r="BQ169" i="3"/>
  <c r="F177" i="10" s="1"/>
  <c r="BQ176" i="3"/>
  <c r="F184" i="10" s="1"/>
  <c r="BQ186" i="3"/>
  <c r="F194" i="10" s="1"/>
  <c r="BQ174" i="3"/>
  <c r="F182" i="10" s="1"/>
  <c r="BQ178" i="3"/>
  <c r="F186" i="10" s="1"/>
  <c r="BQ179" i="3"/>
  <c r="F187" i="10" s="1"/>
  <c r="BQ180" i="3"/>
  <c r="F188" i="10" s="1"/>
  <c r="BQ170" i="3"/>
  <c r="F178" i="10" s="1"/>
  <c r="BQ184" i="3"/>
  <c r="F192" i="10" s="1"/>
  <c r="BQ187" i="3"/>
  <c r="F195" i="10" s="1"/>
  <c r="BQ171" i="3"/>
  <c r="F179" i="10" s="1"/>
  <c r="BQ185" i="3"/>
  <c r="F193" i="10" s="1"/>
  <c r="BQ165" i="3"/>
  <c r="F173" i="10" s="1"/>
  <c r="BM178" i="1"/>
  <c r="E176" i="6"/>
  <c r="BM179" i="1"/>
  <c r="E177" i="6"/>
  <c r="BM172" i="1"/>
  <c r="E170" i="6"/>
  <c r="BM177" i="1"/>
  <c r="E175" i="6"/>
  <c r="BM191" i="1"/>
  <c r="E189" i="6"/>
  <c r="BM182" i="1"/>
  <c r="E180" i="6"/>
  <c r="BM186" i="1"/>
  <c r="E184" i="6"/>
  <c r="BM185" i="1"/>
  <c r="E183" i="6"/>
  <c r="BM187" i="1"/>
  <c r="E185" i="6"/>
  <c r="BM183" i="1"/>
  <c r="E181" i="6"/>
  <c r="BM175" i="1"/>
  <c r="E173" i="6"/>
  <c r="BM190" i="1"/>
  <c r="E188" i="6"/>
  <c r="BM174" i="1"/>
  <c r="E172" i="6"/>
  <c r="BM189" i="1"/>
  <c r="E187" i="6"/>
  <c r="BM176" i="1"/>
  <c r="E174" i="6"/>
  <c r="BM173" i="1"/>
  <c r="E171" i="6"/>
  <c r="BM184" i="1"/>
  <c r="E182" i="6"/>
  <c r="BM194" i="1"/>
  <c r="E192" i="6"/>
  <c r="BM193" i="1"/>
  <c r="E191" i="6"/>
  <c r="BM192" i="1"/>
  <c r="E190" i="6"/>
  <c r="BM180" i="1"/>
  <c r="E178" i="6"/>
  <c r="BM181" i="1"/>
  <c r="E179" i="6"/>
  <c r="BM188" i="1"/>
  <c r="E186" i="6"/>
  <c r="F120" i="6"/>
  <c r="F84" i="6"/>
  <c r="F52" i="6"/>
  <c r="F158" i="6"/>
  <c r="F141" i="6"/>
  <c r="F109" i="6"/>
  <c r="F77" i="6"/>
  <c r="F45" i="6"/>
  <c r="F54" i="6"/>
  <c r="F159" i="6"/>
  <c r="F39" i="6"/>
  <c r="F134" i="6"/>
  <c r="F90" i="6"/>
  <c r="F58" i="6"/>
  <c r="F147" i="6"/>
  <c r="F115" i="6"/>
  <c r="F83" i="6"/>
  <c r="F51" i="6"/>
  <c r="F78" i="6"/>
  <c r="F151" i="6"/>
  <c r="F116" i="6"/>
  <c r="F80" i="6"/>
  <c r="F48" i="6"/>
  <c r="F150" i="6"/>
  <c r="F153" i="6"/>
  <c r="F121" i="6"/>
  <c r="F89" i="6"/>
  <c r="F57" i="6"/>
  <c r="F143" i="6"/>
  <c r="F122" i="6"/>
  <c r="F110" i="6"/>
  <c r="F76" i="6"/>
  <c r="F44" i="6"/>
  <c r="F142" i="6"/>
  <c r="F152" i="6"/>
  <c r="F133" i="6"/>
  <c r="F101" i="6"/>
  <c r="F69" i="6"/>
  <c r="F148" i="6"/>
  <c r="F127" i="6"/>
  <c r="F118" i="6"/>
  <c r="F82" i="6"/>
  <c r="F50" i="6"/>
  <c r="F154" i="6"/>
  <c r="F146" i="6"/>
  <c r="F139" i="6"/>
  <c r="F107" i="6"/>
  <c r="F75" i="6"/>
  <c r="F43" i="6"/>
  <c r="F46" i="6"/>
  <c r="F119" i="6"/>
  <c r="F106" i="6"/>
  <c r="F104" i="6"/>
  <c r="F72" i="6"/>
  <c r="F128" i="6"/>
  <c r="F145" i="6"/>
  <c r="F113" i="6"/>
  <c r="F81" i="6"/>
  <c r="F49" i="6"/>
  <c r="F102" i="6"/>
  <c r="F111" i="6"/>
  <c r="F86" i="6"/>
  <c r="F135" i="6"/>
  <c r="F100" i="6"/>
  <c r="F68" i="6"/>
  <c r="F112" i="6"/>
  <c r="F132" i="6"/>
  <c r="F157" i="6"/>
  <c r="F125" i="6"/>
  <c r="F93" i="6"/>
  <c r="F61" i="6"/>
  <c r="F95" i="6"/>
  <c r="F108" i="6"/>
  <c r="F74" i="6"/>
  <c r="F42" i="6"/>
  <c r="F130" i="6"/>
  <c r="F163" i="6"/>
  <c r="F131" i="6"/>
  <c r="F99" i="6"/>
  <c r="F67" i="6"/>
  <c r="F144" i="6"/>
  <c r="F124" i="6"/>
  <c r="F87" i="6"/>
  <c r="F156" i="6"/>
  <c r="F96" i="6"/>
  <c r="F64" i="6"/>
  <c r="F137" i="6"/>
  <c r="F105" i="6"/>
  <c r="F73" i="6"/>
  <c r="F41" i="6"/>
  <c r="F70" i="6"/>
  <c r="F71" i="6"/>
  <c r="F62" i="6"/>
  <c r="F103" i="6"/>
  <c r="F136" i="6"/>
  <c r="F92" i="6"/>
  <c r="F60" i="6"/>
  <c r="F149" i="6"/>
  <c r="F117" i="6"/>
  <c r="F85" i="6"/>
  <c r="F53" i="6"/>
  <c r="F114" i="6"/>
  <c r="F63" i="6"/>
  <c r="F164" i="6"/>
  <c r="F98" i="6"/>
  <c r="F66" i="6"/>
  <c r="F155" i="6"/>
  <c r="F123" i="6"/>
  <c r="F91" i="6"/>
  <c r="F59" i="6"/>
  <c r="F94" i="6"/>
  <c r="F160" i="6"/>
  <c r="F55" i="6"/>
  <c r="F126" i="6"/>
  <c r="F88" i="6"/>
  <c r="F56" i="6"/>
  <c r="F140" i="6"/>
  <c r="F161" i="6"/>
  <c r="F129" i="6"/>
  <c r="F97" i="6"/>
  <c r="F65" i="6"/>
  <c r="F138" i="6"/>
  <c r="F47" i="6"/>
  <c r="F162" i="6"/>
  <c r="F79" i="6"/>
  <c r="BO8" i="3"/>
  <c r="BM15" i="1" s="1"/>
  <c r="BO28" i="3"/>
  <c r="BM35" i="1" s="1"/>
  <c r="BQ104" i="3"/>
  <c r="F112" i="10" s="1"/>
  <c r="BQ53" i="3"/>
  <c r="F61" i="10" s="1"/>
  <c r="BQ78" i="3"/>
  <c r="F86" i="10" s="1"/>
  <c r="BQ133" i="3"/>
  <c r="F141" i="10" s="1"/>
  <c r="BM140" i="1"/>
  <c r="E138" i="6"/>
  <c r="BM111" i="1"/>
  <c r="E109" i="6"/>
  <c r="BM85" i="1"/>
  <c r="E83" i="6"/>
  <c r="BM60" i="1"/>
  <c r="E58" i="6"/>
  <c r="BO32" i="3"/>
  <c r="BO27" i="3"/>
  <c r="D32" i="6"/>
  <c r="BM161" i="1"/>
  <c r="E159" i="6"/>
  <c r="BM55" i="1"/>
  <c r="E53" i="6"/>
  <c r="BM67" i="1"/>
  <c r="E65" i="6"/>
  <c r="BM160" i="1"/>
  <c r="E158" i="6"/>
  <c r="BM138" i="1"/>
  <c r="E136" i="6"/>
  <c r="BM43" i="1"/>
  <c r="E41" i="6"/>
  <c r="BM126" i="1"/>
  <c r="E124" i="6"/>
  <c r="BM156" i="1"/>
  <c r="E154" i="6"/>
  <c r="BM131" i="1"/>
  <c r="E129" i="6"/>
  <c r="BM79" i="1"/>
  <c r="E77" i="6"/>
  <c r="BM63" i="1"/>
  <c r="E61" i="6"/>
  <c r="BM40" i="1"/>
  <c r="E38" i="6"/>
  <c r="BM119" i="1"/>
  <c r="E117" i="6"/>
  <c r="BM118" i="1"/>
  <c r="E116" i="6"/>
  <c r="BM170" i="1"/>
  <c r="E168" i="6"/>
  <c r="BM132" i="1"/>
  <c r="E130" i="6"/>
  <c r="BM115" i="1"/>
  <c r="E113" i="6"/>
  <c r="BM135" i="1"/>
  <c r="E133" i="6"/>
  <c r="BM93" i="1"/>
  <c r="E91" i="6"/>
  <c r="BM152" i="1"/>
  <c r="E150" i="6"/>
  <c r="BM102" i="1"/>
  <c r="E100" i="6"/>
  <c r="BM74" i="1"/>
  <c r="E72" i="6"/>
  <c r="BM58" i="1"/>
  <c r="E56" i="6"/>
  <c r="BM106" i="1"/>
  <c r="E104" i="6"/>
  <c r="BM165" i="1"/>
  <c r="E163" i="6"/>
  <c r="BM117" i="1"/>
  <c r="E115" i="6"/>
  <c r="BM61" i="1"/>
  <c r="E59" i="6"/>
  <c r="BM113" i="1"/>
  <c r="E111" i="6"/>
  <c r="BM98" i="1"/>
  <c r="E96" i="6"/>
  <c r="BM72" i="1"/>
  <c r="E70" i="6"/>
  <c r="BM150" i="1"/>
  <c r="E148" i="6"/>
  <c r="BM120" i="1"/>
  <c r="E118" i="6"/>
  <c r="BM159" i="1"/>
  <c r="E157" i="6"/>
  <c r="BM77" i="1"/>
  <c r="E75" i="6"/>
  <c r="BM57" i="1"/>
  <c r="E55" i="6"/>
  <c r="BM145" i="1"/>
  <c r="E143" i="6"/>
  <c r="BM107" i="1"/>
  <c r="E105" i="6"/>
  <c r="BM154" i="1"/>
  <c r="E152" i="6"/>
  <c r="BM122" i="1"/>
  <c r="E120" i="6"/>
  <c r="BM48" i="1"/>
  <c r="E46" i="6"/>
  <c r="BO23" i="3"/>
  <c r="D28" i="6"/>
  <c r="BQ152" i="3"/>
  <c r="F160" i="10" s="1"/>
  <c r="BQ136" i="3"/>
  <c r="F144" i="10" s="1"/>
  <c r="BQ120" i="3"/>
  <c r="F128" i="10" s="1"/>
  <c r="BQ88" i="3"/>
  <c r="F96" i="10" s="1"/>
  <c r="BQ72" i="3"/>
  <c r="F80" i="10" s="1"/>
  <c r="BQ56" i="3"/>
  <c r="F64" i="10" s="1"/>
  <c r="BQ40" i="3"/>
  <c r="F48" i="10" s="1"/>
  <c r="BQ109" i="3"/>
  <c r="F117" i="10" s="1"/>
  <c r="BQ93" i="3"/>
  <c r="F101" i="10" s="1"/>
  <c r="BQ77" i="3"/>
  <c r="F85" i="10" s="1"/>
  <c r="BQ125" i="3"/>
  <c r="F133" i="10" s="1"/>
  <c r="BQ141" i="3"/>
  <c r="F149" i="10" s="1"/>
  <c r="BO14" i="3"/>
  <c r="D19" i="6"/>
  <c r="BQ151" i="3"/>
  <c r="F159" i="10" s="1"/>
  <c r="BQ111" i="3"/>
  <c r="F119" i="10" s="1"/>
  <c r="BQ91" i="3"/>
  <c r="F99" i="10" s="1"/>
  <c r="BQ75" i="3"/>
  <c r="F83" i="10" s="1"/>
  <c r="BQ59" i="3"/>
  <c r="F67" i="10" s="1"/>
  <c r="BQ43" i="3"/>
  <c r="F51" i="10" s="1"/>
  <c r="BQ123" i="3"/>
  <c r="F131" i="10" s="1"/>
  <c r="BQ135" i="3"/>
  <c r="F143" i="10" s="1"/>
  <c r="BQ97" i="3"/>
  <c r="F105" i="10" s="1"/>
  <c r="BQ106" i="3"/>
  <c r="F114" i="10" s="1"/>
  <c r="BQ42" i="3"/>
  <c r="F50" i="10" s="1"/>
  <c r="BQ81" i="3"/>
  <c r="F89" i="10" s="1"/>
  <c r="BQ130" i="3"/>
  <c r="F138" i="10" s="1"/>
  <c r="BQ74" i="3"/>
  <c r="F82" i="10" s="1"/>
  <c r="BM91" i="1"/>
  <c r="E89" i="6"/>
  <c r="BM83" i="1"/>
  <c r="E81" i="6"/>
  <c r="BM149" i="1"/>
  <c r="E147" i="6"/>
  <c r="BM46" i="1"/>
  <c r="E44" i="6"/>
  <c r="BM123" i="1"/>
  <c r="E121" i="6"/>
  <c r="BM116" i="1"/>
  <c r="E114" i="6"/>
  <c r="BM169" i="1"/>
  <c r="E167" i="6"/>
  <c r="BM105" i="1"/>
  <c r="E103" i="6"/>
  <c r="BM75" i="1"/>
  <c r="E73" i="6"/>
  <c r="BM59" i="1"/>
  <c r="E57" i="6"/>
  <c r="BM110" i="1"/>
  <c r="E108" i="6"/>
  <c r="BM162" i="1"/>
  <c r="E160" i="6"/>
  <c r="BM124" i="1"/>
  <c r="E122" i="6"/>
  <c r="BM155" i="1"/>
  <c r="E153" i="6"/>
  <c r="BM97" i="1"/>
  <c r="E95" i="6"/>
  <c r="BM125" i="1"/>
  <c r="E123" i="6"/>
  <c r="BM144" i="1"/>
  <c r="E142" i="6"/>
  <c r="BM86" i="1"/>
  <c r="E84" i="6"/>
  <c r="BM70" i="1"/>
  <c r="E68" i="6"/>
  <c r="BM54" i="1"/>
  <c r="E52" i="6"/>
  <c r="BM88" i="1"/>
  <c r="E86" i="6"/>
  <c r="BM143" i="1"/>
  <c r="E141" i="6"/>
  <c r="BM109" i="1"/>
  <c r="E107" i="6"/>
  <c r="BM53" i="1"/>
  <c r="E51" i="6"/>
  <c r="BM99" i="1"/>
  <c r="E97" i="6"/>
  <c r="BM164" i="1"/>
  <c r="E162" i="6"/>
  <c r="BM84" i="1"/>
  <c r="E82" i="6"/>
  <c r="BM64" i="1"/>
  <c r="E62" i="6"/>
  <c r="BM142" i="1"/>
  <c r="E140" i="6"/>
  <c r="BM96" i="1"/>
  <c r="E94" i="6"/>
  <c r="BM151" i="1"/>
  <c r="E149" i="6"/>
  <c r="BM73" i="1"/>
  <c r="E71" i="6"/>
  <c r="BM49" i="1"/>
  <c r="E47" i="6"/>
  <c r="BM171" i="1"/>
  <c r="E169" i="6"/>
  <c r="BM137" i="1"/>
  <c r="E135" i="6"/>
  <c r="BM89" i="1"/>
  <c r="E87" i="6"/>
  <c r="BM148" i="1"/>
  <c r="E146" i="6"/>
  <c r="BM90" i="1"/>
  <c r="E88" i="6"/>
  <c r="BM44" i="1"/>
  <c r="E42" i="6"/>
  <c r="BO29" i="3"/>
  <c r="D34" i="6"/>
  <c r="BO17" i="3"/>
  <c r="D22" i="6"/>
  <c r="BQ163" i="3"/>
  <c r="F171" i="10" s="1"/>
  <c r="BQ115" i="3"/>
  <c r="F123" i="10" s="1"/>
  <c r="BQ95" i="3"/>
  <c r="F103" i="10" s="1"/>
  <c r="BQ79" i="3"/>
  <c r="F87" i="10" s="1"/>
  <c r="BQ63" i="3"/>
  <c r="F71" i="10" s="1"/>
  <c r="BQ47" i="3"/>
  <c r="F55" i="10" s="1"/>
  <c r="BQ137" i="3"/>
  <c r="F145" i="10" s="1"/>
  <c r="BQ127" i="3"/>
  <c r="F135" i="10" s="1"/>
  <c r="BO25" i="3"/>
  <c r="D30" i="6"/>
  <c r="BQ49" i="3"/>
  <c r="F57" i="10" s="1"/>
  <c r="BQ122" i="3"/>
  <c r="F130" i="10" s="1"/>
  <c r="BQ58" i="3"/>
  <c r="F66" i="10" s="1"/>
  <c r="BQ129" i="3"/>
  <c r="F137" i="10" s="1"/>
  <c r="BQ103" i="3"/>
  <c r="F111" i="10" s="1"/>
  <c r="BQ37" i="3"/>
  <c r="F45" i="10" s="1"/>
  <c r="BQ158" i="3"/>
  <c r="F166" i="10" s="1"/>
  <c r="BQ142" i="3"/>
  <c r="F150" i="10" s="1"/>
  <c r="BQ126" i="3"/>
  <c r="F134" i="10" s="1"/>
  <c r="BQ110" i="3"/>
  <c r="F118" i="10" s="1"/>
  <c r="BQ94" i="3"/>
  <c r="F102" i="10" s="1"/>
  <c r="BQ62" i="3"/>
  <c r="F70" i="10" s="1"/>
  <c r="BQ46" i="3"/>
  <c r="F54" i="10" s="1"/>
  <c r="BQ139" i="3"/>
  <c r="F147" i="10" s="1"/>
  <c r="BQ73" i="3"/>
  <c r="F81" i="10" s="1"/>
  <c r="BQ119" i="3"/>
  <c r="F127" i="10" s="1"/>
  <c r="BQ146" i="3"/>
  <c r="F154" i="10" s="1"/>
  <c r="BQ82" i="3"/>
  <c r="F90" i="10" s="1"/>
  <c r="BQ164" i="3"/>
  <c r="F172" i="10" s="1"/>
  <c r="BQ148" i="3"/>
  <c r="F156" i="10" s="1"/>
  <c r="BQ132" i="3"/>
  <c r="F140" i="10" s="1"/>
  <c r="BQ116" i="3"/>
  <c r="F124" i="10" s="1"/>
  <c r="BQ100" i="3"/>
  <c r="F108" i="10" s="1"/>
  <c r="BQ84" i="3"/>
  <c r="F92" i="10" s="1"/>
  <c r="BQ68" i="3"/>
  <c r="F76" i="10" s="1"/>
  <c r="BQ52" i="3"/>
  <c r="F60" i="10" s="1"/>
  <c r="BQ36" i="3"/>
  <c r="F44" i="10" s="1"/>
  <c r="BQ157" i="3"/>
  <c r="F165" i="10" s="1"/>
  <c r="BM108" i="1"/>
  <c r="E106" i="6"/>
  <c r="BM71" i="1"/>
  <c r="E69" i="6"/>
  <c r="BM157" i="1"/>
  <c r="E155" i="6"/>
  <c r="BM168" i="1"/>
  <c r="E166" i="6"/>
  <c r="BM94" i="1"/>
  <c r="E92" i="6"/>
  <c r="BM146" i="1"/>
  <c r="E144" i="6"/>
  <c r="BM100" i="1"/>
  <c r="E98" i="6"/>
  <c r="BM139" i="1"/>
  <c r="E137" i="6"/>
  <c r="BM47" i="1"/>
  <c r="E45" i="6"/>
  <c r="BM167" i="1"/>
  <c r="E165" i="6"/>
  <c r="BM134" i="1"/>
  <c r="E132" i="6"/>
  <c r="BM82" i="1"/>
  <c r="E80" i="6"/>
  <c r="BM66" i="1"/>
  <c r="E64" i="6"/>
  <c r="BM50" i="1"/>
  <c r="E48" i="6"/>
  <c r="BM166" i="1"/>
  <c r="E164" i="6"/>
  <c r="BM133" i="1"/>
  <c r="E131" i="6"/>
  <c r="BM101" i="1"/>
  <c r="E99" i="6"/>
  <c r="BM41" i="1"/>
  <c r="E39" i="6"/>
  <c r="BM39" i="1"/>
  <c r="E37" i="6"/>
  <c r="BM112" i="1"/>
  <c r="E110" i="6"/>
  <c r="BM80" i="1"/>
  <c r="E78" i="6"/>
  <c r="BM136" i="1"/>
  <c r="E134" i="6"/>
  <c r="BM95" i="1"/>
  <c r="E93" i="6"/>
  <c r="BM69" i="1"/>
  <c r="E67" i="6"/>
  <c r="BM45" i="1"/>
  <c r="E43" i="6"/>
  <c r="BM163" i="1"/>
  <c r="E161" i="6"/>
  <c r="BM129" i="1"/>
  <c r="E127" i="6"/>
  <c r="BM68" i="1"/>
  <c r="E66" i="6"/>
  <c r="BO15" i="3"/>
  <c r="D20" i="6"/>
  <c r="BO19" i="3"/>
  <c r="D24" i="6"/>
  <c r="BQ160" i="3"/>
  <c r="F168" i="10" s="1"/>
  <c r="BQ144" i="3"/>
  <c r="F152" i="10" s="1"/>
  <c r="BQ128" i="3"/>
  <c r="F136" i="10" s="1"/>
  <c r="BQ112" i="3"/>
  <c r="F120" i="10" s="1"/>
  <c r="BQ96" i="3"/>
  <c r="F104" i="10" s="1"/>
  <c r="BQ80" i="3"/>
  <c r="F88" i="10" s="1"/>
  <c r="BQ64" i="3"/>
  <c r="F72" i="10" s="1"/>
  <c r="BQ48" i="3"/>
  <c r="F56" i="10" s="1"/>
  <c r="BQ85" i="3"/>
  <c r="F93" i="10" s="1"/>
  <c r="BQ69" i="3"/>
  <c r="F77" i="10" s="1"/>
  <c r="BQ149" i="3"/>
  <c r="F157" i="10" s="1"/>
  <c r="BQ121" i="3"/>
  <c r="F129" i="10" s="1"/>
  <c r="BQ99" i="3"/>
  <c r="F107" i="10" s="1"/>
  <c r="BQ83" i="3"/>
  <c r="F91" i="10" s="1"/>
  <c r="BQ67" i="3"/>
  <c r="F75" i="10" s="1"/>
  <c r="BQ51" i="3"/>
  <c r="F59" i="10" s="1"/>
  <c r="BQ35" i="3"/>
  <c r="F43" i="10" s="1"/>
  <c r="BQ145" i="3"/>
  <c r="F153" i="10" s="1"/>
  <c r="BQ161" i="3"/>
  <c r="F169" i="10" s="1"/>
  <c r="BQ65" i="3"/>
  <c r="F73" i="10" s="1"/>
  <c r="BQ138" i="3"/>
  <c r="F146" i="10" s="1"/>
  <c r="BQ66" i="3"/>
  <c r="F74" i="10" s="1"/>
  <c r="BQ57" i="3"/>
  <c r="F65" i="10" s="1"/>
  <c r="BQ162" i="3"/>
  <c r="F170" i="10" s="1"/>
  <c r="BQ98" i="3"/>
  <c r="F106" i="10" s="1"/>
  <c r="BM147" i="1"/>
  <c r="E145" i="6"/>
  <c r="BM51" i="1"/>
  <c r="E49" i="6"/>
  <c r="BM92" i="1"/>
  <c r="E90" i="6"/>
  <c r="BM141" i="1"/>
  <c r="E139" i="6"/>
  <c r="BM103" i="1"/>
  <c r="E101" i="6"/>
  <c r="BM78" i="1"/>
  <c r="E76" i="6"/>
  <c r="BM62" i="1"/>
  <c r="E60" i="6"/>
  <c r="BM42" i="1"/>
  <c r="E40" i="6"/>
  <c r="BM114" i="1"/>
  <c r="E112" i="6"/>
  <c r="BM127" i="1"/>
  <c r="E125" i="6"/>
  <c r="BM87" i="1"/>
  <c r="E85" i="6"/>
  <c r="BM104" i="1"/>
  <c r="E102" i="6"/>
  <c r="BM76" i="1"/>
  <c r="E74" i="6"/>
  <c r="BM56" i="1"/>
  <c r="E54" i="6"/>
  <c r="BM158" i="1"/>
  <c r="E156" i="6"/>
  <c r="BM128" i="1"/>
  <c r="E126" i="6"/>
  <c r="BM81" i="1"/>
  <c r="E79" i="6"/>
  <c r="BM65" i="1"/>
  <c r="E63" i="6"/>
  <c r="BM153" i="1"/>
  <c r="E151" i="6"/>
  <c r="BM121" i="1"/>
  <c r="E119" i="6"/>
  <c r="BM130" i="1"/>
  <c r="E128" i="6"/>
  <c r="BM52" i="1"/>
  <c r="E50" i="6"/>
  <c r="BO18" i="3"/>
  <c r="D23" i="6"/>
  <c r="BQ131" i="3"/>
  <c r="F139" i="10" s="1"/>
  <c r="BQ105" i="3"/>
  <c r="F113" i="10" s="1"/>
  <c r="BQ87" i="3"/>
  <c r="F95" i="10" s="1"/>
  <c r="BQ71" i="3"/>
  <c r="F79" i="10" s="1"/>
  <c r="BQ55" i="3"/>
  <c r="F63" i="10" s="1"/>
  <c r="BQ39" i="3"/>
  <c r="F47" i="10" s="1"/>
  <c r="BQ153" i="3"/>
  <c r="F161" i="10" s="1"/>
  <c r="BQ107" i="3"/>
  <c r="F115" i="10" s="1"/>
  <c r="BQ147" i="3"/>
  <c r="F155" i="10" s="1"/>
  <c r="BO16" i="3"/>
  <c r="D21" i="6"/>
  <c r="BQ143" i="3"/>
  <c r="F151" i="10" s="1"/>
  <c r="BQ154" i="3"/>
  <c r="F162" i="10" s="1"/>
  <c r="BQ90" i="3"/>
  <c r="F98" i="10" s="1"/>
  <c r="BQ34" i="3"/>
  <c r="F42" i="10" s="1"/>
  <c r="BQ159" i="3"/>
  <c r="F167" i="10" s="1"/>
  <c r="BQ113" i="3"/>
  <c r="F121" i="10" s="1"/>
  <c r="BQ61" i="3"/>
  <c r="F69" i="10" s="1"/>
  <c r="BQ45" i="3"/>
  <c r="F53" i="10" s="1"/>
  <c r="BQ150" i="3"/>
  <c r="F158" i="10" s="1"/>
  <c r="BQ134" i="3"/>
  <c r="F142" i="10" s="1"/>
  <c r="BQ118" i="3"/>
  <c r="F126" i="10" s="1"/>
  <c r="BQ102" i="3"/>
  <c r="F110" i="10" s="1"/>
  <c r="BQ86" i="3"/>
  <c r="F94" i="10" s="1"/>
  <c r="BQ70" i="3"/>
  <c r="F78" i="10" s="1"/>
  <c r="BQ54" i="3"/>
  <c r="F62" i="10" s="1"/>
  <c r="BQ38" i="3"/>
  <c r="F46" i="10" s="1"/>
  <c r="BO21" i="3"/>
  <c r="D26" i="6"/>
  <c r="BQ89" i="3"/>
  <c r="F97" i="10" s="1"/>
  <c r="BQ41" i="3"/>
  <c r="F49" i="10" s="1"/>
  <c r="BQ155" i="3"/>
  <c r="F163" i="10" s="1"/>
  <c r="BQ114" i="3"/>
  <c r="F122" i="10" s="1"/>
  <c r="BQ50" i="3"/>
  <c r="F58" i="10" s="1"/>
  <c r="BQ101" i="3"/>
  <c r="F109" i="10" s="1"/>
  <c r="BQ156" i="3"/>
  <c r="F164" i="10" s="1"/>
  <c r="BQ140" i="3"/>
  <c r="F148" i="10" s="1"/>
  <c r="BQ124" i="3"/>
  <c r="F132" i="10" s="1"/>
  <c r="BQ108" i="3"/>
  <c r="F116" i="10" s="1"/>
  <c r="BQ92" i="3"/>
  <c r="F100" i="10" s="1"/>
  <c r="BQ76" i="3"/>
  <c r="F84" i="10" s="1"/>
  <c r="BQ60" i="3"/>
  <c r="F68" i="10" s="1"/>
  <c r="BQ44" i="3"/>
  <c r="F52" i="10" s="1"/>
  <c r="BQ117" i="3"/>
  <c r="F125" i="10" s="1"/>
  <c r="BP4" i="3"/>
  <c r="BO4" i="3"/>
  <c r="E43" i="10"/>
  <c r="F40" i="6"/>
  <c r="D18" i="10"/>
  <c r="BL17" i="1"/>
  <c r="D21" i="10"/>
  <c r="BL20" i="1"/>
  <c r="D31" i="10"/>
  <c r="BL30" i="1"/>
  <c r="BL31" i="1"/>
  <c r="D32" i="10"/>
  <c r="BU175" i="3"/>
  <c r="G180" i="6" s="1"/>
  <c r="E183" i="10"/>
  <c r="BN182" i="1"/>
  <c r="D175" i="2" s="1"/>
  <c r="BU131" i="3"/>
  <c r="G136" i="6" s="1"/>
  <c r="E139" i="10"/>
  <c r="BN138" i="1"/>
  <c r="D131" i="2" s="1"/>
  <c r="BU105" i="3"/>
  <c r="G110" i="6" s="1"/>
  <c r="E113" i="10"/>
  <c r="BN112" i="1"/>
  <c r="D105" i="2" s="1"/>
  <c r="BU87" i="3"/>
  <c r="E95" i="10"/>
  <c r="BN94" i="1"/>
  <c r="D87" i="2" s="1"/>
  <c r="BU71" i="3"/>
  <c r="E79" i="10"/>
  <c r="BN78" i="1"/>
  <c r="D71" i="2" s="1"/>
  <c r="BU55" i="3"/>
  <c r="G60" i="6" s="1"/>
  <c r="E63" i="10"/>
  <c r="BN62" i="1"/>
  <c r="D55" i="2" s="1"/>
  <c r="BU39" i="3"/>
  <c r="G44" i="6" s="1"/>
  <c r="E47" i="10"/>
  <c r="BN46" i="1"/>
  <c r="D39" i="2" s="1"/>
  <c r="BU153" i="3"/>
  <c r="E161" i="10"/>
  <c r="BN160" i="1"/>
  <c r="D153" i="2" s="1"/>
  <c r="BU107" i="3"/>
  <c r="E115" i="10"/>
  <c r="BN114" i="1"/>
  <c r="D107" i="2" s="1"/>
  <c r="BU147" i="3"/>
  <c r="G152" i="6" s="1"/>
  <c r="E155" i="10"/>
  <c r="BN154" i="1"/>
  <c r="D147" i="2" s="1"/>
  <c r="BU216" i="3"/>
  <c r="E224" i="10"/>
  <c r="BN223" i="1"/>
  <c r="D216" i="2" s="1"/>
  <c r="BU200" i="3"/>
  <c r="E208" i="10"/>
  <c r="BN207" i="1"/>
  <c r="D200" i="2" s="1"/>
  <c r="BU184" i="3"/>
  <c r="G189" i="6" s="1"/>
  <c r="E192" i="10"/>
  <c r="BN191" i="1"/>
  <c r="D184" i="2" s="1"/>
  <c r="BU143" i="3"/>
  <c r="G148" i="6" s="1"/>
  <c r="E151" i="10"/>
  <c r="BN150" i="1"/>
  <c r="D143" i="2" s="1"/>
  <c r="BU218" i="3"/>
  <c r="E226" i="10"/>
  <c r="BN225" i="1"/>
  <c r="D218" i="2" s="1"/>
  <c r="BU154" i="3"/>
  <c r="E162" i="10"/>
  <c r="BN161" i="1"/>
  <c r="D154" i="2" s="1"/>
  <c r="BU90" i="3"/>
  <c r="E98" i="10"/>
  <c r="BN97" i="1"/>
  <c r="D90" i="2" s="1"/>
  <c r="BU34" i="3"/>
  <c r="G39" i="6" s="1"/>
  <c r="E42" i="10"/>
  <c r="BN41" i="1"/>
  <c r="D34" i="2" s="1"/>
  <c r="BU187" i="3"/>
  <c r="G192" i="6" s="1"/>
  <c r="E195" i="10"/>
  <c r="BN194" i="1"/>
  <c r="D187" i="2" s="1"/>
  <c r="BU159" i="3"/>
  <c r="E167" i="10"/>
  <c r="BN166" i="1"/>
  <c r="D159" i="2" s="1"/>
  <c r="BU113" i="3"/>
  <c r="G118" i="6" s="1"/>
  <c r="BN120" i="1"/>
  <c r="D113" i="2" s="1"/>
  <c r="E121" i="10"/>
  <c r="BU61" i="3"/>
  <c r="E69" i="10"/>
  <c r="BN68" i="1"/>
  <c r="D61" i="2" s="1"/>
  <c r="BU45" i="3"/>
  <c r="G50" i="6" s="1"/>
  <c r="E53" i="10"/>
  <c r="BN52" i="1"/>
  <c r="D45" i="2" s="1"/>
  <c r="BU191" i="3"/>
  <c r="E199" i="10"/>
  <c r="BN198" i="1"/>
  <c r="D191" i="2" s="1"/>
  <c r="BU214" i="3"/>
  <c r="E222" i="10"/>
  <c r="BN221" i="1"/>
  <c r="D214" i="2" s="1"/>
  <c r="BU198" i="3"/>
  <c r="E206" i="10"/>
  <c r="BN205" i="1"/>
  <c r="D198" i="2" s="1"/>
  <c r="BU182" i="3"/>
  <c r="G187" i="6" s="1"/>
  <c r="E190" i="10"/>
  <c r="BN189" i="1"/>
  <c r="D182" i="2" s="1"/>
  <c r="BU166" i="3"/>
  <c r="G171" i="6" s="1"/>
  <c r="E174" i="10"/>
  <c r="BN173" i="1"/>
  <c r="D166" i="2" s="1"/>
  <c r="BU150" i="3"/>
  <c r="G155" i="6" s="1"/>
  <c r="E158" i="10"/>
  <c r="BN157" i="1"/>
  <c r="D150" i="2" s="1"/>
  <c r="BU134" i="3"/>
  <c r="E142" i="10"/>
  <c r="BN141" i="1"/>
  <c r="D134" i="2" s="1"/>
  <c r="BU118" i="3"/>
  <c r="E126" i="10"/>
  <c r="BN125" i="1"/>
  <c r="D118" i="2" s="1"/>
  <c r="BU102" i="3"/>
  <c r="G107" i="6" s="1"/>
  <c r="E110" i="10"/>
  <c r="BN109" i="1"/>
  <c r="D102" i="2" s="1"/>
  <c r="BU86" i="3"/>
  <c r="G91" i="6" s="1"/>
  <c r="E94" i="10"/>
  <c r="BN93" i="1"/>
  <c r="D86" i="2" s="1"/>
  <c r="BU70" i="3"/>
  <c r="E78" i="10"/>
  <c r="BN77" i="1"/>
  <c r="D70" i="2" s="1"/>
  <c r="BU54" i="3"/>
  <c r="E62" i="10"/>
  <c r="BN61" i="1"/>
  <c r="D54" i="2" s="1"/>
  <c r="BU38" i="3"/>
  <c r="G43" i="6" s="1"/>
  <c r="E46" i="10"/>
  <c r="BN45" i="1"/>
  <c r="D38" i="2" s="1"/>
  <c r="D22" i="10"/>
  <c r="BL21" i="1"/>
  <c r="BU177" i="3"/>
  <c r="G182" i="6" s="1"/>
  <c r="E185" i="10"/>
  <c r="BN184" i="1"/>
  <c r="D177" i="2" s="1"/>
  <c r="BU89" i="3"/>
  <c r="G94" i="6" s="1"/>
  <c r="E97" i="10"/>
  <c r="BN96" i="1"/>
  <c r="D89" i="2" s="1"/>
  <c r="BU41" i="3"/>
  <c r="E49" i="10"/>
  <c r="BN48" i="1"/>
  <c r="D41" i="2" s="1"/>
  <c r="BU155" i="3"/>
  <c r="E163" i="10"/>
  <c r="BN162" i="1"/>
  <c r="D155" i="2" s="1"/>
  <c r="BU178" i="3"/>
  <c r="G183" i="6" s="1"/>
  <c r="E186" i="10"/>
  <c r="BN185" i="1"/>
  <c r="D178" i="2" s="1"/>
  <c r="BU114" i="3"/>
  <c r="G119" i="6" s="1"/>
  <c r="E122" i="10"/>
  <c r="BN121" i="1"/>
  <c r="D114" i="2" s="1"/>
  <c r="BU50" i="3"/>
  <c r="G55" i="6" s="1"/>
  <c r="E58" i="10"/>
  <c r="BN57" i="1"/>
  <c r="D50" i="2" s="1"/>
  <c r="BU221" i="3"/>
  <c r="E229" i="10"/>
  <c r="BN228" i="1"/>
  <c r="D221" i="2" s="1"/>
  <c r="BU185" i="3"/>
  <c r="G190" i="6" s="1"/>
  <c r="E193" i="10"/>
  <c r="BN192" i="1"/>
  <c r="D185" i="2" s="1"/>
  <c r="BU164" i="3"/>
  <c r="G169" i="6" s="1"/>
  <c r="E172" i="10"/>
  <c r="BN171" i="1"/>
  <c r="D164" i="2" s="1"/>
  <c r="BU148" i="3"/>
  <c r="G153" i="6" s="1"/>
  <c r="E156" i="10"/>
  <c r="BN155" i="1"/>
  <c r="D148" i="2" s="1"/>
  <c r="BU132" i="3"/>
  <c r="G137" i="6" s="1"/>
  <c r="E140" i="10"/>
  <c r="BN139" i="1"/>
  <c r="D132" i="2" s="1"/>
  <c r="BU116" i="3"/>
  <c r="E124" i="10"/>
  <c r="BN123" i="1"/>
  <c r="D116" i="2" s="1"/>
  <c r="BU100" i="3"/>
  <c r="E108" i="10"/>
  <c r="BN107" i="1"/>
  <c r="D100" i="2" s="1"/>
  <c r="BU84" i="3"/>
  <c r="G89" i="6" s="1"/>
  <c r="E92" i="10"/>
  <c r="BN91" i="1"/>
  <c r="D84" i="2" s="1"/>
  <c r="BU68" i="3"/>
  <c r="G73" i="6" s="1"/>
  <c r="E76" i="10"/>
  <c r="BN75" i="1"/>
  <c r="D68" i="2" s="1"/>
  <c r="BU52" i="3"/>
  <c r="E60" i="10"/>
  <c r="BN59" i="1"/>
  <c r="D52" i="2" s="1"/>
  <c r="BU36" i="3"/>
  <c r="E44" i="10"/>
  <c r="BN43" i="1"/>
  <c r="D36" i="2" s="1"/>
  <c r="BU209" i="3"/>
  <c r="E217" i="10"/>
  <c r="BN216" i="1"/>
  <c r="D209" i="2" s="1"/>
  <c r="BU133" i="3"/>
  <c r="E141" i="10"/>
  <c r="BN140" i="1"/>
  <c r="D133" i="2" s="1"/>
  <c r="BU165" i="3"/>
  <c r="G170" i="6" s="1"/>
  <c r="E173" i="10"/>
  <c r="BN172" i="1"/>
  <c r="D165" i="2" s="1"/>
  <c r="BU157" i="3"/>
  <c r="E165" i="10"/>
  <c r="BN164" i="1"/>
  <c r="D157" i="2" s="1"/>
  <c r="D13" i="10"/>
  <c r="BL12" i="1"/>
  <c r="D14" i="10"/>
  <c r="BL13" i="1"/>
  <c r="D15" i="10"/>
  <c r="BL14" i="1"/>
  <c r="D19" i="10"/>
  <c r="BL18" i="1"/>
  <c r="D30" i="10"/>
  <c r="BL29" i="1"/>
  <c r="BO24" i="3"/>
  <c r="D37" i="10"/>
  <c r="BL36" i="1"/>
  <c r="D25" i="10"/>
  <c r="BL24" i="1"/>
  <c r="BO30" i="3"/>
  <c r="D38" i="10"/>
  <c r="BL37" i="1"/>
  <c r="BU189" i="3"/>
  <c r="E197" i="10"/>
  <c r="BN196" i="1"/>
  <c r="D189" i="2" s="1"/>
  <c r="BU213" i="3"/>
  <c r="E221" i="10"/>
  <c r="BN220" i="1"/>
  <c r="D213" i="2" s="1"/>
  <c r="BU173" i="3"/>
  <c r="G178" i="6" s="1"/>
  <c r="E181" i="10"/>
  <c r="BN180" i="1"/>
  <c r="D173" i="2" s="1"/>
  <c r="BU176" i="3"/>
  <c r="G181" i="6" s="1"/>
  <c r="E184" i="10"/>
  <c r="BN183" i="1"/>
  <c r="D176" i="2" s="1"/>
  <c r="BU160" i="3"/>
  <c r="G165" i="6" s="1"/>
  <c r="E168" i="10"/>
  <c r="BN167" i="1"/>
  <c r="D160" i="2" s="1"/>
  <c r="BU144" i="3"/>
  <c r="E152" i="10"/>
  <c r="BN151" i="1"/>
  <c r="D144" i="2" s="1"/>
  <c r="BU128" i="3"/>
  <c r="E136" i="10"/>
  <c r="BN135" i="1"/>
  <c r="D128" i="2" s="1"/>
  <c r="BU112" i="3"/>
  <c r="G117" i="6" s="1"/>
  <c r="E120" i="10"/>
  <c r="BN119" i="1"/>
  <c r="D112" i="2" s="1"/>
  <c r="BU96" i="3"/>
  <c r="G101" i="6" s="1"/>
  <c r="E104" i="10"/>
  <c r="BN103" i="1"/>
  <c r="D96" i="2" s="1"/>
  <c r="BU80" i="3"/>
  <c r="E88" i="10"/>
  <c r="BN87" i="1"/>
  <c r="D80" i="2" s="1"/>
  <c r="BU64" i="3"/>
  <c r="E72" i="10"/>
  <c r="BN71" i="1"/>
  <c r="D64" i="2" s="1"/>
  <c r="BU48" i="3"/>
  <c r="G53" i="6" s="1"/>
  <c r="E56" i="10"/>
  <c r="BN55" i="1"/>
  <c r="D48" i="2" s="1"/>
  <c r="D33" i="10"/>
  <c r="BL32" i="1"/>
  <c r="BU205" i="3"/>
  <c r="E213" i="10"/>
  <c r="BN212" i="1"/>
  <c r="D205" i="2" s="1"/>
  <c r="BU85" i="3"/>
  <c r="G90" i="6" s="1"/>
  <c r="E93" i="10"/>
  <c r="BN92" i="1"/>
  <c r="D85" i="2" s="1"/>
  <c r="BU69" i="3"/>
  <c r="E77" i="10"/>
  <c r="BN76" i="1"/>
  <c r="D69" i="2" s="1"/>
  <c r="BU149" i="3"/>
  <c r="E157" i="10"/>
  <c r="BN156" i="1"/>
  <c r="D149" i="2" s="1"/>
  <c r="BU179" i="3"/>
  <c r="G184" i="6" s="1"/>
  <c r="E187" i="10"/>
  <c r="BN186" i="1"/>
  <c r="D179" i="2" s="1"/>
  <c r="BU151" i="3"/>
  <c r="E159" i="10"/>
  <c r="BN158" i="1"/>
  <c r="D151" i="2" s="1"/>
  <c r="BU111" i="3"/>
  <c r="G116" i="6" s="1"/>
  <c r="E119" i="10"/>
  <c r="BN118" i="1"/>
  <c r="D111" i="2" s="1"/>
  <c r="BU91" i="3"/>
  <c r="G96" i="6" s="1"/>
  <c r="E99" i="10"/>
  <c r="BN98" i="1"/>
  <c r="D91" i="2" s="1"/>
  <c r="BU75" i="3"/>
  <c r="E83" i="10"/>
  <c r="BN82" i="1"/>
  <c r="D75" i="2" s="1"/>
  <c r="BU59" i="3"/>
  <c r="E67" i="10"/>
  <c r="BN66" i="1"/>
  <c r="D59" i="2" s="1"/>
  <c r="BU43" i="3"/>
  <c r="G48" i="6" s="1"/>
  <c r="E51" i="10"/>
  <c r="BN50" i="1"/>
  <c r="D43" i="2" s="1"/>
  <c r="BU123" i="3"/>
  <c r="G128" i="6" s="1"/>
  <c r="E131" i="10"/>
  <c r="BN130" i="1"/>
  <c r="D123" i="2" s="1"/>
  <c r="BU183" i="3"/>
  <c r="G188" i="6" s="1"/>
  <c r="BN190" i="1"/>
  <c r="D183" i="2" s="1"/>
  <c r="E191" i="10"/>
  <c r="BU135" i="3"/>
  <c r="G140" i="6" s="1"/>
  <c r="E143" i="10"/>
  <c r="BN142" i="1"/>
  <c r="D135" i="2" s="1"/>
  <c r="BU212" i="3"/>
  <c r="E220" i="10"/>
  <c r="BN219" i="1"/>
  <c r="D212" i="2" s="1"/>
  <c r="BU196" i="3"/>
  <c r="E204" i="10"/>
  <c r="BN203" i="1"/>
  <c r="D196" i="2" s="1"/>
  <c r="BU180" i="3"/>
  <c r="G185" i="6" s="1"/>
  <c r="E188" i="10"/>
  <c r="BN187" i="1"/>
  <c r="D180" i="2" s="1"/>
  <c r="BU97" i="3"/>
  <c r="E105" i="10"/>
  <c r="BN104" i="1"/>
  <c r="D97" i="2" s="1"/>
  <c r="BU170" i="3"/>
  <c r="G175" i="6" s="1"/>
  <c r="E178" i="10"/>
  <c r="BN177" i="1"/>
  <c r="D170" i="2" s="1"/>
  <c r="BU106" i="3"/>
  <c r="G111" i="6" s="1"/>
  <c r="E114" i="10"/>
  <c r="BN113" i="1"/>
  <c r="D106" i="2" s="1"/>
  <c r="BU42" i="3"/>
  <c r="G47" i="6" s="1"/>
  <c r="E50" i="10"/>
  <c r="BN49" i="1"/>
  <c r="D42" i="2" s="1"/>
  <c r="BU81" i="3"/>
  <c r="BN88" i="1"/>
  <c r="D81" i="2" s="1"/>
  <c r="E89" i="10"/>
  <c r="BU194" i="3"/>
  <c r="E202" i="10"/>
  <c r="BN201" i="1"/>
  <c r="D194" i="2" s="1"/>
  <c r="BU130" i="3"/>
  <c r="G135" i="6" s="1"/>
  <c r="E138" i="10"/>
  <c r="BN137" i="1"/>
  <c r="D130" i="2" s="1"/>
  <c r="BU74" i="3"/>
  <c r="G79" i="6" s="1"/>
  <c r="E82" i="10"/>
  <c r="BN81" i="1"/>
  <c r="D74" i="2" s="1"/>
  <c r="D34" i="10"/>
  <c r="BL33" i="1"/>
  <c r="D23" i="10"/>
  <c r="BL22" i="1"/>
  <c r="D35" i="10"/>
  <c r="BL34" i="1"/>
  <c r="D16" i="10"/>
  <c r="BL15" i="1"/>
  <c r="D27" i="10"/>
  <c r="BL26" i="1"/>
  <c r="D36" i="10"/>
  <c r="BL35" i="1"/>
  <c r="BU163" i="3"/>
  <c r="G168" i="6" s="1"/>
  <c r="E171" i="10"/>
  <c r="BN170" i="1"/>
  <c r="D163" i="2" s="1"/>
  <c r="BU115" i="3"/>
  <c r="G120" i="6" s="1"/>
  <c r="E123" i="10"/>
  <c r="BN122" i="1"/>
  <c r="D115" i="2" s="1"/>
  <c r="BU95" i="3"/>
  <c r="E103" i="10"/>
  <c r="BN102" i="1"/>
  <c r="D95" i="2" s="1"/>
  <c r="BU79" i="3"/>
  <c r="E87" i="10"/>
  <c r="BN86" i="1"/>
  <c r="D79" i="2" s="1"/>
  <c r="BU63" i="3"/>
  <c r="G68" i="6" s="1"/>
  <c r="E71" i="10"/>
  <c r="BN70" i="1"/>
  <c r="D63" i="2" s="1"/>
  <c r="BU47" i="3"/>
  <c r="G52" i="6" s="1"/>
  <c r="E55" i="10"/>
  <c r="BN54" i="1"/>
  <c r="D47" i="2" s="1"/>
  <c r="BU203" i="3"/>
  <c r="E211" i="10"/>
  <c r="BN210" i="1"/>
  <c r="D203" i="2" s="1"/>
  <c r="BU137" i="3"/>
  <c r="E145" i="10"/>
  <c r="BN144" i="1"/>
  <c r="D137" i="2" s="1"/>
  <c r="BU127" i="3"/>
  <c r="G132" i="6" s="1"/>
  <c r="E135" i="10"/>
  <c r="BN134" i="1"/>
  <c r="D127" i="2" s="1"/>
  <c r="BU208" i="3"/>
  <c r="E216" i="10"/>
  <c r="BN215" i="1"/>
  <c r="D208" i="2" s="1"/>
  <c r="BU192" i="3"/>
  <c r="E200" i="10"/>
  <c r="BN199" i="1"/>
  <c r="D192" i="2" s="1"/>
  <c r="BU49" i="3"/>
  <c r="G54" i="6" s="1"/>
  <c r="BN56" i="1"/>
  <c r="D49" i="2" s="1"/>
  <c r="E57" i="10"/>
  <c r="BU215" i="3"/>
  <c r="BN222" i="1"/>
  <c r="D215" i="2" s="1"/>
  <c r="E223" i="10"/>
  <c r="BU186" i="3"/>
  <c r="G191" i="6" s="1"/>
  <c r="E194" i="10"/>
  <c r="BN193" i="1"/>
  <c r="D186" i="2" s="1"/>
  <c r="BU122" i="3"/>
  <c r="E130" i="10"/>
  <c r="BN129" i="1"/>
  <c r="D122" i="2" s="1"/>
  <c r="BU58" i="3"/>
  <c r="G63" i="6" s="1"/>
  <c r="E66" i="10"/>
  <c r="BN65" i="1"/>
  <c r="D58" i="2" s="1"/>
  <c r="BU169" i="3"/>
  <c r="G174" i="6" s="1"/>
  <c r="E177" i="10"/>
  <c r="BN176" i="1"/>
  <c r="D169" i="2" s="1"/>
  <c r="BU129" i="3"/>
  <c r="BN136" i="1"/>
  <c r="D129" i="2" s="1"/>
  <c r="E137" i="10"/>
  <c r="BU103" i="3"/>
  <c r="G108" i="6" s="1"/>
  <c r="E111" i="10"/>
  <c r="BN110" i="1"/>
  <c r="D103" i="2" s="1"/>
  <c r="BU53" i="3"/>
  <c r="E61" i="10"/>
  <c r="BN60" i="1"/>
  <c r="D53" i="2" s="1"/>
  <c r="BU37" i="3"/>
  <c r="G42" i="6" s="1"/>
  <c r="E45" i="10"/>
  <c r="BN44" i="1"/>
  <c r="D37" i="2" s="1"/>
  <c r="BU211" i="3"/>
  <c r="E219" i="10"/>
  <c r="BN218" i="1"/>
  <c r="D211" i="2" s="1"/>
  <c r="BU171" i="3"/>
  <c r="G176" i="6" s="1"/>
  <c r="E179" i="10"/>
  <c r="BN178" i="1"/>
  <c r="D171" i="2" s="1"/>
  <c r="BU222" i="3"/>
  <c r="E230" i="10"/>
  <c r="BN229" i="1"/>
  <c r="D222" i="2" s="1"/>
  <c r="BU206" i="3"/>
  <c r="E214" i="10"/>
  <c r="BN213" i="1"/>
  <c r="D206" i="2" s="1"/>
  <c r="BU190" i="3"/>
  <c r="E198" i="10"/>
  <c r="BN197" i="1"/>
  <c r="D190" i="2" s="1"/>
  <c r="BU174" i="3"/>
  <c r="G179" i="6" s="1"/>
  <c r="E182" i="10"/>
  <c r="BN181" i="1"/>
  <c r="D174" i="2" s="1"/>
  <c r="BU158" i="3"/>
  <c r="G163" i="6" s="1"/>
  <c r="E166" i="10"/>
  <c r="BN165" i="1"/>
  <c r="D158" i="2" s="1"/>
  <c r="BU142" i="3"/>
  <c r="G147" i="6" s="1"/>
  <c r="E150" i="10"/>
  <c r="BN149" i="1"/>
  <c r="D142" i="2" s="1"/>
  <c r="BU126" i="3"/>
  <c r="E134" i="10"/>
  <c r="BN133" i="1"/>
  <c r="D126" i="2" s="1"/>
  <c r="BU110" i="3"/>
  <c r="E118" i="10"/>
  <c r="BN117" i="1"/>
  <c r="D110" i="2" s="1"/>
  <c r="BU94" i="3"/>
  <c r="G99" i="6" s="1"/>
  <c r="E102" i="10"/>
  <c r="BN101" i="1"/>
  <c r="D94" i="2" s="1"/>
  <c r="BU78" i="3"/>
  <c r="G83" i="6" s="1"/>
  <c r="E86" i="10"/>
  <c r="BN85" i="1"/>
  <c r="D78" i="2" s="1"/>
  <c r="BU62" i="3"/>
  <c r="E70" i="10"/>
  <c r="BN69" i="1"/>
  <c r="D62" i="2" s="1"/>
  <c r="BU46" i="3"/>
  <c r="E54" i="10"/>
  <c r="BN53" i="1"/>
  <c r="D46" i="2" s="1"/>
  <c r="BU219" i="3"/>
  <c r="E227" i="10"/>
  <c r="BN226" i="1"/>
  <c r="D219" i="2" s="1"/>
  <c r="BU139" i="3"/>
  <c r="G144" i="6" s="1"/>
  <c r="E147" i="10"/>
  <c r="BN146" i="1"/>
  <c r="D139" i="2" s="1"/>
  <c r="BU73" i="3"/>
  <c r="G78" i="6" s="1"/>
  <c r="E81" i="10"/>
  <c r="BN80" i="1"/>
  <c r="D73" i="2" s="1"/>
  <c r="BU119" i="3"/>
  <c r="E127" i="10"/>
  <c r="BN126" i="1"/>
  <c r="D119" i="2" s="1"/>
  <c r="BU210" i="3"/>
  <c r="E218" i="10"/>
  <c r="BN217" i="1"/>
  <c r="D210" i="2" s="1"/>
  <c r="BU146" i="3"/>
  <c r="E154" i="10"/>
  <c r="BN153" i="1"/>
  <c r="D146" i="2" s="1"/>
  <c r="BU82" i="3"/>
  <c r="G87" i="6" s="1"/>
  <c r="E90" i="10"/>
  <c r="BN89" i="1"/>
  <c r="D82" i="2" s="1"/>
  <c r="BU101" i="3"/>
  <c r="E109" i="10"/>
  <c r="BN108" i="1"/>
  <c r="D101" i="2" s="1"/>
  <c r="BU172" i="3"/>
  <c r="G177" i="6" s="1"/>
  <c r="BN179" i="1"/>
  <c r="D172" i="2" s="1"/>
  <c r="E180" i="10"/>
  <c r="BU156" i="3"/>
  <c r="E164" i="10"/>
  <c r="BN163" i="1"/>
  <c r="D156" i="2" s="1"/>
  <c r="BU140" i="3"/>
  <c r="E148" i="10"/>
  <c r="BN147" i="1"/>
  <c r="D140" i="2" s="1"/>
  <c r="BU124" i="3"/>
  <c r="G129" i="6" s="1"/>
  <c r="E132" i="10"/>
  <c r="BN131" i="1"/>
  <c r="D124" i="2" s="1"/>
  <c r="BU108" i="3"/>
  <c r="G113" i="6" s="1"/>
  <c r="E116" i="10"/>
  <c r="BN115" i="1"/>
  <c r="D108" i="2" s="1"/>
  <c r="BU92" i="3"/>
  <c r="E100" i="10"/>
  <c r="BN99" i="1"/>
  <c r="D92" i="2" s="1"/>
  <c r="BU76" i="3"/>
  <c r="E84" i="10"/>
  <c r="BN83" i="1"/>
  <c r="D76" i="2" s="1"/>
  <c r="BU60" i="3"/>
  <c r="G65" i="6" s="1"/>
  <c r="E68" i="10"/>
  <c r="BN67" i="1"/>
  <c r="D60" i="2" s="1"/>
  <c r="BU44" i="3"/>
  <c r="G49" i="6" s="1"/>
  <c r="E52" i="10"/>
  <c r="BN51" i="1"/>
  <c r="D44" i="2" s="1"/>
  <c r="D41" i="10"/>
  <c r="BL40" i="1"/>
  <c r="BU197" i="3"/>
  <c r="E205" i="10"/>
  <c r="BN204" i="1"/>
  <c r="D197" i="2" s="1"/>
  <c r="BU117" i="3"/>
  <c r="E125" i="10"/>
  <c r="BN124" i="1"/>
  <c r="D117" i="2" s="1"/>
  <c r="BU181" i="3"/>
  <c r="G186" i="6" s="1"/>
  <c r="E189" i="10"/>
  <c r="BN188" i="1"/>
  <c r="D181" i="2" s="1"/>
  <c r="D40" i="10"/>
  <c r="BL39" i="1"/>
  <c r="BO12" i="3"/>
  <c r="D20" i="10"/>
  <c r="BL19" i="1"/>
  <c r="D39" i="10"/>
  <c r="BL38" i="1"/>
  <c r="D17" i="10"/>
  <c r="BL16" i="1"/>
  <c r="D28" i="10"/>
  <c r="BL27" i="1"/>
  <c r="D26" i="10"/>
  <c r="BL25" i="1"/>
  <c r="D12" i="10"/>
  <c r="BL11" i="1"/>
  <c r="BU217" i="3"/>
  <c r="E225" i="10"/>
  <c r="BN224" i="1"/>
  <c r="D217" i="2" s="1"/>
  <c r="BU193" i="3"/>
  <c r="E201" i="10"/>
  <c r="BN200" i="1"/>
  <c r="D193" i="2" s="1"/>
  <c r="BU168" i="3"/>
  <c r="G173" i="6" s="1"/>
  <c r="E176" i="10"/>
  <c r="BN175" i="1"/>
  <c r="D168" i="2" s="1"/>
  <c r="BU152" i="3"/>
  <c r="E160" i="10"/>
  <c r="BN159" i="1"/>
  <c r="D152" i="2" s="1"/>
  <c r="BU136" i="3"/>
  <c r="G141" i="6" s="1"/>
  <c r="E144" i="10"/>
  <c r="BN143" i="1"/>
  <c r="D136" i="2" s="1"/>
  <c r="BU120" i="3"/>
  <c r="G125" i="6" s="1"/>
  <c r="E128" i="10"/>
  <c r="BN127" i="1"/>
  <c r="D120" i="2" s="1"/>
  <c r="BU104" i="3"/>
  <c r="E112" i="10"/>
  <c r="BN111" i="1"/>
  <c r="D104" i="2" s="1"/>
  <c r="BU88" i="3"/>
  <c r="E96" i="10"/>
  <c r="BN95" i="1"/>
  <c r="D88" i="2" s="1"/>
  <c r="BU72" i="3"/>
  <c r="G77" i="6" s="1"/>
  <c r="E80" i="10"/>
  <c r="BN79" i="1"/>
  <c r="D72" i="2" s="1"/>
  <c r="BU56" i="3"/>
  <c r="G61" i="6" s="1"/>
  <c r="E64" i="10"/>
  <c r="BN63" i="1"/>
  <c r="D56" i="2" s="1"/>
  <c r="BU40" i="3"/>
  <c r="E48" i="10"/>
  <c r="BN47" i="1"/>
  <c r="D40" i="2" s="1"/>
  <c r="D24" i="10"/>
  <c r="BL23" i="1"/>
  <c r="BU109" i="3"/>
  <c r="E117" i="10"/>
  <c r="BN116" i="1"/>
  <c r="D109" i="2" s="1"/>
  <c r="BU93" i="3"/>
  <c r="G98" i="6" s="1"/>
  <c r="E101" i="10"/>
  <c r="BN100" i="1"/>
  <c r="D93" i="2" s="1"/>
  <c r="BU77" i="3"/>
  <c r="E85" i="10"/>
  <c r="BN84" i="1"/>
  <c r="D77" i="2" s="1"/>
  <c r="BU201" i="3"/>
  <c r="E209" i="10"/>
  <c r="BN208" i="1"/>
  <c r="D201" i="2" s="1"/>
  <c r="BU125" i="3"/>
  <c r="E133" i="10"/>
  <c r="BN132" i="1"/>
  <c r="D125" i="2" s="1"/>
  <c r="BU141" i="3"/>
  <c r="G146" i="6" s="1"/>
  <c r="E149" i="10"/>
  <c r="BN148" i="1"/>
  <c r="D141" i="2" s="1"/>
  <c r="D29" i="10"/>
  <c r="BL28" i="1"/>
  <c r="BU199" i="3"/>
  <c r="E207" i="10"/>
  <c r="BN206" i="1"/>
  <c r="D199" i="2" s="1"/>
  <c r="BU167" i="3"/>
  <c r="G172" i="6" s="1"/>
  <c r="E175" i="10"/>
  <c r="BN174" i="1"/>
  <c r="D167" i="2" s="1"/>
  <c r="BU121" i="3"/>
  <c r="E129" i="10"/>
  <c r="BN128" i="1"/>
  <c r="D121" i="2" s="1"/>
  <c r="BU99" i="3"/>
  <c r="G104" i="6" s="1"/>
  <c r="E107" i="10"/>
  <c r="BN106" i="1"/>
  <c r="D99" i="2" s="1"/>
  <c r="BU83" i="3"/>
  <c r="G88" i="6" s="1"/>
  <c r="E91" i="10"/>
  <c r="BN90" i="1"/>
  <c r="D83" i="2" s="1"/>
  <c r="BU67" i="3"/>
  <c r="E75" i="10"/>
  <c r="BN74" i="1"/>
  <c r="D67" i="2" s="1"/>
  <c r="BU51" i="3"/>
  <c r="E59" i="10"/>
  <c r="BN58" i="1"/>
  <c r="D51" i="2" s="1"/>
  <c r="BU145" i="3"/>
  <c r="E153" i="10"/>
  <c r="BN152" i="1"/>
  <c r="D145" i="2" s="1"/>
  <c r="BU207" i="3"/>
  <c r="E215" i="10"/>
  <c r="BN214" i="1"/>
  <c r="D207" i="2" s="1"/>
  <c r="BU161" i="3"/>
  <c r="G166" i="6" s="1"/>
  <c r="BN168" i="1"/>
  <c r="D161" i="2" s="1"/>
  <c r="E169" i="10"/>
  <c r="BU220" i="3"/>
  <c r="BN227" i="1"/>
  <c r="D220" i="2" s="1"/>
  <c r="E228" i="10"/>
  <c r="BU204" i="3"/>
  <c r="BN211" i="1"/>
  <c r="D204" i="2" s="1"/>
  <c r="E212" i="10"/>
  <c r="BU188" i="3"/>
  <c r="BN195" i="1"/>
  <c r="D188" i="2" s="1"/>
  <c r="E196" i="10"/>
  <c r="BU65" i="3"/>
  <c r="G70" i="6" s="1"/>
  <c r="BN72" i="1"/>
  <c r="D65" i="2" s="1"/>
  <c r="E73" i="10"/>
  <c r="BU195" i="3"/>
  <c r="E203" i="10"/>
  <c r="BN202" i="1"/>
  <c r="D195" i="2" s="1"/>
  <c r="BU202" i="3"/>
  <c r="E210" i="10"/>
  <c r="BN209" i="1"/>
  <c r="D202" i="2" s="1"/>
  <c r="BU138" i="3"/>
  <c r="G143" i="6" s="1"/>
  <c r="E146" i="10"/>
  <c r="BN145" i="1"/>
  <c r="D138" i="2" s="1"/>
  <c r="BU66" i="3"/>
  <c r="E74" i="10"/>
  <c r="BN73" i="1"/>
  <c r="D66" i="2" s="1"/>
  <c r="BU57" i="3"/>
  <c r="G62" i="6" s="1"/>
  <c r="E65" i="10"/>
  <c r="BN64" i="1"/>
  <c r="D57" i="2" s="1"/>
  <c r="BU162" i="3"/>
  <c r="G167" i="6" s="1"/>
  <c r="E170" i="10"/>
  <c r="BN169" i="1"/>
  <c r="D162" i="2" s="1"/>
  <c r="BU98" i="3"/>
  <c r="E106" i="10"/>
  <c r="BN105" i="1"/>
  <c r="D98" i="2" s="1"/>
  <c r="BL10" i="1"/>
  <c r="D11" i="10"/>
  <c r="BQ3" i="3"/>
  <c r="F11" i="10" s="1"/>
  <c r="BV115" i="3"/>
  <c r="BV203" i="3"/>
  <c r="BO210" i="1"/>
  <c r="BV208" i="3"/>
  <c r="BO215" i="1"/>
  <c r="BV192" i="3"/>
  <c r="BO199" i="1"/>
  <c r="BV215" i="3"/>
  <c r="BO222" i="1"/>
  <c r="BV211" i="3"/>
  <c r="BO218" i="1"/>
  <c r="BV222" i="3"/>
  <c r="BO229" i="1"/>
  <c r="BV206" i="3"/>
  <c r="BO213" i="1"/>
  <c r="BV190" i="3"/>
  <c r="BO197" i="1"/>
  <c r="BV219" i="3"/>
  <c r="BO226" i="1"/>
  <c r="BV210" i="3"/>
  <c r="BO217" i="1"/>
  <c r="BV221" i="3"/>
  <c r="BO228" i="1"/>
  <c r="BV209" i="3"/>
  <c r="BO216" i="1"/>
  <c r="BV189" i="3"/>
  <c r="BO196" i="1"/>
  <c r="BV213" i="3"/>
  <c r="BO220" i="1"/>
  <c r="BV205" i="3"/>
  <c r="BO212" i="1"/>
  <c r="BV199" i="3"/>
  <c r="BO206" i="1"/>
  <c r="BV207" i="3"/>
  <c r="BO214" i="1"/>
  <c r="BV220" i="3"/>
  <c r="BO227" i="1"/>
  <c r="BV204" i="3"/>
  <c r="BO211" i="1"/>
  <c r="BV188" i="3"/>
  <c r="BO195" i="1"/>
  <c r="BV195" i="3"/>
  <c r="BO202" i="1"/>
  <c r="BV202" i="3"/>
  <c r="BO209" i="1"/>
  <c r="BV200" i="3"/>
  <c r="BO207" i="1"/>
  <c r="BV191" i="3"/>
  <c r="BO198" i="1"/>
  <c r="BV198" i="3"/>
  <c r="BO205" i="1"/>
  <c r="BU35" i="3"/>
  <c r="BN42" i="1"/>
  <c r="D35" i="2" s="1"/>
  <c r="BV197" i="3"/>
  <c r="BO204" i="1"/>
  <c r="BV216" i="3"/>
  <c r="BO223" i="1"/>
  <c r="BV218" i="3"/>
  <c r="BO225" i="1"/>
  <c r="BV214" i="3"/>
  <c r="BO221" i="1"/>
  <c r="BV217" i="3"/>
  <c r="BO224" i="1"/>
  <c r="BV193" i="3"/>
  <c r="BO200" i="1"/>
  <c r="BV201" i="3"/>
  <c r="BO208" i="1"/>
  <c r="BV212" i="3"/>
  <c r="BO219" i="1"/>
  <c r="BV196" i="3"/>
  <c r="BO203" i="1"/>
  <c r="BV194" i="3"/>
  <c r="BO201" i="1"/>
  <c r="BP20" i="3"/>
  <c r="BQ20" i="3"/>
  <c r="F28" i="10" s="1"/>
  <c r="BQ7" i="3"/>
  <c r="F15" i="10" s="1"/>
  <c r="BP7" i="3"/>
  <c r="BP16" i="3"/>
  <c r="BQ16" i="3"/>
  <c r="F24" i="10" s="1"/>
  <c r="BP14" i="3"/>
  <c r="BQ14" i="3"/>
  <c r="F22" i="10" s="1"/>
  <c r="BQ23" i="3"/>
  <c r="F31" i="10" s="1"/>
  <c r="BP23" i="3"/>
  <c r="BQ4" i="3"/>
  <c r="F12" i="10" s="1"/>
  <c r="BQ17" i="3"/>
  <c r="F25" i="10" s="1"/>
  <c r="BP17" i="3"/>
  <c r="BQ31" i="3"/>
  <c r="F39" i="10" s="1"/>
  <c r="BP31" i="3"/>
  <c r="BP10" i="3"/>
  <c r="BQ10" i="3"/>
  <c r="F18" i="10" s="1"/>
  <c r="BQ33" i="3"/>
  <c r="F41" i="10" s="1"/>
  <c r="BP33" i="3"/>
  <c r="BQ15" i="3"/>
  <c r="F23" i="10" s="1"/>
  <c r="BP15" i="3"/>
  <c r="BQ29" i="3"/>
  <c r="F37" i="10" s="1"/>
  <c r="BP29" i="3"/>
  <c r="BQ13" i="3"/>
  <c r="F21" i="10" s="1"/>
  <c r="BP13" i="3"/>
  <c r="BP12" i="3"/>
  <c r="BQ12" i="3"/>
  <c r="F20" i="10" s="1"/>
  <c r="BP22" i="3"/>
  <c r="BQ22" i="3"/>
  <c r="F30" i="10" s="1"/>
  <c r="BP30" i="3"/>
  <c r="BQ30" i="3"/>
  <c r="F38" i="10" s="1"/>
  <c r="BP32" i="3"/>
  <c r="BQ32" i="3"/>
  <c r="F40" i="10" s="1"/>
  <c r="BP28" i="3"/>
  <c r="BQ28" i="3"/>
  <c r="F36" i="10" s="1"/>
  <c r="BQ27" i="3"/>
  <c r="F35" i="10" s="1"/>
  <c r="BP27" i="3"/>
  <c r="BQ19" i="3"/>
  <c r="F27" i="10" s="1"/>
  <c r="BP19" i="3"/>
  <c r="BP6" i="3"/>
  <c r="BQ6" i="3"/>
  <c r="F14" i="10" s="1"/>
  <c r="BP8" i="3"/>
  <c r="BQ8" i="3"/>
  <c r="F16" i="10" s="1"/>
  <c r="BQ11" i="3"/>
  <c r="F19" i="10" s="1"/>
  <c r="BP11" i="3"/>
  <c r="BQ9" i="3"/>
  <c r="F17" i="10" s="1"/>
  <c r="BP9" i="3"/>
  <c r="BQ5" i="3"/>
  <c r="F13" i="10" s="1"/>
  <c r="BP5" i="3"/>
  <c r="BP26" i="3"/>
  <c r="BQ26" i="3"/>
  <c r="F34" i="10" s="1"/>
  <c r="BP18" i="3"/>
  <c r="BQ18" i="3"/>
  <c r="F26" i="10" s="1"/>
  <c r="BP24" i="3"/>
  <c r="BQ24" i="3"/>
  <c r="F32" i="10" s="1"/>
  <c r="BQ21" i="3"/>
  <c r="F29" i="10" s="1"/>
  <c r="BP21" i="3"/>
  <c r="BQ25" i="3"/>
  <c r="F33" i="10" s="1"/>
  <c r="BP25" i="3"/>
  <c r="BO26" i="3"/>
  <c r="BO31" i="3"/>
  <c r="BO20" i="3"/>
  <c r="BO13" i="3"/>
  <c r="BO22" i="3"/>
  <c r="BO3" i="3"/>
  <c r="BO9" i="3"/>
  <c r="BO6" i="3"/>
  <c r="BO10" i="3"/>
  <c r="BO5" i="3"/>
  <c r="BO7" i="3"/>
  <c r="BO11" i="3"/>
  <c r="BV166" i="3" l="1"/>
  <c r="BO190" i="1"/>
  <c r="BV172" i="3"/>
  <c r="G114" i="6"/>
  <c r="G122" i="6"/>
  <c r="G58" i="6"/>
  <c r="G84" i="6"/>
  <c r="G80" i="6"/>
  <c r="G69" i="6"/>
  <c r="G46" i="6"/>
  <c r="G95" i="6"/>
  <c r="G112" i="6"/>
  <c r="G76" i="6"/>
  <c r="G103" i="6"/>
  <c r="G71" i="6"/>
  <c r="G72" i="6"/>
  <c r="G45" i="6"/>
  <c r="G109" i="6"/>
  <c r="BO184" i="1"/>
  <c r="BV170" i="3"/>
  <c r="BV177" i="3"/>
  <c r="BO174" i="1"/>
  <c r="BV174" i="3"/>
  <c r="BV167" i="3"/>
  <c r="BO85" i="1"/>
  <c r="BO178" i="1"/>
  <c r="BV186" i="3"/>
  <c r="BV180" i="3"/>
  <c r="BO179" i="1"/>
  <c r="BV95" i="3"/>
  <c r="BO176" i="1"/>
  <c r="BV184" i="3"/>
  <c r="BV178" i="3"/>
  <c r="BV169" i="3"/>
  <c r="BO175" i="1"/>
  <c r="BV175" i="3"/>
  <c r="BV183" i="3"/>
  <c r="BV171" i="3"/>
  <c r="BO187" i="1"/>
  <c r="BO173" i="1"/>
  <c r="BO193" i="1"/>
  <c r="BV168" i="3"/>
  <c r="BO172" i="1"/>
  <c r="BO189" i="1"/>
  <c r="BO191" i="1"/>
  <c r="BO182" i="1"/>
  <c r="BO185" i="1"/>
  <c r="BV165" i="3"/>
  <c r="BO186" i="1"/>
  <c r="BO180" i="1"/>
  <c r="BV182" i="3"/>
  <c r="BV173" i="3"/>
  <c r="BO183" i="1"/>
  <c r="BV91" i="3"/>
  <c r="BO100" i="1"/>
  <c r="BV176" i="3"/>
  <c r="BO188" i="1"/>
  <c r="BO192" i="1"/>
  <c r="BO177" i="1"/>
  <c r="BV181" i="3"/>
  <c r="BV185" i="3"/>
  <c r="BO181" i="1"/>
  <c r="BV179" i="3"/>
  <c r="BO194" i="1"/>
  <c r="BV187" i="3"/>
  <c r="G130" i="6"/>
  <c r="G142" i="6"/>
  <c r="G133" i="6"/>
  <c r="BV104" i="3"/>
  <c r="BV88" i="3"/>
  <c r="BV162" i="3"/>
  <c r="BO111" i="1"/>
  <c r="BO58" i="1"/>
  <c r="BV48" i="3"/>
  <c r="BV121" i="3"/>
  <c r="BO77" i="1"/>
  <c r="BO62" i="1"/>
  <c r="BO141" i="1"/>
  <c r="BO120" i="1"/>
  <c r="BV55" i="3"/>
  <c r="BV134" i="3"/>
  <c r="BV113" i="3"/>
  <c r="BO169" i="1"/>
  <c r="BV135" i="3"/>
  <c r="BO147" i="1"/>
  <c r="BV140" i="3"/>
  <c r="BO143" i="1"/>
  <c r="G97" i="6"/>
  <c r="G161" i="6"/>
  <c r="G151" i="6"/>
  <c r="G86" i="6"/>
  <c r="G102" i="6"/>
  <c r="G64" i="6"/>
  <c r="G156" i="6"/>
  <c r="G138" i="6"/>
  <c r="G160" i="6"/>
  <c r="G75" i="6"/>
  <c r="G139" i="6"/>
  <c r="G66" i="6"/>
  <c r="BV56" i="3"/>
  <c r="BV75" i="3"/>
  <c r="BO59" i="1"/>
  <c r="E13" i="6"/>
  <c r="BV116" i="3"/>
  <c r="BO146" i="1"/>
  <c r="BV110" i="3"/>
  <c r="BO134" i="1"/>
  <c r="BO86" i="1"/>
  <c r="G56" i="6"/>
  <c r="G126" i="6"/>
  <c r="G82" i="6"/>
  <c r="G93" i="6"/>
  <c r="G157" i="6"/>
  <c r="G81" i="6"/>
  <c r="G145" i="6"/>
  <c r="G67" i="6"/>
  <c r="G131" i="6"/>
  <c r="G134" i="6"/>
  <c r="G74" i="6"/>
  <c r="G57" i="6"/>
  <c r="G121" i="6"/>
  <c r="G59" i="6"/>
  <c r="G123" i="6"/>
  <c r="BO84" i="1"/>
  <c r="BV136" i="3"/>
  <c r="BV102" i="3"/>
  <c r="BO142" i="1"/>
  <c r="BO82" i="1"/>
  <c r="BV77" i="3"/>
  <c r="BO152" i="1"/>
  <c r="BO89" i="1"/>
  <c r="BO44" i="1"/>
  <c r="BV127" i="3"/>
  <c r="BV79" i="3"/>
  <c r="G150" i="6"/>
  <c r="G106" i="6"/>
  <c r="G124" i="6"/>
  <c r="G51" i="6"/>
  <c r="G115" i="6"/>
  <c r="G127" i="6"/>
  <c r="G100" i="6"/>
  <c r="G154" i="6"/>
  <c r="G85" i="6"/>
  <c r="G149" i="6"/>
  <c r="G162" i="6"/>
  <c r="G41" i="6"/>
  <c r="G105" i="6"/>
  <c r="G164" i="6"/>
  <c r="G159" i="6"/>
  <c r="G158" i="6"/>
  <c r="G92" i="6"/>
  <c r="BO48" i="1"/>
  <c r="F23" i="6"/>
  <c r="F11" i="6"/>
  <c r="F37" i="6"/>
  <c r="F27" i="6"/>
  <c r="F15" i="6"/>
  <c r="F12" i="6"/>
  <c r="F30" i="6"/>
  <c r="F14" i="6"/>
  <c r="F24" i="6"/>
  <c r="F34" i="6"/>
  <c r="F38" i="6"/>
  <c r="F36" i="6"/>
  <c r="F19" i="6"/>
  <c r="F35" i="6"/>
  <c r="F28" i="6"/>
  <c r="F29" i="6"/>
  <c r="F31" i="6"/>
  <c r="F13" i="6"/>
  <c r="F33" i="6"/>
  <c r="F17" i="6"/>
  <c r="F26" i="6"/>
  <c r="F10" i="6"/>
  <c r="F16" i="6"/>
  <c r="F32" i="6"/>
  <c r="F18" i="6"/>
  <c r="F20" i="6"/>
  <c r="F22" i="6"/>
  <c r="F21" i="6"/>
  <c r="F25" i="6"/>
  <c r="BO132" i="1"/>
  <c r="BO65" i="1"/>
  <c r="BO103" i="1"/>
  <c r="E33" i="6"/>
  <c r="BO88" i="1"/>
  <c r="BO83" i="1"/>
  <c r="BO121" i="1"/>
  <c r="BV70" i="3"/>
  <c r="BO161" i="1"/>
  <c r="BO154" i="1"/>
  <c r="BO138" i="1"/>
  <c r="BO72" i="1"/>
  <c r="BV51" i="3"/>
  <c r="BO119" i="1"/>
  <c r="BV133" i="3"/>
  <c r="BV52" i="3"/>
  <c r="BV82" i="3"/>
  <c r="BV139" i="3"/>
  <c r="BV78" i="3"/>
  <c r="BV37" i="3"/>
  <c r="BO129" i="1"/>
  <c r="BV81" i="3"/>
  <c r="BO63" i="1"/>
  <c r="BV76" i="3"/>
  <c r="BV114" i="3"/>
  <c r="BV154" i="3"/>
  <c r="BV147" i="3"/>
  <c r="BV131" i="3"/>
  <c r="BV65" i="3"/>
  <c r="BO128" i="1"/>
  <c r="BO55" i="1"/>
  <c r="BV112" i="3"/>
  <c r="BO123" i="1"/>
  <c r="BO117" i="1"/>
  <c r="BV122" i="3"/>
  <c r="BO79" i="1"/>
  <c r="BV123" i="3"/>
  <c r="BV152" i="3"/>
  <c r="BV93" i="3"/>
  <c r="BV72" i="3"/>
  <c r="BO53" i="1"/>
  <c r="BO60" i="1"/>
  <c r="BV49" i="3"/>
  <c r="BV161" i="3"/>
  <c r="BO156" i="1"/>
  <c r="BO153" i="1"/>
  <c r="BO133" i="1"/>
  <c r="BV53" i="3"/>
  <c r="BV42" i="3"/>
  <c r="BO98" i="1"/>
  <c r="BO159" i="1"/>
  <c r="BV71" i="3"/>
  <c r="BO139" i="1"/>
  <c r="BO110" i="1"/>
  <c r="BV159" i="3"/>
  <c r="BO162" i="1"/>
  <c r="BO74" i="1"/>
  <c r="BO71" i="1"/>
  <c r="BV128" i="3"/>
  <c r="BO75" i="1"/>
  <c r="BV137" i="3"/>
  <c r="BO130" i="1"/>
  <c r="BO114" i="1"/>
  <c r="BO99" i="1"/>
  <c r="BO157" i="1"/>
  <c r="BO150" i="1"/>
  <c r="BO64" i="1"/>
  <c r="BV64" i="3"/>
  <c r="BO135" i="1"/>
  <c r="BV126" i="3"/>
  <c r="BO56" i="1"/>
  <c r="BO144" i="1"/>
  <c r="BV107" i="3"/>
  <c r="BO93" i="1"/>
  <c r="BV150" i="3"/>
  <c r="BV143" i="3"/>
  <c r="BV57" i="3"/>
  <c r="BO49" i="1"/>
  <c r="BO78" i="1"/>
  <c r="BV86" i="3"/>
  <c r="BO166" i="1"/>
  <c r="BO168" i="1"/>
  <c r="BV67" i="3"/>
  <c r="BV149" i="3"/>
  <c r="BV68" i="3"/>
  <c r="BV132" i="3"/>
  <c r="BV146" i="3"/>
  <c r="BV46" i="3"/>
  <c r="BV103" i="3"/>
  <c r="BO102" i="1"/>
  <c r="BO80" i="1"/>
  <c r="BO127" i="1"/>
  <c r="BO101" i="1"/>
  <c r="BO97" i="1"/>
  <c r="BO96" i="1"/>
  <c r="BO140" i="1"/>
  <c r="BO165" i="1"/>
  <c r="BV155" i="3"/>
  <c r="BO124" i="1"/>
  <c r="BV156" i="3"/>
  <c r="BO155" i="1"/>
  <c r="BO126" i="1"/>
  <c r="BV129" i="3"/>
  <c r="BO118" i="1"/>
  <c r="BO148" i="1"/>
  <c r="BO51" i="1"/>
  <c r="BO76" i="1"/>
  <c r="BO87" i="1"/>
  <c r="BO167" i="1"/>
  <c r="BV148" i="3"/>
  <c r="BV119" i="3"/>
  <c r="BO69" i="1"/>
  <c r="BO108" i="1"/>
  <c r="BV145" i="3"/>
  <c r="BV144" i="3"/>
  <c r="BV111" i="3"/>
  <c r="BV141" i="3"/>
  <c r="BO116" i="1"/>
  <c r="BV34" i="3"/>
  <c r="BV69" i="3"/>
  <c r="BV80" i="3"/>
  <c r="BO122" i="1"/>
  <c r="BO81" i="1"/>
  <c r="BO113" i="1"/>
  <c r="BO50" i="1"/>
  <c r="BV109" i="3"/>
  <c r="BO52" i="1"/>
  <c r="BV117" i="3"/>
  <c r="BV44" i="3"/>
  <c r="BV92" i="3"/>
  <c r="BV101" i="3"/>
  <c r="BV41" i="3"/>
  <c r="BO45" i="1"/>
  <c r="BO160" i="1"/>
  <c r="BO94" i="1"/>
  <c r="BO73" i="1"/>
  <c r="BO90" i="1"/>
  <c r="BO164" i="1"/>
  <c r="BO91" i="1"/>
  <c r="BV62" i="3"/>
  <c r="BO149" i="1"/>
  <c r="BO54" i="1"/>
  <c r="BV74" i="3"/>
  <c r="BV106" i="3"/>
  <c r="BV43" i="3"/>
  <c r="BO95" i="1"/>
  <c r="BV45" i="3"/>
  <c r="BO115" i="1"/>
  <c r="BO163" i="1"/>
  <c r="BV38" i="3"/>
  <c r="BV153" i="3"/>
  <c r="BV87" i="3"/>
  <c r="BV66" i="3"/>
  <c r="BV83" i="3"/>
  <c r="BO151" i="1"/>
  <c r="BV157" i="3"/>
  <c r="BV84" i="3"/>
  <c r="BV142" i="3"/>
  <c r="BO136" i="1"/>
  <c r="BV47" i="3"/>
  <c r="BV108" i="3"/>
  <c r="BO109" i="1"/>
  <c r="BO41" i="1"/>
  <c r="BV125" i="3"/>
  <c r="BV120" i="3"/>
  <c r="BV90" i="3"/>
  <c r="BV89" i="3"/>
  <c r="BV96" i="3"/>
  <c r="BV160" i="3"/>
  <c r="BV73" i="3"/>
  <c r="BV94" i="3"/>
  <c r="BV158" i="3"/>
  <c r="BV58" i="3"/>
  <c r="BO137" i="1"/>
  <c r="BO104" i="1"/>
  <c r="BO66" i="1"/>
  <c r="BO158" i="1"/>
  <c r="BO47" i="1"/>
  <c r="BO46" i="1"/>
  <c r="BO112" i="1"/>
  <c r="BO67" i="1"/>
  <c r="BO131" i="1"/>
  <c r="BO57" i="1"/>
  <c r="BO61" i="1"/>
  <c r="BO125" i="1"/>
  <c r="BO68" i="1"/>
  <c r="BO105" i="1"/>
  <c r="BO145" i="1"/>
  <c r="BO42" i="1"/>
  <c r="BO106" i="1"/>
  <c r="BO92" i="1"/>
  <c r="BO43" i="1"/>
  <c r="BO107" i="1"/>
  <c r="BO171" i="1"/>
  <c r="BO70" i="1"/>
  <c r="BO170" i="1"/>
  <c r="BM34" i="1"/>
  <c r="E32" i="6"/>
  <c r="BV130" i="3"/>
  <c r="BV97" i="3"/>
  <c r="BV59" i="3"/>
  <c r="BV151" i="3"/>
  <c r="BV40" i="3"/>
  <c r="BV39" i="3"/>
  <c r="BV105" i="3"/>
  <c r="BV60" i="3"/>
  <c r="BV124" i="3"/>
  <c r="BV50" i="3"/>
  <c r="BV54" i="3"/>
  <c r="BV118" i="3"/>
  <c r="BV61" i="3"/>
  <c r="BV98" i="3"/>
  <c r="BV138" i="3"/>
  <c r="BV35" i="3"/>
  <c r="BV99" i="3"/>
  <c r="BV85" i="3"/>
  <c r="BV36" i="3"/>
  <c r="BV100" i="3"/>
  <c r="BV164" i="3"/>
  <c r="BV63" i="3"/>
  <c r="BV163" i="3"/>
  <c r="BM38" i="1"/>
  <c r="E36" i="6"/>
  <c r="BM37" i="1"/>
  <c r="E35" i="6"/>
  <c r="G40" i="6"/>
  <c r="BM28" i="1"/>
  <c r="E26" i="6"/>
  <c r="BM26" i="1"/>
  <c r="E24" i="6"/>
  <c r="BM21" i="1"/>
  <c r="E19" i="6"/>
  <c r="BM29" i="1"/>
  <c r="E27" i="6"/>
  <c r="BM33" i="1"/>
  <c r="E31" i="6"/>
  <c r="BM31" i="1"/>
  <c r="E29" i="6"/>
  <c r="BM25" i="1"/>
  <c r="E23" i="6"/>
  <c r="BM24" i="1"/>
  <c r="E22" i="6"/>
  <c r="BM22" i="1"/>
  <c r="E20" i="6"/>
  <c r="BM20" i="1"/>
  <c r="E18" i="6"/>
  <c r="BM27" i="1"/>
  <c r="E25" i="6"/>
  <c r="BM23" i="1"/>
  <c r="E21" i="6"/>
  <c r="BM32" i="1"/>
  <c r="E30" i="6"/>
  <c r="BM36" i="1"/>
  <c r="E34" i="6"/>
  <c r="BM30" i="1"/>
  <c r="E28" i="6"/>
  <c r="BU4" i="3"/>
  <c r="BN11" i="1"/>
  <c r="D4" i="2" s="1"/>
  <c r="E12" i="10"/>
  <c r="BM14" i="1"/>
  <c r="E12" i="6"/>
  <c r="BM16" i="1"/>
  <c r="E14" i="6"/>
  <c r="BM18" i="1"/>
  <c r="E16" i="6"/>
  <c r="BM19" i="1"/>
  <c r="E17" i="6"/>
  <c r="BM17" i="1"/>
  <c r="E15" i="6"/>
  <c r="BM13" i="1"/>
  <c r="E11" i="6"/>
  <c r="BM12" i="1"/>
  <c r="E10" i="6"/>
  <c r="BM11" i="1"/>
  <c r="BM10" i="1"/>
  <c r="BU3" i="3"/>
  <c r="F3" i="10"/>
  <c r="F5" i="10"/>
  <c r="F4" i="10"/>
  <c r="BU21" i="3"/>
  <c r="E29" i="10"/>
  <c r="BN28" i="1"/>
  <c r="D21" i="2" s="1"/>
  <c r="BU5" i="3"/>
  <c r="G10" i="6" s="1"/>
  <c r="E13" i="10"/>
  <c r="BN12" i="1"/>
  <c r="D5" i="2" s="1"/>
  <c r="BU11" i="3"/>
  <c r="E19" i="10"/>
  <c r="BN18" i="1"/>
  <c r="D11" i="2" s="1"/>
  <c r="BU27" i="3"/>
  <c r="G32" i="6" s="1"/>
  <c r="E35" i="10"/>
  <c r="BN34" i="1"/>
  <c r="D27" i="2" s="1"/>
  <c r="BU13" i="3"/>
  <c r="E21" i="10"/>
  <c r="BN20" i="1"/>
  <c r="D13" i="2" s="1"/>
  <c r="BU14" i="3"/>
  <c r="G19" i="6" s="1"/>
  <c r="E22" i="10"/>
  <c r="BN21" i="1"/>
  <c r="D14" i="2" s="1"/>
  <c r="BU18" i="3"/>
  <c r="E26" i="10"/>
  <c r="BN25" i="1"/>
  <c r="D18" i="2" s="1"/>
  <c r="BU6" i="3"/>
  <c r="E14" i="10"/>
  <c r="BN13" i="1"/>
  <c r="D6" i="2" s="1"/>
  <c r="BU32" i="3"/>
  <c r="E40" i="10"/>
  <c r="BN39" i="1"/>
  <c r="D32" i="2" s="1"/>
  <c r="BU22" i="3"/>
  <c r="E30" i="10"/>
  <c r="BN29" i="1"/>
  <c r="D22" i="2" s="1"/>
  <c r="BU15" i="3"/>
  <c r="E23" i="10"/>
  <c r="BN22" i="1"/>
  <c r="D15" i="2" s="1"/>
  <c r="BU17" i="3"/>
  <c r="E25" i="10"/>
  <c r="BN24" i="1"/>
  <c r="D17" i="2" s="1"/>
  <c r="BU23" i="3"/>
  <c r="E31" i="10"/>
  <c r="BN30" i="1"/>
  <c r="D23" i="2" s="1"/>
  <c r="BU25" i="3"/>
  <c r="G30" i="6" s="1"/>
  <c r="E33" i="10"/>
  <c r="BN32" i="1"/>
  <c r="D25" i="2" s="1"/>
  <c r="BU9" i="3"/>
  <c r="E17" i="10"/>
  <c r="BN16" i="1"/>
  <c r="D9" i="2" s="1"/>
  <c r="BU19" i="3"/>
  <c r="G24" i="6" s="1"/>
  <c r="E27" i="10"/>
  <c r="BN26" i="1"/>
  <c r="D19" i="2" s="1"/>
  <c r="BU10" i="3"/>
  <c r="E18" i="10"/>
  <c r="BN17" i="1"/>
  <c r="D10" i="2" s="1"/>
  <c r="BU16" i="3"/>
  <c r="G21" i="6" s="1"/>
  <c r="E24" i="10"/>
  <c r="BN23" i="1"/>
  <c r="D16" i="2" s="1"/>
  <c r="BU20" i="3"/>
  <c r="E28" i="10"/>
  <c r="BN27" i="1"/>
  <c r="D20" i="2" s="1"/>
  <c r="BU24" i="3"/>
  <c r="G29" i="6" s="1"/>
  <c r="E32" i="10"/>
  <c r="BN31" i="1"/>
  <c r="D24" i="2" s="1"/>
  <c r="BU26" i="3"/>
  <c r="E34" i="10"/>
  <c r="BN33" i="1"/>
  <c r="D26" i="2" s="1"/>
  <c r="BU8" i="3"/>
  <c r="G13" i="6" s="1"/>
  <c r="E16" i="10"/>
  <c r="BN15" i="1"/>
  <c r="D8" i="2" s="1"/>
  <c r="BU28" i="3"/>
  <c r="E36" i="10"/>
  <c r="BN35" i="1"/>
  <c r="D28" i="2" s="1"/>
  <c r="BU30" i="3"/>
  <c r="E38" i="10"/>
  <c r="BN37" i="1"/>
  <c r="D30" i="2" s="1"/>
  <c r="BU12" i="3"/>
  <c r="E20" i="10"/>
  <c r="BN19" i="1"/>
  <c r="D12" i="2" s="1"/>
  <c r="BU29" i="3"/>
  <c r="E37" i="10"/>
  <c r="BN36" i="1"/>
  <c r="D29" i="2" s="1"/>
  <c r="BU33" i="3"/>
  <c r="E41" i="10"/>
  <c r="BN40" i="1"/>
  <c r="D33" i="2" s="1"/>
  <c r="BU31" i="3"/>
  <c r="E39" i="10"/>
  <c r="BN38" i="1"/>
  <c r="D31" i="2" s="1"/>
  <c r="BU7" i="3"/>
  <c r="E15" i="10"/>
  <c r="BN14" i="1"/>
  <c r="D7" i="2" s="1"/>
  <c r="D3" i="2"/>
  <c r="E11" i="10"/>
  <c r="D3" i="10"/>
  <c r="D4" i="10"/>
  <c r="BV18" i="3"/>
  <c r="BO25" i="1"/>
  <c r="BV6" i="3"/>
  <c r="BO13" i="1"/>
  <c r="BV32" i="3"/>
  <c r="BO39" i="1"/>
  <c r="BV22" i="3"/>
  <c r="BO29" i="1"/>
  <c r="BV4" i="3"/>
  <c r="BO11" i="1"/>
  <c r="BV14" i="3"/>
  <c r="BO21" i="1"/>
  <c r="BV21" i="3"/>
  <c r="BO28" i="1"/>
  <c r="BV11" i="3"/>
  <c r="BO18" i="1"/>
  <c r="BV27" i="3"/>
  <c r="BO34" i="1"/>
  <c r="BV13" i="3"/>
  <c r="BO20" i="1"/>
  <c r="BV29" i="3"/>
  <c r="BO36" i="1"/>
  <c r="BV33" i="3"/>
  <c r="BO40" i="1"/>
  <c r="BV31" i="3"/>
  <c r="BO38" i="1"/>
  <c r="BV7" i="3"/>
  <c r="BO14" i="1"/>
  <c r="BV5" i="3"/>
  <c r="BO12" i="1"/>
  <c r="BV24" i="3"/>
  <c r="BO31" i="1"/>
  <c r="BV26" i="3"/>
  <c r="BO33" i="1"/>
  <c r="BV8" i="3"/>
  <c r="BO15" i="1"/>
  <c r="BV28" i="3"/>
  <c r="BO35" i="1"/>
  <c r="BV30" i="3"/>
  <c r="BO37" i="1"/>
  <c r="BV12" i="3"/>
  <c r="BO19" i="1"/>
  <c r="BV10" i="3"/>
  <c r="BO17" i="1"/>
  <c r="BV16" i="3"/>
  <c r="BO23" i="1"/>
  <c r="BV20" i="3"/>
  <c r="BO27" i="1"/>
  <c r="BV25" i="3"/>
  <c r="BO32" i="1"/>
  <c r="BV9" i="3"/>
  <c r="BO16" i="1"/>
  <c r="BV19" i="3"/>
  <c r="BO26" i="1"/>
  <c r="BV3" i="3"/>
  <c r="BO10" i="1"/>
  <c r="BV15" i="3"/>
  <c r="BO22" i="1"/>
  <c r="BV17" i="3"/>
  <c r="BO24" i="1"/>
  <c r="BV23" i="3"/>
  <c r="BO30" i="1"/>
  <c r="S8" i="4"/>
  <c r="S10" i="4"/>
  <c r="S14" i="4" l="1"/>
  <c r="S18" i="4" s="1"/>
  <c r="G35" i="6"/>
  <c r="G17" i="6"/>
  <c r="G15" i="6"/>
  <c r="G37" i="6"/>
  <c r="G38" i="6"/>
  <c r="G20" i="6"/>
  <c r="G23" i="6"/>
  <c r="L17" i="5"/>
  <c r="G34" i="6"/>
  <c r="G27" i="6"/>
  <c r="L16" i="5"/>
  <c r="G33" i="6"/>
  <c r="G25" i="6"/>
  <c r="G36" i="6"/>
  <c r="G22" i="6"/>
  <c r="G11" i="6"/>
  <c r="G14" i="6"/>
  <c r="G16" i="6"/>
  <c r="G31" i="6"/>
  <c r="G28" i="6"/>
  <c r="G18" i="6"/>
  <c r="G26" i="6"/>
  <c r="L5" i="5"/>
  <c r="L4" i="5"/>
  <c r="E5" i="10"/>
  <c r="S20" i="4" s="1"/>
  <c r="E6" i="10"/>
  <c r="E7" i="10"/>
  <c r="G12" i="6"/>
  <c r="S12" i="4"/>
  <c r="S16" i="4" s="1"/>
  <c r="E3" i="10"/>
  <c r="E4" i="10"/>
  <c r="F7" i="10"/>
  <c r="F6" i="10"/>
  <c r="L6" i="5" l="1"/>
  <c r="L8" i="5" s="1"/>
  <c r="L7" i="5"/>
  <c r="L18" i="5"/>
  <c r="L20" i="5" s="1"/>
  <c r="L19" i="5"/>
  <c r="E8" i="10"/>
  <c r="F8" i="10"/>
  <c r="L9" i="5" l="1"/>
  <c r="L21" i="5"/>
  <c r="BT3" i="3" s="1"/>
  <c r="BP10" i="1" l="1"/>
  <c r="F3" i="2" s="1"/>
  <c r="H11" i="10"/>
  <c r="BT182" i="3"/>
  <c r="BT175" i="3"/>
  <c r="BT179" i="3"/>
  <c r="BT164" i="3"/>
  <c r="BT186" i="3"/>
  <c r="BT168" i="3"/>
  <c r="BT181" i="3"/>
  <c r="BT176" i="3"/>
  <c r="BT171" i="3"/>
  <c r="BT166" i="3"/>
  <c r="BT180" i="3"/>
  <c r="BT165" i="3"/>
  <c r="BT184" i="3"/>
  <c r="BT169" i="3"/>
  <c r="BT174" i="3"/>
  <c r="BT183" i="3"/>
  <c r="BT177" i="3"/>
  <c r="BT173" i="3"/>
  <c r="BT162" i="3"/>
  <c r="BT187" i="3"/>
  <c r="BT185" i="3"/>
  <c r="BT172" i="3"/>
  <c r="BT163" i="3"/>
  <c r="BT170" i="3"/>
  <c r="BT160" i="3"/>
  <c r="BT167" i="3"/>
  <c r="BT161" i="3"/>
  <c r="BT178" i="3"/>
  <c r="BT7" i="3"/>
  <c r="BT11" i="3"/>
  <c r="BT15" i="3"/>
  <c r="BT19" i="3"/>
  <c r="BT23" i="3"/>
  <c r="BT27" i="3"/>
  <c r="BT31" i="3"/>
  <c r="BT35" i="3"/>
  <c r="BT39" i="3"/>
  <c r="BT43" i="3"/>
  <c r="BT47" i="3"/>
  <c r="BT51" i="3"/>
  <c r="BT55" i="3"/>
  <c r="BT59" i="3"/>
  <c r="BT63" i="3"/>
  <c r="BT67" i="3"/>
  <c r="BT71" i="3"/>
  <c r="BT75" i="3"/>
  <c r="BT79" i="3"/>
  <c r="BT83" i="3"/>
  <c r="BT87" i="3"/>
  <c r="BT91" i="3"/>
  <c r="BT95" i="3"/>
  <c r="BT99" i="3"/>
  <c r="BT103" i="3"/>
  <c r="BT107" i="3"/>
  <c r="BT111" i="3"/>
  <c r="BT115" i="3"/>
  <c r="BT119" i="3"/>
  <c r="BT123" i="3"/>
  <c r="BT127" i="3"/>
  <c r="BT131" i="3"/>
  <c r="BT135" i="3"/>
  <c r="BT139" i="3"/>
  <c r="BT143" i="3"/>
  <c r="BT147" i="3"/>
  <c r="BT151" i="3"/>
  <c r="BT155" i="3"/>
  <c r="BT159" i="3"/>
  <c r="BT14" i="3"/>
  <c r="BT18" i="3"/>
  <c r="BT30" i="3"/>
  <c r="BT42" i="3"/>
  <c r="BT54" i="3"/>
  <c r="BT66" i="3"/>
  <c r="BT78" i="3"/>
  <c r="BT94" i="3"/>
  <c r="BT106" i="3"/>
  <c r="BT118" i="3"/>
  <c r="BT130" i="3"/>
  <c r="BT142" i="3"/>
  <c r="BT154" i="3"/>
  <c r="BT4" i="3"/>
  <c r="BT8" i="3"/>
  <c r="BT12" i="3"/>
  <c r="BT16" i="3"/>
  <c r="BT20" i="3"/>
  <c r="BT24" i="3"/>
  <c r="BT28" i="3"/>
  <c r="BT32" i="3"/>
  <c r="BT36" i="3"/>
  <c r="BT40" i="3"/>
  <c r="BT44" i="3"/>
  <c r="BT48" i="3"/>
  <c r="BT52" i="3"/>
  <c r="BT56" i="3"/>
  <c r="BT60" i="3"/>
  <c r="BT64" i="3"/>
  <c r="BT68" i="3"/>
  <c r="BT72" i="3"/>
  <c r="BT76" i="3"/>
  <c r="BT80" i="3"/>
  <c r="BT84" i="3"/>
  <c r="BT88" i="3"/>
  <c r="BT92" i="3"/>
  <c r="BT96" i="3"/>
  <c r="BT100" i="3"/>
  <c r="BT104" i="3"/>
  <c r="BT108" i="3"/>
  <c r="BT112" i="3"/>
  <c r="BT116" i="3"/>
  <c r="BT120" i="3"/>
  <c r="BT124" i="3"/>
  <c r="BT128" i="3"/>
  <c r="BT132" i="3"/>
  <c r="BT136" i="3"/>
  <c r="BT140" i="3"/>
  <c r="BT144" i="3"/>
  <c r="BT148" i="3"/>
  <c r="BT152" i="3"/>
  <c r="BT156" i="3"/>
  <c r="BT10" i="3"/>
  <c r="BT26" i="3"/>
  <c r="BT38" i="3"/>
  <c r="BT50" i="3"/>
  <c r="BT62" i="3"/>
  <c r="BT74" i="3"/>
  <c r="BT86" i="3"/>
  <c r="BT98" i="3"/>
  <c r="BT110" i="3"/>
  <c r="BT122" i="3"/>
  <c r="BT134" i="3"/>
  <c r="BT146" i="3"/>
  <c r="BT158" i="3"/>
  <c r="BT5" i="3"/>
  <c r="BT9" i="3"/>
  <c r="BT13" i="3"/>
  <c r="BT17" i="3"/>
  <c r="BT21" i="3"/>
  <c r="BT25" i="3"/>
  <c r="BT29" i="3"/>
  <c r="BT33" i="3"/>
  <c r="BT37" i="3"/>
  <c r="BT41" i="3"/>
  <c r="BT45" i="3"/>
  <c r="BT49" i="3"/>
  <c r="BT53" i="3"/>
  <c r="BT57" i="3"/>
  <c r="BT61" i="3"/>
  <c r="BT65" i="3"/>
  <c r="BT69" i="3"/>
  <c r="BT73" i="3"/>
  <c r="BT77" i="3"/>
  <c r="BT81" i="3"/>
  <c r="BT85" i="3"/>
  <c r="BT89" i="3"/>
  <c r="BT93" i="3"/>
  <c r="BT97" i="3"/>
  <c r="BT101" i="3"/>
  <c r="BT105" i="3"/>
  <c r="BT109" i="3"/>
  <c r="BT113" i="3"/>
  <c r="BT117" i="3"/>
  <c r="BT121" i="3"/>
  <c r="BT125" i="3"/>
  <c r="BT129" i="3"/>
  <c r="BT133" i="3"/>
  <c r="BT137" i="3"/>
  <c r="BT141" i="3"/>
  <c r="BT145" i="3"/>
  <c r="BT149" i="3"/>
  <c r="BT153" i="3"/>
  <c r="BT157" i="3"/>
  <c r="BT6" i="3"/>
  <c r="BT22" i="3"/>
  <c r="BT34" i="3"/>
  <c r="BT46" i="3"/>
  <c r="BT58" i="3"/>
  <c r="BT70" i="3"/>
  <c r="BT82" i="3"/>
  <c r="BT90" i="3"/>
  <c r="BT102" i="3"/>
  <c r="BT114" i="3"/>
  <c r="BT126" i="3"/>
  <c r="BT138" i="3"/>
  <c r="BT150" i="3"/>
  <c r="BP73" i="1"/>
  <c r="F66" i="2" s="1"/>
  <c r="BP50" i="1"/>
  <c r="F43" i="2" s="1"/>
  <c r="BP170" i="1"/>
  <c r="F163" i="2" s="1"/>
  <c r="H110" i="10" l="1"/>
  <c r="G111" i="13"/>
  <c r="H66" i="10"/>
  <c r="G67" i="13"/>
  <c r="H153" i="10"/>
  <c r="G154" i="13"/>
  <c r="H137" i="10"/>
  <c r="G138" i="13"/>
  <c r="H105" i="10"/>
  <c r="G106" i="13"/>
  <c r="H89" i="10"/>
  <c r="G90" i="13"/>
  <c r="H57" i="10"/>
  <c r="G58" i="13"/>
  <c r="H25" i="10"/>
  <c r="G26" i="13"/>
  <c r="H118" i="10"/>
  <c r="G119" i="13"/>
  <c r="H18" i="10"/>
  <c r="G19" i="13"/>
  <c r="H152" i="10"/>
  <c r="G153" i="13"/>
  <c r="H120" i="10"/>
  <c r="G121" i="13"/>
  <c r="H88" i="10"/>
  <c r="G89" i="13"/>
  <c r="H56" i="10"/>
  <c r="G57" i="13"/>
  <c r="H24" i="10"/>
  <c r="G25" i="13"/>
  <c r="H114" i="10"/>
  <c r="G115" i="13"/>
  <c r="H62" i="10"/>
  <c r="G63" i="13"/>
  <c r="H155" i="10"/>
  <c r="G156" i="13"/>
  <c r="H123" i="10"/>
  <c r="G124" i="13"/>
  <c r="H59" i="10"/>
  <c r="G60" i="13"/>
  <c r="H146" i="10"/>
  <c r="G147" i="13"/>
  <c r="H98" i="10"/>
  <c r="G99" i="13"/>
  <c r="H54" i="10"/>
  <c r="G55" i="13"/>
  <c r="H165" i="10"/>
  <c r="G166" i="13"/>
  <c r="H149" i="10"/>
  <c r="G150" i="13"/>
  <c r="H133" i="10"/>
  <c r="G134" i="13"/>
  <c r="H117" i="10"/>
  <c r="G118" i="13"/>
  <c r="H101" i="10"/>
  <c r="G102" i="13"/>
  <c r="H85" i="10"/>
  <c r="G86" i="13"/>
  <c r="H69" i="10"/>
  <c r="G70" i="13"/>
  <c r="H53" i="10"/>
  <c r="G54" i="13"/>
  <c r="H37" i="10"/>
  <c r="G38" i="13"/>
  <c r="H21" i="10"/>
  <c r="G22" i="13"/>
  <c r="H154" i="10"/>
  <c r="G155" i="13"/>
  <c r="H106" i="10"/>
  <c r="G107" i="13"/>
  <c r="H58" i="10"/>
  <c r="G59" i="13"/>
  <c r="H164" i="10"/>
  <c r="G165" i="13"/>
  <c r="H148" i="10"/>
  <c r="G149" i="13"/>
  <c r="H132" i="10"/>
  <c r="G133" i="13"/>
  <c r="H116" i="10"/>
  <c r="G117" i="13"/>
  <c r="H100" i="10"/>
  <c r="G101" i="13"/>
  <c r="H84" i="10"/>
  <c r="G85" i="13"/>
  <c r="H68" i="10"/>
  <c r="G69" i="13"/>
  <c r="H52" i="10"/>
  <c r="G53" i="13"/>
  <c r="H36" i="10"/>
  <c r="G37" i="13"/>
  <c r="H20" i="10"/>
  <c r="G21" i="13"/>
  <c r="H150" i="10"/>
  <c r="G151" i="13"/>
  <c r="H102" i="10"/>
  <c r="G103" i="13"/>
  <c r="H50" i="10"/>
  <c r="G51" i="13"/>
  <c r="H167" i="10"/>
  <c r="G168" i="13"/>
  <c r="H151" i="10"/>
  <c r="G152" i="13"/>
  <c r="H135" i="10"/>
  <c r="G136" i="13"/>
  <c r="H119" i="10"/>
  <c r="G120" i="13"/>
  <c r="H103" i="10"/>
  <c r="G104" i="13"/>
  <c r="H87" i="10"/>
  <c r="G88" i="13"/>
  <c r="H71" i="10"/>
  <c r="G72" i="13"/>
  <c r="H55" i="10"/>
  <c r="G56" i="13"/>
  <c r="H39" i="10"/>
  <c r="G40" i="13"/>
  <c r="H23" i="10"/>
  <c r="G24" i="13"/>
  <c r="H169" i="10"/>
  <c r="G170" i="13"/>
  <c r="H171" i="10"/>
  <c r="G172" i="13"/>
  <c r="H170" i="10"/>
  <c r="G171" i="13"/>
  <c r="H182" i="10"/>
  <c r="G183" i="13"/>
  <c r="H188" i="10"/>
  <c r="G189" i="13"/>
  <c r="H189" i="10"/>
  <c r="G190" i="13"/>
  <c r="H187" i="10"/>
  <c r="G188" i="13"/>
  <c r="H134" i="10"/>
  <c r="G135" i="13"/>
  <c r="H42" i="10"/>
  <c r="G43" i="13"/>
  <c r="H129" i="10"/>
  <c r="G130" i="13"/>
  <c r="H97" i="10"/>
  <c r="G98" i="13"/>
  <c r="H49" i="10"/>
  <c r="G50" i="13"/>
  <c r="H17" i="10"/>
  <c r="G18" i="13"/>
  <c r="H94" i="10"/>
  <c r="G95" i="13"/>
  <c r="H160" i="10"/>
  <c r="G161" i="13"/>
  <c r="H112" i="10"/>
  <c r="G113" i="13"/>
  <c r="H64" i="10"/>
  <c r="G65" i="13"/>
  <c r="H16" i="10"/>
  <c r="G17" i="13"/>
  <c r="H38" i="10"/>
  <c r="G39" i="13"/>
  <c r="H147" i="10"/>
  <c r="G148" i="13"/>
  <c r="H115" i="10"/>
  <c r="G116" i="13"/>
  <c r="H99" i="10"/>
  <c r="G100" i="13"/>
  <c r="H83" i="10"/>
  <c r="G84" i="13"/>
  <c r="H51" i="10"/>
  <c r="G52" i="13"/>
  <c r="H35" i="10"/>
  <c r="G36" i="13"/>
  <c r="H19" i="10"/>
  <c r="G20" i="13"/>
  <c r="H175" i="10"/>
  <c r="G176" i="13"/>
  <c r="H180" i="10"/>
  <c r="G181" i="13"/>
  <c r="H181" i="10"/>
  <c r="G182" i="13"/>
  <c r="H177" i="10"/>
  <c r="G178" i="13"/>
  <c r="H174" i="10"/>
  <c r="G175" i="13"/>
  <c r="H176" i="10"/>
  <c r="G177" i="13"/>
  <c r="H183" i="10"/>
  <c r="G184" i="13"/>
  <c r="H90" i="10"/>
  <c r="G91" i="13"/>
  <c r="H161" i="10"/>
  <c r="G162" i="13"/>
  <c r="H145" i="10"/>
  <c r="G146" i="13"/>
  <c r="H113" i="10"/>
  <c r="G114" i="13"/>
  <c r="H81" i="10"/>
  <c r="G82" i="13"/>
  <c r="H65" i="10"/>
  <c r="G66" i="13"/>
  <c r="H33" i="10"/>
  <c r="G34" i="13"/>
  <c r="H142" i="10"/>
  <c r="G143" i="13"/>
  <c r="H46" i="10"/>
  <c r="G47" i="13"/>
  <c r="H144" i="10"/>
  <c r="G145" i="13"/>
  <c r="H128" i="10"/>
  <c r="G129" i="13"/>
  <c r="H96" i="10"/>
  <c r="G97" i="13"/>
  <c r="H80" i="10"/>
  <c r="G81" i="13"/>
  <c r="H48" i="10"/>
  <c r="G49" i="13"/>
  <c r="H32" i="10"/>
  <c r="G33" i="13"/>
  <c r="H138" i="10"/>
  <c r="G139" i="13"/>
  <c r="H86" i="10"/>
  <c r="G87" i="13"/>
  <c r="H163" i="10"/>
  <c r="G164" i="13"/>
  <c r="H131" i="10"/>
  <c r="G132" i="13"/>
  <c r="H67" i="10"/>
  <c r="G68" i="13"/>
  <c r="H122" i="10"/>
  <c r="G123" i="13"/>
  <c r="H78" i="10"/>
  <c r="G79" i="13"/>
  <c r="H30" i="10"/>
  <c r="G31" i="13"/>
  <c r="H157" i="10"/>
  <c r="G158" i="13"/>
  <c r="H141" i="10"/>
  <c r="G142" i="13"/>
  <c r="H125" i="10"/>
  <c r="G126" i="13"/>
  <c r="H109" i="10"/>
  <c r="G110" i="13"/>
  <c r="H93" i="10"/>
  <c r="G94" i="13"/>
  <c r="H77" i="10"/>
  <c r="G78" i="13"/>
  <c r="H61" i="10"/>
  <c r="G62" i="13"/>
  <c r="H45" i="10"/>
  <c r="G46" i="13"/>
  <c r="H29" i="10"/>
  <c r="G30" i="13"/>
  <c r="H13" i="10"/>
  <c r="G14" i="13"/>
  <c r="H130" i="10"/>
  <c r="G131" i="13"/>
  <c r="H82" i="10"/>
  <c r="G83" i="13"/>
  <c r="H34" i="10"/>
  <c r="G35" i="13"/>
  <c r="H156" i="10"/>
  <c r="G157" i="13"/>
  <c r="H140" i="10"/>
  <c r="G141" i="13"/>
  <c r="H124" i="10"/>
  <c r="G125" i="13"/>
  <c r="H108" i="10"/>
  <c r="G109" i="13"/>
  <c r="H92" i="10"/>
  <c r="G93" i="13"/>
  <c r="H76" i="10"/>
  <c r="G77" i="13"/>
  <c r="H60" i="10"/>
  <c r="G61" i="13"/>
  <c r="H44" i="10"/>
  <c r="G45" i="13"/>
  <c r="H28" i="10"/>
  <c r="G29" i="13"/>
  <c r="H12" i="10"/>
  <c r="G13" i="13"/>
  <c r="H126" i="10"/>
  <c r="G127" i="13"/>
  <c r="H74" i="10"/>
  <c r="G75" i="13"/>
  <c r="H26" i="10"/>
  <c r="G27" i="13"/>
  <c r="H159" i="10"/>
  <c r="G160" i="13"/>
  <c r="H143" i="10"/>
  <c r="G144" i="13"/>
  <c r="H127" i="10"/>
  <c r="G128" i="13"/>
  <c r="H111" i="10"/>
  <c r="G112" i="13"/>
  <c r="H95" i="10"/>
  <c r="G96" i="13"/>
  <c r="H79" i="10"/>
  <c r="G80" i="13"/>
  <c r="H63" i="10"/>
  <c r="G64" i="13"/>
  <c r="H47" i="10"/>
  <c r="G48" i="13"/>
  <c r="H31" i="10"/>
  <c r="G32" i="13"/>
  <c r="H15" i="10"/>
  <c r="G16" i="13"/>
  <c r="H168" i="10"/>
  <c r="G169" i="13"/>
  <c r="H193" i="10"/>
  <c r="G194" i="13"/>
  <c r="H185" i="10"/>
  <c r="G186" i="13"/>
  <c r="H192" i="10"/>
  <c r="G193" i="13"/>
  <c r="H179" i="10"/>
  <c r="G180" i="13"/>
  <c r="H194" i="10"/>
  <c r="G195" i="13"/>
  <c r="H190" i="10"/>
  <c r="G191" i="13"/>
  <c r="H158" i="10"/>
  <c r="G159" i="13"/>
  <c r="H14" i="10"/>
  <c r="G15" i="13"/>
  <c r="H121" i="10"/>
  <c r="G122" i="13"/>
  <c r="H73" i="10"/>
  <c r="G74" i="13"/>
  <c r="H41" i="10"/>
  <c r="G42" i="13"/>
  <c r="H166" i="10"/>
  <c r="G167" i="13"/>
  <c r="H70" i="10"/>
  <c r="G71" i="13"/>
  <c r="H136" i="10"/>
  <c r="G137" i="13"/>
  <c r="H104" i="10"/>
  <c r="G105" i="13"/>
  <c r="H72" i="10"/>
  <c r="G73" i="13"/>
  <c r="H40" i="10"/>
  <c r="G41" i="13"/>
  <c r="H162" i="10"/>
  <c r="G163" i="13"/>
  <c r="H22" i="10"/>
  <c r="G23" i="13"/>
  <c r="H139" i="10"/>
  <c r="G140" i="13"/>
  <c r="H107" i="10"/>
  <c r="G108" i="13"/>
  <c r="H91" i="10"/>
  <c r="G92" i="13"/>
  <c r="H75" i="10"/>
  <c r="G76" i="13"/>
  <c r="H43" i="10"/>
  <c r="G44" i="13"/>
  <c r="H27" i="10"/>
  <c r="G28" i="13"/>
  <c r="H186" i="10"/>
  <c r="G187" i="13"/>
  <c r="H178" i="10"/>
  <c r="G179" i="13"/>
  <c r="H195" i="10"/>
  <c r="G196" i="13"/>
  <c r="H191" i="10"/>
  <c r="G192" i="13"/>
  <c r="H173" i="10"/>
  <c r="G174" i="13"/>
  <c r="H184" i="10"/>
  <c r="G185" i="13"/>
  <c r="H172" i="10"/>
  <c r="G173" i="13"/>
  <c r="BX3" i="3"/>
  <c r="G12" i="13"/>
  <c r="BX137" i="3"/>
  <c r="BX57" i="3"/>
  <c r="BX25" i="3"/>
  <c r="BX134" i="3"/>
  <c r="BX86" i="3"/>
  <c r="BX136" i="3"/>
  <c r="BX88" i="3"/>
  <c r="BP47" i="1"/>
  <c r="F40" i="2" s="1"/>
  <c r="BX30" i="3"/>
  <c r="BX22" i="3"/>
  <c r="BX149" i="3"/>
  <c r="BX101" i="3"/>
  <c r="BX85" i="3"/>
  <c r="BX53" i="3"/>
  <c r="BP28" i="1"/>
  <c r="F21" i="2" s="1"/>
  <c r="BX5" i="3"/>
  <c r="BP27" i="1"/>
  <c r="F20" i="2" s="1"/>
  <c r="BP126" i="1"/>
  <c r="F119" i="2" s="1"/>
  <c r="BP62" i="1"/>
  <c r="F55" i="2" s="1"/>
  <c r="BP46" i="1"/>
  <c r="F39" i="2" s="1"/>
  <c r="BX23" i="3"/>
  <c r="BX7" i="3"/>
  <c r="BP193" i="1"/>
  <c r="F186" i="2" s="1"/>
  <c r="BX82" i="3"/>
  <c r="BX153" i="3"/>
  <c r="BX105" i="3"/>
  <c r="BX73" i="3"/>
  <c r="BX41" i="3"/>
  <c r="BP45" i="1"/>
  <c r="F38" i="2" s="1"/>
  <c r="BX120" i="3"/>
  <c r="BX56" i="3"/>
  <c r="BP15" i="1"/>
  <c r="F8" i="2" s="1"/>
  <c r="BX130" i="3"/>
  <c r="BP85" i="1"/>
  <c r="F78" i="2" s="1"/>
  <c r="BX155" i="3"/>
  <c r="BX123" i="3"/>
  <c r="BX91" i="3"/>
  <c r="BX27" i="3"/>
  <c r="BX49" i="3"/>
  <c r="BX17" i="3"/>
  <c r="BX64" i="3"/>
  <c r="BX32" i="3"/>
  <c r="BX16" i="3"/>
  <c r="BX54" i="3"/>
  <c r="BX14" i="3"/>
  <c r="BX19" i="3"/>
  <c r="BP171" i="1"/>
  <c r="F164" i="2" s="1"/>
  <c r="BX34" i="3"/>
  <c r="BP128" i="1"/>
  <c r="F121" i="2" s="1"/>
  <c r="BX89" i="3"/>
  <c r="BX9" i="3"/>
  <c r="BX104" i="3"/>
  <c r="BX72" i="3"/>
  <c r="BX24" i="3"/>
  <c r="BX107" i="3"/>
  <c r="BX75" i="3"/>
  <c r="BX59" i="3"/>
  <c r="BX11" i="3"/>
  <c r="BX175" i="3"/>
  <c r="BX141" i="3"/>
  <c r="BX93" i="3"/>
  <c r="BX61" i="3"/>
  <c r="BP20" i="1"/>
  <c r="F13" i="2" s="1"/>
  <c r="BX98" i="3"/>
  <c r="BP163" i="1"/>
  <c r="F156" i="2" s="1"/>
  <c r="BX140" i="3"/>
  <c r="BP83" i="1"/>
  <c r="F76" i="2" s="1"/>
  <c r="BX28" i="3"/>
  <c r="BX12" i="3"/>
  <c r="BX142" i="3"/>
  <c r="BX159" i="3"/>
  <c r="BX63" i="3"/>
  <c r="BX31" i="3"/>
  <c r="BX161" i="3"/>
  <c r="BX163" i="3"/>
  <c r="BX162" i="3"/>
  <c r="BP186" i="1"/>
  <c r="F179" i="2" s="1"/>
  <c r="BP189" i="1"/>
  <c r="F182" i="2" s="1"/>
  <c r="BP169" i="1"/>
  <c r="F162" i="2" s="1"/>
  <c r="BX182" i="3"/>
  <c r="BX186" i="3"/>
  <c r="BX179" i="3"/>
  <c r="BX168" i="3"/>
  <c r="BP175" i="1"/>
  <c r="F168" i="2" s="1"/>
  <c r="BP182" i="1"/>
  <c r="F175" i="2" s="1"/>
  <c r="BP168" i="1"/>
  <c r="F161" i="2" s="1"/>
  <c r="BP188" i="1"/>
  <c r="F181" i="2" s="1"/>
  <c r="BX181" i="3"/>
  <c r="BX164" i="3"/>
  <c r="BX160" i="3"/>
  <c r="BP167" i="1"/>
  <c r="F160" i="2" s="1"/>
  <c r="BX187" i="3"/>
  <c r="BP194" i="1"/>
  <c r="F187" i="2" s="1"/>
  <c r="BX183" i="3"/>
  <c r="BP190" i="1"/>
  <c r="F183" i="2" s="1"/>
  <c r="BX165" i="3"/>
  <c r="BP172" i="1"/>
  <c r="F165" i="2" s="1"/>
  <c r="BX176" i="3"/>
  <c r="BP183" i="1"/>
  <c r="F176" i="2" s="1"/>
  <c r="BX178" i="3"/>
  <c r="BP185" i="1"/>
  <c r="F178" i="2" s="1"/>
  <c r="BX170" i="3"/>
  <c r="BP177" i="1"/>
  <c r="F170" i="2" s="1"/>
  <c r="BX174" i="3"/>
  <c r="BP181" i="1"/>
  <c r="F174" i="2" s="1"/>
  <c r="BX180" i="3"/>
  <c r="BP187" i="1"/>
  <c r="F180" i="2" s="1"/>
  <c r="BX173" i="3"/>
  <c r="BP180" i="1"/>
  <c r="F173" i="2" s="1"/>
  <c r="BX169" i="3"/>
  <c r="BP176" i="1"/>
  <c r="F169" i="2" s="1"/>
  <c r="BX166" i="3"/>
  <c r="BP173" i="1"/>
  <c r="F166" i="2" s="1"/>
  <c r="BX167" i="3"/>
  <c r="BP174" i="1"/>
  <c r="F167" i="2" s="1"/>
  <c r="BX172" i="3"/>
  <c r="BP179" i="1"/>
  <c r="F172" i="2" s="1"/>
  <c r="BX185" i="3"/>
  <c r="BP192" i="1"/>
  <c r="F185" i="2" s="1"/>
  <c r="BX177" i="3"/>
  <c r="BP184" i="1"/>
  <c r="F177" i="2" s="1"/>
  <c r="BX184" i="3"/>
  <c r="BP191" i="1"/>
  <c r="F184" i="2" s="1"/>
  <c r="BX171" i="3"/>
  <c r="BP178" i="1"/>
  <c r="F171" i="2" s="1"/>
  <c r="BP30" i="1"/>
  <c r="F23" i="2" s="1"/>
  <c r="BP18" i="1"/>
  <c r="F11" i="2" s="1"/>
  <c r="BP31" i="1"/>
  <c r="F24" i="2" s="1"/>
  <c r="BP98" i="1"/>
  <c r="F91" i="2" s="1"/>
  <c r="BP114" i="1"/>
  <c r="F107" i="2" s="1"/>
  <c r="BP37" i="1"/>
  <c r="F30" i="2" s="1"/>
  <c r="BP127" i="1"/>
  <c r="F120" i="2" s="1"/>
  <c r="BP111" i="1"/>
  <c r="F104" i="2" s="1"/>
  <c r="BP34" i="1"/>
  <c r="F27" i="2" s="1"/>
  <c r="BP66" i="1"/>
  <c r="F59" i="2" s="1"/>
  <c r="BP80" i="1"/>
  <c r="F73" i="2" s="1"/>
  <c r="BP48" i="1"/>
  <c r="F41" i="2" s="1"/>
  <c r="BP96" i="1"/>
  <c r="F89" i="2" s="1"/>
  <c r="BP162" i="1"/>
  <c r="F155" i="2" s="1"/>
  <c r="BP137" i="1"/>
  <c r="F130" i="2" s="1"/>
  <c r="BP130" i="1"/>
  <c r="F123" i="2" s="1"/>
  <c r="BP82" i="1"/>
  <c r="F75" i="2" s="1"/>
  <c r="BP93" i="1"/>
  <c r="F86" i="2" s="1"/>
  <c r="BP64" i="1"/>
  <c r="F57" i="2" s="1"/>
  <c r="BP112" i="1"/>
  <c r="F105" i="2" s="1"/>
  <c r="BP95" i="1"/>
  <c r="F88" i="2" s="1"/>
  <c r="BP38" i="1"/>
  <c r="F31" i="2" s="1"/>
  <c r="BP32" i="1"/>
  <c r="F25" i="2" s="1"/>
  <c r="BP16" i="1"/>
  <c r="F9" i="2" s="1"/>
  <c r="BP141" i="1"/>
  <c r="F134" i="2" s="1"/>
  <c r="BP79" i="1"/>
  <c r="F72" i="2" s="1"/>
  <c r="BP143" i="1"/>
  <c r="F136" i="2" s="1"/>
  <c r="BP63" i="1"/>
  <c r="F56" i="2" s="1"/>
  <c r="BP89" i="1"/>
  <c r="F82" i="2" s="1"/>
  <c r="BP147" i="1"/>
  <c r="F140" i="2" s="1"/>
  <c r="BP100" i="1"/>
  <c r="F93" i="2" s="1"/>
  <c r="BP19" i="1"/>
  <c r="F12" i="2" s="1"/>
  <c r="BP144" i="1"/>
  <c r="F137" i="2" s="1"/>
  <c r="BP41" i="1"/>
  <c r="F34" i="2" s="1"/>
  <c r="BP160" i="1"/>
  <c r="F153" i="2" s="1"/>
  <c r="BX150" i="3"/>
  <c r="BP109" i="1"/>
  <c r="F102" i="2" s="1"/>
  <c r="BX102" i="3"/>
  <c r="BP65" i="1"/>
  <c r="F58" i="2" s="1"/>
  <c r="BX58" i="3"/>
  <c r="BP13" i="1"/>
  <c r="F6" i="2" s="1"/>
  <c r="BX6" i="3"/>
  <c r="BP152" i="1"/>
  <c r="F145" i="2" s="1"/>
  <c r="BX145" i="3"/>
  <c r="BX129" i="3"/>
  <c r="BX113" i="3"/>
  <c r="BX97" i="3"/>
  <c r="BP88" i="1"/>
  <c r="F81" i="2" s="1"/>
  <c r="BX81" i="3"/>
  <c r="BP72" i="1"/>
  <c r="F65" i="2" s="1"/>
  <c r="BX65" i="3"/>
  <c r="BP40" i="1"/>
  <c r="F33" i="2" s="1"/>
  <c r="BX33" i="3"/>
  <c r="BX158" i="3"/>
  <c r="BP117" i="1"/>
  <c r="F110" i="2" s="1"/>
  <c r="BX110" i="3"/>
  <c r="BX62" i="3"/>
  <c r="BX10" i="3"/>
  <c r="BX144" i="3"/>
  <c r="BP135" i="1"/>
  <c r="F128" i="2" s="1"/>
  <c r="BX128" i="3"/>
  <c r="BX112" i="3"/>
  <c r="BP103" i="1"/>
  <c r="F96" i="2" s="1"/>
  <c r="BX96" i="3"/>
  <c r="BP87" i="1"/>
  <c r="F80" i="2" s="1"/>
  <c r="BX80" i="3"/>
  <c r="BP55" i="1"/>
  <c r="F48" i="2" s="1"/>
  <c r="BX48" i="3"/>
  <c r="BX154" i="3"/>
  <c r="BP113" i="1"/>
  <c r="F106" i="2" s="1"/>
  <c r="BX106" i="3"/>
  <c r="BX147" i="3"/>
  <c r="BX131" i="3"/>
  <c r="BP122" i="1"/>
  <c r="F115" i="2" s="1"/>
  <c r="BX115" i="3"/>
  <c r="BP106" i="1"/>
  <c r="F99" i="2" s="1"/>
  <c r="BX99" i="3"/>
  <c r="BP90" i="1"/>
  <c r="F83" i="2" s="1"/>
  <c r="BX83" i="3"/>
  <c r="BX67" i="3"/>
  <c r="BX51" i="3"/>
  <c r="BX35" i="3"/>
  <c r="BP145" i="1"/>
  <c r="F138" i="2" s="1"/>
  <c r="BX138" i="3"/>
  <c r="BP97" i="1"/>
  <c r="F90" i="2" s="1"/>
  <c r="BX90" i="3"/>
  <c r="BX46" i="3"/>
  <c r="BP164" i="1"/>
  <c r="F157" i="2" s="1"/>
  <c r="BX157" i="3"/>
  <c r="BP132" i="1"/>
  <c r="F125" i="2" s="1"/>
  <c r="BX125" i="3"/>
  <c r="BP116" i="1"/>
  <c r="F109" i="2" s="1"/>
  <c r="BX109" i="3"/>
  <c r="BP84" i="1"/>
  <c r="F77" i="2" s="1"/>
  <c r="BX77" i="3"/>
  <c r="BX45" i="3"/>
  <c r="BX29" i="3"/>
  <c r="BX13" i="3"/>
  <c r="BP153" i="1"/>
  <c r="F146" i="2" s="1"/>
  <c r="BX146" i="3"/>
  <c r="BX50" i="3"/>
  <c r="BX156" i="3"/>
  <c r="BP131" i="1"/>
  <c r="F124" i="2" s="1"/>
  <c r="BX124" i="3"/>
  <c r="BP115" i="1"/>
  <c r="F108" i="2" s="1"/>
  <c r="BX108" i="3"/>
  <c r="BX92" i="3"/>
  <c r="BX76" i="3"/>
  <c r="BP67" i="1"/>
  <c r="F60" i="2" s="1"/>
  <c r="BX60" i="3"/>
  <c r="BP51" i="1"/>
  <c r="F44" i="2" s="1"/>
  <c r="BX44" i="3"/>
  <c r="BP101" i="1"/>
  <c r="F94" i="2" s="1"/>
  <c r="BX94" i="3"/>
  <c r="BP49" i="1"/>
  <c r="F42" i="2" s="1"/>
  <c r="BX42" i="3"/>
  <c r="BP150" i="1"/>
  <c r="F143" i="2" s="1"/>
  <c r="BX143" i="3"/>
  <c r="BP134" i="1"/>
  <c r="F127" i="2" s="1"/>
  <c r="BX127" i="3"/>
  <c r="BP118" i="1"/>
  <c r="F111" i="2" s="1"/>
  <c r="BX111" i="3"/>
  <c r="BX95" i="3"/>
  <c r="BX79" i="3"/>
  <c r="BX47" i="3"/>
  <c r="BP22" i="1"/>
  <c r="F15" i="2" s="1"/>
  <c r="BX15" i="3"/>
  <c r="BX126" i="3"/>
  <c r="BX121" i="3"/>
  <c r="BX38" i="3"/>
  <c r="BP159" i="1"/>
  <c r="F152" i="2" s="1"/>
  <c r="BX152" i="3"/>
  <c r="BX40" i="3"/>
  <c r="BX8" i="3"/>
  <c r="BX78" i="3"/>
  <c r="BP146" i="1"/>
  <c r="F139" i="2" s="1"/>
  <c r="BX139" i="3"/>
  <c r="BX43" i="3"/>
  <c r="BX114" i="3"/>
  <c r="BX70" i="3"/>
  <c r="BX133" i="3"/>
  <c r="BP124" i="1"/>
  <c r="F117" i="2" s="1"/>
  <c r="BX117" i="3"/>
  <c r="BX69" i="3"/>
  <c r="BP44" i="1"/>
  <c r="F37" i="2" s="1"/>
  <c r="BX37" i="3"/>
  <c r="BX21" i="3"/>
  <c r="BP129" i="1"/>
  <c r="F122" i="2" s="1"/>
  <c r="BX122" i="3"/>
  <c r="BP81" i="1"/>
  <c r="F74" i="2" s="1"/>
  <c r="BX74" i="3"/>
  <c r="BX26" i="3"/>
  <c r="BP155" i="1"/>
  <c r="F148" i="2" s="1"/>
  <c r="BX148" i="3"/>
  <c r="BP139" i="1"/>
  <c r="F132" i="2" s="1"/>
  <c r="BX132" i="3"/>
  <c r="BP123" i="1"/>
  <c r="F116" i="2" s="1"/>
  <c r="BX116" i="3"/>
  <c r="BP107" i="1"/>
  <c r="F100" i="2" s="1"/>
  <c r="BX100" i="3"/>
  <c r="BP91" i="1"/>
  <c r="F84" i="2" s="1"/>
  <c r="BX84" i="3"/>
  <c r="BX68" i="3"/>
  <c r="BX52" i="3"/>
  <c r="BP43" i="1"/>
  <c r="F36" i="2" s="1"/>
  <c r="BX36" i="3"/>
  <c r="BX20" i="3"/>
  <c r="BX4" i="3"/>
  <c r="BP125" i="1"/>
  <c r="F118" i="2" s="1"/>
  <c r="BX118" i="3"/>
  <c r="BX66" i="3"/>
  <c r="BP25" i="1"/>
  <c r="F18" i="2" s="1"/>
  <c r="BX18" i="3"/>
  <c r="BP158" i="1"/>
  <c r="F151" i="2" s="1"/>
  <c r="BX151" i="3"/>
  <c r="BP142" i="1"/>
  <c r="F135" i="2" s="1"/>
  <c r="BX135" i="3"/>
  <c r="BX119" i="3"/>
  <c r="BP110" i="1"/>
  <c r="F103" i="2" s="1"/>
  <c r="BX103" i="3"/>
  <c r="BP94" i="1"/>
  <c r="F87" i="2" s="1"/>
  <c r="BX87" i="3"/>
  <c r="BP78" i="1"/>
  <c r="F71" i="2" s="1"/>
  <c r="BX71" i="3"/>
  <c r="BX55" i="3"/>
  <c r="BX39" i="3"/>
  <c r="BP14" i="1"/>
  <c r="F7" i="2" s="1"/>
  <c r="BP59" i="1"/>
  <c r="F52" i="2" s="1"/>
  <c r="BP33" i="1"/>
  <c r="F26" i="2" s="1"/>
  <c r="BP75" i="1"/>
  <c r="F68" i="2" s="1"/>
  <c r="BP52" i="1"/>
  <c r="F45" i="2" s="1"/>
  <c r="BP105" i="1"/>
  <c r="F98" i="2" s="1"/>
  <c r="BP148" i="1"/>
  <c r="F141" i="2" s="1"/>
  <c r="BP53" i="1"/>
  <c r="F46" i="2" s="1"/>
  <c r="BP99" i="1"/>
  <c r="F92" i="2" s="1"/>
  <c r="BP149" i="1"/>
  <c r="F142" i="2" s="1"/>
  <c r="BP68" i="1"/>
  <c r="F61" i="2" s="1"/>
  <c r="BP36" i="1"/>
  <c r="F29" i="2" s="1"/>
  <c r="BP70" i="1"/>
  <c r="F63" i="2" s="1"/>
  <c r="BP57" i="1"/>
  <c r="F50" i="2" s="1"/>
  <c r="BP54" i="1"/>
  <c r="F47" i="2" s="1"/>
  <c r="BP102" i="1"/>
  <c r="F95" i="2" s="1"/>
  <c r="BP86" i="1"/>
  <c r="F79" i="2" s="1"/>
  <c r="BP166" i="1"/>
  <c r="F159" i="2" s="1"/>
  <c r="BP61" i="1"/>
  <c r="F54" i="2" s="1"/>
  <c r="BP119" i="1"/>
  <c r="F112" i="2" s="1"/>
  <c r="BP161" i="1"/>
  <c r="F154" i="2" s="1"/>
  <c r="BP121" i="1"/>
  <c r="F114" i="2" s="1"/>
  <c r="BP156" i="1"/>
  <c r="F149" i="2" s="1"/>
  <c r="BP76" i="1"/>
  <c r="F69" i="2" s="1"/>
  <c r="BP60" i="1"/>
  <c r="F53" i="2" s="1"/>
  <c r="BP69" i="1"/>
  <c r="F62" i="2" s="1"/>
  <c r="BP77" i="1"/>
  <c r="F70" i="2" s="1"/>
  <c r="BP140" i="1"/>
  <c r="F133" i="2" s="1"/>
  <c r="BP108" i="1"/>
  <c r="F101" i="2" s="1"/>
  <c r="BP56" i="1"/>
  <c r="F49" i="2" s="1"/>
  <c r="BP74" i="1"/>
  <c r="F67" i="2" s="1"/>
  <c r="BP58" i="1"/>
  <c r="F51" i="2" s="1"/>
  <c r="BP71" i="1"/>
  <c r="F64" i="2" s="1"/>
  <c r="W10" i="4"/>
  <c r="BP157" i="1"/>
  <c r="F150" i="2" s="1"/>
  <c r="BP23" i="1"/>
  <c r="F16" i="2" s="1"/>
  <c r="BP151" i="1"/>
  <c r="F144" i="2" s="1"/>
  <c r="BP165" i="1"/>
  <c r="F158" i="2" s="1"/>
  <c r="W12" i="4"/>
  <c r="BP29" i="1"/>
  <c r="F22" i="2" s="1"/>
  <c r="BP26" i="1"/>
  <c r="F19" i="2" s="1"/>
  <c r="BP104" i="1"/>
  <c r="F97" i="2" s="1"/>
  <c r="BP92" i="1"/>
  <c r="F85" i="2" s="1"/>
  <c r="BP138" i="1"/>
  <c r="F131" i="2" s="1"/>
  <c r="BP154" i="1"/>
  <c r="F147" i="2" s="1"/>
  <c r="BP42" i="1"/>
  <c r="F35" i="2" s="1"/>
  <c r="BP21" i="1"/>
  <c r="F14" i="2" s="1"/>
  <c r="BP39" i="1"/>
  <c r="F32" i="2" s="1"/>
  <c r="BP12" i="1"/>
  <c r="F5" i="2" s="1"/>
  <c r="BP24" i="1"/>
  <c r="F17" i="2" s="1"/>
  <c r="BP11" i="1"/>
  <c r="F4" i="2" s="1"/>
  <c r="BP17" i="1"/>
  <c r="F10" i="2" s="1"/>
  <c r="BP133" i="1"/>
  <c r="F126" i="2" s="1"/>
  <c r="BP120" i="1"/>
  <c r="F113" i="2" s="1"/>
  <c r="BP136" i="1"/>
  <c r="F129" i="2" s="1"/>
  <c r="BP35" i="1"/>
  <c r="F28" i="2" s="1"/>
  <c r="W16" i="4" l="1"/>
  <c r="W14" i="4"/>
  <c r="H7" i="10"/>
  <c r="H6" i="10"/>
  <c r="H4" i="10"/>
  <c r="H3" i="10"/>
  <c r="H5" i="10"/>
  <c r="W18" i="4" s="1"/>
  <c r="H8" i="10" l="1"/>
  <c r="AE11" i="13"/>
  <c r="AE15" i="13" l="1"/>
  <c r="AE19" i="13"/>
  <c r="AE23" i="13"/>
  <c r="AE27" i="13"/>
  <c r="AE31" i="13"/>
  <c r="AE35" i="13"/>
  <c r="AE39" i="13"/>
  <c r="AE43" i="13"/>
  <c r="AE47" i="13"/>
  <c r="AE51" i="13"/>
  <c r="AE55" i="13"/>
  <c r="AE59" i="13"/>
  <c r="AE63" i="13"/>
  <c r="AE67" i="13"/>
  <c r="AE20" i="13"/>
  <c r="AE24" i="13"/>
  <c r="AE32" i="13"/>
  <c r="AE36" i="13"/>
  <c r="AE48" i="13"/>
  <c r="AE56" i="13"/>
  <c r="AE64" i="13"/>
  <c r="AE14" i="13"/>
  <c r="AE18" i="13"/>
  <c r="AE22" i="13"/>
  <c r="AE26" i="13"/>
  <c r="AE30" i="13"/>
  <c r="AE34" i="13"/>
  <c r="AE38" i="13"/>
  <c r="AE42" i="13"/>
  <c r="AE46" i="13"/>
  <c r="AE50" i="13"/>
  <c r="AE54" i="13"/>
  <c r="AE58" i="13"/>
  <c r="AE62" i="13"/>
  <c r="AE66" i="13"/>
  <c r="AE28" i="13"/>
  <c r="AE40" i="13"/>
  <c r="AE44" i="13"/>
  <c r="AE52" i="13"/>
  <c r="AE60" i="13"/>
  <c r="AE12" i="13"/>
  <c r="AE13" i="13"/>
  <c r="AE17" i="13"/>
  <c r="AE21" i="13"/>
  <c r="AE25" i="13"/>
  <c r="AE29" i="13"/>
  <c r="AE33" i="13"/>
  <c r="AE37" i="13"/>
  <c r="AE41" i="13"/>
  <c r="AE45" i="13"/>
  <c r="AE49" i="13"/>
  <c r="AE53" i="13"/>
  <c r="AE57" i="13"/>
  <c r="AE61" i="13"/>
  <c r="AE65" i="13"/>
  <c r="AE16" i="13"/>
  <c r="AF11" i="13"/>
  <c r="AK43" i="13" l="1"/>
  <c r="AK20" i="13"/>
  <c r="AK53" i="13"/>
  <c r="AK48" i="13"/>
  <c r="AK30" i="13"/>
  <c r="AK51" i="13"/>
  <c r="AK21" i="13"/>
  <c r="AK65" i="13"/>
  <c r="AK42" i="13"/>
  <c r="AK12" i="13"/>
  <c r="AF66" i="13"/>
  <c r="AK66" i="13" s="1"/>
  <c r="AF50" i="13"/>
  <c r="AK50" i="13" s="1"/>
  <c r="AF34" i="13"/>
  <c r="AK34" i="13" s="1"/>
  <c r="AF18" i="13"/>
  <c r="AK18" i="13" s="1"/>
  <c r="AF53" i="13"/>
  <c r="AF37" i="13"/>
  <c r="AK37" i="13" s="1"/>
  <c r="AF21" i="13"/>
  <c r="AF64" i="13"/>
  <c r="AK64" i="13" s="1"/>
  <c r="AF48" i="13"/>
  <c r="AF32" i="13"/>
  <c r="AK32" i="13" s="1"/>
  <c r="AF16" i="13"/>
  <c r="AK16" i="13" s="1"/>
  <c r="AF55" i="13"/>
  <c r="AK55" i="13" s="1"/>
  <c r="AF39" i="13"/>
  <c r="AK39" i="13" s="1"/>
  <c r="AF23" i="13"/>
  <c r="AK23" i="13" s="1"/>
  <c r="AF12" i="13"/>
  <c r="AF62" i="13"/>
  <c r="AK62" i="13" s="1"/>
  <c r="AF46" i="13"/>
  <c r="AK46" i="13" s="1"/>
  <c r="AF30" i="13"/>
  <c r="AF65" i="13"/>
  <c r="AF49" i="13"/>
  <c r="AK49" i="13" s="1"/>
  <c r="AF33" i="13"/>
  <c r="AK33" i="13" s="1"/>
  <c r="AF17" i="13"/>
  <c r="AK17" i="13" s="1"/>
  <c r="AF60" i="13"/>
  <c r="AK60" i="13" s="1"/>
  <c r="AF44" i="13"/>
  <c r="AK44" i="13" s="1"/>
  <c r="AF28" i="13"/>
  <c r="AK28" i="13" s="1"/>
  <c r="AF67" i="13"/>
  <c r="AK67" i="13" s="1"/>
  <c r="AF51" i="13"/>
  <c r="AF35" i="13"/>
  <c r="AK35" i="13" s="1"/>
  <c r="AF19" i="13"/>
  <c r="AK19" i="13" s="1"/>
  <c r="AF58" i="13"/>
  <c r="AK58" i="13" s="1"/>
  <c r="AF42" i="13"/>
  <c r="AF26" i="13"/>
  <c r="AK26" i="13" s="1"/>
  <c r="AF61" i="13"/>
  <c r="AK61" i="13" s="1"/>
  <c r="AF45" i="13"/>
  <c r="AK45" i="13" s="1"/>
  <c r="AF29" i="13"/>
  <c r="AK29" i="13" s="1"/>
  <c r="AF13" i="13"/>
  <c r="AK13" i="13" s="1"/>
  <c r="AF56" i="13"/>
  <c r="AK56" i="13" s="1"/>
  <c r="AF40" i="13"/>
  <c r="AK40" i="13" s="1"/>
  <c r="AF24" i="13"/>
  <c r="AK24" i="13" s="1"/>
  <c r="AF63" i="13"/>
  <c r="AK63" i="13" s="1"/>
  <c r="AF47" i="13"/>
  <c r="AK47" i="13" s="1"/>
  <c r="AF31" i="13"/>
  <c r="AK31" i="13" s="1"/>
  <c r="AF15" i="13"/>
  <c r="AK15" i="13" s="1"/>
  <c r="AF54" i="13"/>
  <c r="AK54" i="13" s="1"/>
  <c r="AF38" i="13"/>
  <c r="AK38" i="13" s="1"/>
  <c r="AF22" i="13"/>
  <c r="AK22" i="13" s="1"/>
  <c r="AF57" i="13"/>
  <c r="AK57" i="13" s="1"/>
  <c r="AF41" i="13"/>
  <c r="AK41" i="13" s="1"/>
  <c r="AF25" i="13"/>
  <c r="AK25" i="13" s="1"/>
  <c r="AF14" i="13"/>
  <c r="AK14" i="13" s="1"/>
  <c r="AF52" i="13"/>
  <c r="AK52" i="13" s="1"/>
  <c r="AF36" i="13"/>
  <c r="AK36" i="13" s="1"/>
  <c r="AF20" i="13"/>
  <c r="AF59" i="13"/>
  <c r="AK59" i="13" s="1"/>
  <c r="AF43" i="13"/>
  <c r="AF27" i="13"/>
  <c r="AK27" i="13" s="1"/>
  <c r="AK1" i="13" l="1"/>
  <c r="AK3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Triyono</author>
  </authors>
  <commentList>
    <comment ref="D2" authorId="0" shapeId="0" xr:uid="{C0FA79E9-5E0A-43DB-ACDC-29D2B7C55036}">
      <text>
        <r>
          <rPr>
            <b/>
            <sz val="9"/>
            <color indexed="81"/>
            <rFont val="Tahoma"/>
            <family val="2"/>
          </rPr>
          <t>Muhammad Triyono:</t>
        </r>
        <r>
          <rPr>
            <sz val="9"/>
            <color indexed="81"/>
            <rFont val="Tahoma"/>
            <family val="2"/>
          </rPr>
          <t xml:space="preserve">
Untuk Mamasukkan Nilai Persen Silahkan Input Pada DATA Ujian %</t>
        </r>
      </text>
    </comment>
    <comment ref="E2" authorId="0" shapeId="0" xr:uid="{BF4F2DB5-9604-43F1-9FFC-29988936593F}">
      <text>
        <r>
          <rPr>
            <b/>
            <sz val="9"/>
            <color indexed="81"/>
            <rFont val="Tahoma"/>
            <family val="2"/>
          </rPr>
          <t>Muhammad Triyono:</t>
        </r>
        <r>
          <rPr>
            <sz val="9"/>
            <color indexed="81"/>
            <rFont val="Tahoma"/>
            <family val="2"/>
          </rPr>
          <t xml:space="preserve">
Untuk Mamasukkan Nilai Persen Silahkan Input Pada DATA Praktik %</t>
        </r>
      </text>
    </comment>
  </commentList>
</comments>
</file>

<file path=xl/sharedStrings.xml><?xml version="1.0" encoding="utf-8"?>
<sst xmlns="http://schemas.openxmlformats.org/spreadsheetml/2006/main" count="3193" uniqueCount="515">
  <si>
    <t>Asli</t>
  </si>
  <si>
    <t>Konversi</t>
  </si>
  <si>
    <t>Jumlah Soal</t>
  </si>
  <si>
    <t>Nilai Tertinggi</t>
  </si>
  <si>
    <t>Nilai Terendah</t>
  </si>
  <si>
    <t>selisih</t>
  </si>
  <si>
    <t>Median</t>
  </si>
  <si>
    <t>a</t>
  </si>
  <si>
    <t>b</t>
  </si>
  <si>
    <t>DAFTAR NILAI</t>
  </si>
  <si>
    <t>Nama Mapel</t>
  </si>
  <si>
    <t>Guru</t>
  </si>
  <si>
    <t>Kelas</t>
  </si>
  <si>
    <t>Tahun/Semester</t>
  </si>
  <si>
    <t>NO</t>
  </si>
  <si>
    <t>NIS</t>
  </si>
  <si>
    <t>Nama Siswa</t>
  </si>
  <si>
    <t>BENAR</t>
  </si>
  <si>
    <t>SALAH</t>
  </si>
  <si>
    <t>Nilai PAP</t>
  </si>
  <si>
    <t>Nilai PAN</t>
  </si>
  <si>
    <t>Nilai Konversi</t>
  </si>
  <si>
    <t>KETERANGAN</t>
  </si>
  <si>
    <t>E</t>
  </si>
  <si>
    <t>D</t>
  </si>
  <si>
    <t>B</t>
  </si>
  <si>
    <t>A</t>
  </si>
  <si>
    <t>C</t>
  </si>
  <si>
    <t>1  </t>
  </si>
  <si>
    <t>TUNTAS</t>
  </si>
  <si>
    <t>2  </t>
  </si>
  <si>
    <t>3  </t>
  </si>
  <si>
    <t>BELUM TUNTAS</t>
  </si>
  <si>
    <t>4  </t>
  </si>
  <si>
    <t>5  </t>
  </si>
  <si>
    <t>6  </t>
  </si>
  <si>
    <t>7  </t>
  </si>
  <si>
    <t>8  </t>
  </si>
  <si>
    <t>9  </t>
  </si>
  <si>
    <t>10  </t>
  </si>
  <si>
    <t>11  </t>
  </si>
  <si>
    <t>12  </t>
  </si>
  <si>
    <t>13  </t>
  </si>
  <si>
    <t>14  </t>
  </si>
  <si>
    <t>15  </t>
  </si>
  <si>
    <t>16  </t>
  </si>
  <si>
    <t>17  </t>
  </si>
  <si>
    <t>18  </t>
  </si>
  <si>
    <t>19  </t>
  </si>
  <si>
    <t>20  </t>
  </si>
  <si>
    <t>21  </t>
  </si>
  <si>
    <t>22  </t>
  </si>
  <si>
    <t>23  </t>
  </si>
  <si>
    <t>24  </t>
  </si>
  <si>
    <t>25  </t>
  </si>
  <si>
    <t>26  </t>
  </si>
  <si>
    <t>27  </t>
  </si>
  <si>
    <t>28  </t>
  </si>
  <si>
    <t>29  </t>
  </si>
  <si>
    <t>30  </t>
  </si>
  <si>
    <t>31  </t>
  </si>
  <si>
    <t>32  </t>
  </si>
  <si>
    <t>33  </t>
  </si>
  <si>
    <t>34  </t>
  </si>
  <si>
    <t>35  </t>
  </si>
  <si>
    <t>36  </t>
  </si>
  <si>
    <t>37  </t>
  </si>
  <si>
    <t>38  </t>
  </si>
  <si>
    <t>39  </t>
  </si>
  <si>
    <t>40  </t>
  </si>
  <si>
    <t>41  </t>
  </si>
  <si>
    <t>42  </t>
  </si>
  <si>
    <t>43  </t>
  </si>
  <si>
    <t>44  </t>
  </si>
  <si>
    <t>45  </t>
  </si>
  <si>
    <t>46  </t>
  </si>
  <si>
    <t>47  </t>
  </si>
  <si>
    <t>48  </t>
  </si>
  <si>
    <t>49  </t>
  </si>
  <si>
    <t>50  </t>
  </si>
  <si>
    <t>51  </t>
  </si>
  <si>
    <t>52  </t>
  </si>
  <si>
    <t>53  </t>
  </si>
  <si>
    <t>54  </t>
  </si>
  <si>
    <t>55  </t>
  </si>
  <si>
    <t>56  </t>
  </si>
  <si>
    <t>57  </t>
  </si>
  <si>
    <t>58  </t>
  </si>
  <si>
    <t>59  </t>
  </si>
  <si>
    <t>60  </t>
  </si>
  <si>
    <t>61  </t>
  </si>
  <si>
    <t>62  </t>
  </si>
  <si>
    <t>63  </t>
  </si>
  <si>
    <t>64  </t>
  </si>
  <si>
    <t>65  </t>
  </si>
  <si>
    <t>66  </t>
  </si>
  <si>
    <t>67  </t>
  </si>
  <si>
    <t>68  </t>
  </si>
  <si>
    <t>69  </t>
  </si>
  <si>
    <t>70  </t>
  </si>
  <si>
    <t>71  </t>
  </si>
  <si>
    <t>72  </t>
  </si>
  <si>
    <t>73  </t>
  </si>
  <si>
    <t>74  </t>
  </si>
  <si>
    <t>75  </t>
  </si>
  <si>
    <t>76  </t>
  </si>
  <si>
    <t>77  </t>
  </si>
  <si>
    <t>78  </t>
  </si>
  <si>
    <t>79  </t>
  </si>
  <si>
    <t>80  </t>
  </si>
  <si>
    <t>81  </t>
  </si>
  <si>
    <t>82  </t>
  </si>
  <si>
    <t>83  </t>
  </si>
  <si>
    <t>84  </t>
  </si>
  <si>
    <t>85  </t>
  </si>
  <si>
    <t>86  </t>
  </si>
  <si>
    <t>87  </t>
  </si>
  <si>
    <t>88  </t>
  </si>
  <si>
    <t>89  </t>
  </si>
  <si>
    <t>90  </t>
  </si>
  <si>
    <t>91  </t>
  </si>
  <si>
    <t>92  </t>
  </si>
  <si>
    <t>93  </t>
  </si>
  <si>
    <t>94  </t>
  </si>
  <si>
    <t>95  </t>
  </si>
  <si>
    <t>96  </t>
  </si>
  <si>
    <t>97  </t>
  </si>
  <si>
    <t>98  </t>
  </si>
  <si>
    <t>99  </t>
  </si>
  <si>
    <t>100  </t>
  </si>
  <si>
    <t>101  </t>
  </si>
  <si>
    <t>102  </t>
  </si>
  <si>
    <t>103  </t>
  </si>
  <si>
    <t>104  </t>
  </si>
  <si>
    <t>105  </t>
  </si>
  <si>
    <t>106  </t>
  </si>
  <si>
    <t>107  </t>
  </si>
  <si>
    <t>108  </t>
  </si>
  <si>
    <t>109  </t>
  </si>
  <si>
    <t>110  </t>
  </si>
  <si>
    <t>111  </t>
  </si>
  <si>
    <t>112  </t>
  </si>
  <si>
    <t>113  </t>
  </si>
  <si>
    <t>114  </t>
  </si>
  <si>
    <t>115  </t>
  </si>
  <si>
    <t>116  </t>
  </si>
  <si>
    <t>117  </t>
  </si>
  <si>
    <t>118  </t>
  </si>
  <si>
    <t>119  </t>
  </si>
  <si>
    <t>120  </t>
  </si>
  <si>
    <t>121  </t>
  </si>
  <si>
    <t>122  </t>
  </si>
  <si>
    <t>123  </t>
  </si>
  <si>
    <t>124  </t>
  </si>
  <si>
    <t>125  </t>
  </si>
  <si>
    <t>126  </t>
  </si>
  <si>
    <t>127  </t>
  </si>
  <si>
    <t>128  </t>
  </si>
  <si>
    <t>129  </t>
  </si>
  <si>
    <t>130  </t>
  </si>
  <si>
    <t>131  </t>
  </si>
  <si>
    <t>132  </t>
  </si>
  <si>
    <t>133  </t>
  </si>
  <si>
    <t>134  </t>
  </si>
  <si>
    <t>135  </t>
  </si>
  <si>
    <t>136  </t>
  </si>
  <si>
    <t>137  </t>
  </si>
  <si>
    <t>138  </t>
  </si>
  <si>
    <t>139  </t>
  </si>
  <si>
    <t>140  </t>
  </si>
  <si>
    <t>141  </t>
  </si>
  <si>
    <t>142  </t>
  </si>
  <si>
    <t>143  </t>
  </si>
  <si>
    <t>144  </t>
  </si>
  <si>
    <t>145  </t>
  </si>
  <si>
    <t>146  </t>
  </si>
  <si>
    <t>147  </t>
  </si>
  <si>
    <t>148  </t>
  </si>
  <si>
    <t>149  </t>
  </si>
  <si>
    <t>150  </t>
  </si>
  <si>
    <t>151  </t>
  </si>
  <si>
    <t>152  </t>
  </si>
  <si>
    <t>153  </t>
  </si>
  <si>
    <t>154  </t>
  </si>
  <si>
    <t>155  </t>
  </si>
  <si>
    <t>156  </t>
  </si>
  <si>
    <t>157  </t>
  </si>
  <si>
    <t>158  </t>
  </si>
  <si>
    <t>159  </t>
  </si>
  <si>
    <t>160  </t>
  </si>
  <si>
    <t>161  </t>
  </si>
  <si>
    <t>162  </t>
  </si>
  <si>
    <t>163  </t>
  </si>
  <si>
    <t>164  </t>
  </si>
  <si>
    <t>165  </t>
  </si>
  <si>
    <t>166  </t>
  </si>
  <si>
    <t>167  </t>
  </si>
  <si>
    <t>168  </t>
  </si>
  <si>
    <t>169  </t>
  </si>
  <si>
    <t>170  </t>
  </si>
  <si>
    <t>171  </t>
  </si>
  <si>
    <t>172  </t>
  </si>
  <si>
    <t>173  </t>
  </si>
  <si>
    <t>174  </t>
  </si>
  <si>
    <t>175  </t>
  </si>
  <si>
    <t>176  </t>
  </si>
  <si>
    <t>177  </t>
  </si>
  <si>
    <t>178  </t>
  </si>
  <si>
    <t>179  </t>
  </si>
  <si>
    <t>180  </t>
  </si>
  <si>
    <t>181  </t>
  </si>
  <si>
    <t>182  </t>
  </si>
  <si>
    <t>183  </t>
  </si>
  <si>
    <t>184  </t>
  </si>
  <si>
    <t>185  </t>
  </si>
  <si>
    <t>186  </t>
  </si>
  <si>
    <t>187  </t>
  </si>
  <si>
    <t>188  </t>
  </si>
  <si>
    <t>189  </t>
  </si>
  <si>
    <t>190  </t>
  </si>
  <si>
    <t>191  </t>
  </si>
  <si>
    <t>192  </t>
  </si>
  <si>
    <t>193  </t>
  </si>
  <si>
    <t>194  </t>
  </si>
  <si>
    <t>195  </t>
  </si>
  <si>
    <t>196  </t>
  </si>
  <si>
    <t>197  </t>
  </si>
  <si>
    <t>198  </t>
  </si>
  <si>
    <t>199  </t>
  </si>
  <si>
    <t>200  </t>
  </si>
  <si>
    <t>201  </t>
  </si>
  <si>
    <t>202  </t>
  </si>
  <si>
    <t>203  </t>
  </si>
  <si>
    <t>204  </t>
  </si>
  <si>
    <t>205  </t>
  </si>
  <si>
    <t>206  </t>
  </si>
  <si>
    <t>207  </t>
  </si>
  <si>
    <t>208  </t>
  </si>
  <si>
    <t>209  </t>
  </si>
  <si>
    <t>210  </t>
  </si>
  <si>
    <t>211  </t>
  </si>
  <si>
    <t>212  </t>
  </si>
  <si>
    <t>213  </t>
  </si>
  <si>
    <t>214  </t>
  </si>
  <si>
    <t>215  </t>
  </si>
  <si>
    <t>216  </t>
  </si>
  <si>
    <t>217  </t>
  </si>
  <si>
    <t>218  </t>
  </si>
  <si>
    <t>219  </t>
  </si>
  <si>
    <t>220  </t>
  </si>
  <si>
    <t>Nilai PAP Ujian</t>
  </si>
  <si>
    <t>Nilai Prktik</t>
  </si>
  <si>
    <t>Terjawab</t>
  </si>
  <si>
    <t>Pilgan</t>
  </si>
  <si>
    <t>ANALISA NILAI DAN KONVERSI MANUAL BEESMART</t>
  </si>
  <si>
    <t>Mata Pelajaran</t>
  </si>
  <si>
    <t>Soal Digunakan</t>
  </si>
  <si>
    <t>Jumlah Pilgan</t>
  </si>
  <si>
    <t>Praktik</t>
  </si>
  <si>
    <t>Kelas/Jurusan</t>
  </si>
  <si>
    <t>:</t>
  </si>
  <si>
    <t>Ujian %</t>
  </si>
  <si>
    <t>Benar</t>
  </si>
  <si>
    <t>Salah</t>
  </si>
  <si>
    <t>KONVERSI NILAI</t>
  </si>
  <si>
    <t>Tuntas</t>
  </si>
  <si>
    <t>Tidak Tuntas</t>
  </si>
  <si>
    <t>Konversi Tertinggi</t>
  </si>
  <si>
    <t>Ket PAP</t>
  </si>
  <si>
    <t>Ket PAN</t>
  </si>
  <si>
    <t>Konversi Terendah</t>
  </si>
  <si>
    <t>Ket Kon</t>
  </si>
  <si>
    <t>Nilai Kon</t>
  </si>
  <si>
    <t>Total Siswa</t>
  </si>
  <si>
    <t>Persentasi Tuntas</t>
  </si>
  <si>
    <t>DATA ASLI</t>
  </si>
  <si>
    <t>Persentasi Tidak Tuntas</t>
  </si>
  <si>
    <t>Nilai Praktik</t>
  </si>
  <si>
    <t>KONVERSI NILAI SOAL PILIHAN GANDA</t>
  </si>
  <si>
    <t>Skor/Nilai Tertinggi</t>
  </si>
  <si>
    <t>Skor/Nilai Terendah</t>
  </si>
  <si>
    <t>Nilai Rata-rata</t>
  </si>
  <si>
    <t>-</t>
  </si>
  <si>
    <t>Jumlah Siswa Tuntas</t>
  </si>
  <si>
    <t>Jumlah Siswa Tidak Tuntas</t>
  </si>
  <si>
    <t>Persentasi Ketuntasan</t>
  </si>
  <si>
    <t>No.</t>
  </si>
  <si>
    <t>Nama Peserta</t>
  </si>
  <si>
    <t>Jawaban Benar</t>
  </si>
  <si>
    <t>Nilai PAP (Asli)</t>
  </si>
  <si>
    <t>Nilai PAN (Normatif)</t>
  </si>
  <si>
    <t>Konvert Nilai</t>
  </si>
  <si>
    <t>DAFTAR NILAI HASIL UJIAN AKHIR SEMESTER</t>
  </si>
  <si>
    <t>Nilai</t>
  </si>
  <si>
    <t>Keterangan</t>
  </si>
  <si>
    <t>No. Peserta Ujian/NIS</t>
  </si>
  <si>
    <t>Ket Prak</t>
  </si>
  <si>
    <t>Guru Mata Pelajaran</t>
  </si>
  <si>
    <t>DATA KONVERSI</t>
  </si>
  <si>
    <t>Rata-Rata</t>
  </si>
  <si>
    <t>Konversi Asli+Praktek</t>
  </si>
  <si>
    <t>Nilai Asl+Prk</t>
  </si>
  <si>
    <r>
      <t xml:space="preserve">Copyright </t>
    </r>
    <r>
      <rPr>
        <sz val="12"/>
        <color theme="0"/>
        <rFont val="Calibri"/>
        <family val="2"/>
      </rPr>
      <t>©</t>
    </r>
    <r>
      <rPr>
        <sz val="12"/>
        <color theme="0"/>
        <rFont val="Tahoma"/>
        <family val="2"/>
      </rPr>
      <t xml:space="preserve"> </t>
    </r>
    <r>
      <rPr>
        <sz val="12"/>
        <color theme="0"/>
        <rFont val="Tahoma"/>
        <family val="2"/>
        <charset val="1"/>
      </rPr>
      <t>2023 Support By Triyono Versi 2.1</t>
    </r>
  </si>
  <si>
    <t>KKM ASLI</t>
  </si>
  <si>
    <t>KKM KON</t>
  </si>
  <si>
    <t>NAMA GURU</t>
  </si>
  <si>
    <t>MAPEL</t>
  </si>
  <si>
    <t>Abdul Hadi</t>
  </si>
  <si>
    <t>PABP</t>
  </si>
  <si>
    <t>Armiah</t>
  </si>
  <si>
    <t>PPKn</t>
  </si>
  <si>
    <t>Della Anggreany</t>
  </si>
  <si>
    <t>BAHASA Indonesia</t>
  </si>
  <si>
    <t>Dwi Agoes Sumarni</t>
  </si>
  <si>
    <t>BAHASA INGGRIS</t>
  </si>
  <si>
    <t>Dwi Suji Santoso, S.pd</t>
  </si>
  <si>
    <t>SENI DAN PRAKARYA</t>
  </si>
  <si>
    <t>Dyah Kusrini</t>
  </si>
  <si>
    <t>SENI BUDAYA</t>
  </si>
  <si>
    <t>Eka Normaliani</t>
  </si>
  <si>
    <t>PJOK</t>
  </si>
  <si>
    <t>Elly Agustina</t>
  </si>
  <si>
    <t>PAQ</t>
  </si>
  <si>
    <t>Fahrudin Noor</t>
  </si>
  <si>
    <t>PKWu</t>
  </si>
  <si>
    <t>Fatmawati</t>
  </si>
  <si>
    <t>INFORMATIKA</t>
  </si>
  <si>
    <t>Hamidi Rosadi</t>
  </si>
  <si>
    <t>MATEATIKA WAJIB</t>
  </si>
  <si>
    <t>Hamliani</t>
  </si>
  <si>
    <t>MATEMATIKA MINAT</t>
  </si>
  <si>
    <t>Hani Rahmawati</t>
  </si>
  <si>
    <t>SEJARAH Indonesia</t>
  </si>
  <si>
    <t>Hendra Cipta</t>
  </si>
  <si>
    <t>SEJARAH MINAT</t>
  </si>
  <si>
    <t>Irwinsyah, S.pd</t>
  </si>
  <si>
    <t>KIMIA</t>
  </si>
  <si>
    <t>Jainah A</t>
  </si>
  <si>
    <t>FISIKA</t>
  </si>
  <si>
    <t>Jamy Ikartini</t>
  </si>
  <si>
    <t>BIOLOGI</t>
  </si>
  <si>
    <t>BIOLOGI MINAT</t>
  </si>
  <si>
    <t>Jum'atus Saniah</t>
  </si>
  <si>
    <t>BIOLOGI LINTAS MINAT</t>
  </si>
  <si>
    <t>Lilis Sugiharti</t>
  </si>
  <si>
    <t>GEOGRAFI</t>
  </si>
  <si>
    <t>M. Sufian Rijali</t>
  </si>
  <si>
    <t>GEOGRAFI MINAT</t>
  </si>
  <si>
    <t>M. Syahbana, S. Pd</t>
  </si>
  <si>
    <t>GEOGRAFI LINTAS MINAT</t>
  </si>
  <si>
    <t>Mahrita, S.pd</t>
  </si>
  <si>
    <t>SOSIOLOGI</t>
  </si>
  <si>
    <t>Maimunah</t>
  </si>
  <si>
    <t>EKONOMI</t>
  </si>
  <si>
    <t>Muhammad Ikhsan</t>
  </si>
  <si>
    <t>Muhammad Mahran</t>
  </si>
  <si>
    <t>Muhammad Marzuki</t>
  </si>
  <si>
    <t>Muhammad Salehin</t>
  </si>
  <si>
    <t>Munirah Martasiah</t>
  </si>
  <si>
    <t>Nasrudin</t>
  </si>
  <si>
    <t>Novita Anggriani Yusuf</t>
  </si>
  <si>
    <t>Nursyam</t>
  </si>
  <si>
    <t>R.r. Herwiyani</t>
  </si>
  <si>
    <t>Rabiatul Adawiah</t>
  </si>
  <si>
    <t>Rahman</t>
  </si>
  <si>
    <t>Raudatul Jannah</t>
  </si>
  <si>
    <t>Rina Astuty, S. Pd</t>
  </si>
  <si>
    <t>Santi Fitri Jayanti</t>
  </si>
  <si>
    <t>Sarmadi</t>
  </si>
  <si>
    <t>Suldani</t>
  </si>
  <si>
    <t>Sumiati</t>
  </si>
  <si>
    <t>Titi Iriani</t>
  </si>
  <si>
    <t>Ulfa Maulida</t>
  </si>
  <si>
    <t>Wati Srirahayu</t>
  </si>
  <si>
    <t>Ganjil</t>
  </si>
  <si>
    <t>Nilai Tugas</t>
  </si>
  <si>
    <t>YA</t>
  </si>
  <si>
    <t>  Ahmad Fahlipi</t>
  </si>
  <si>
    <t>  234595</t>
  </si>
  <si>
    <t>  Amalia Rahayu</t>
  </si>
  <si>
    <t>  234596</t>
  </si>
  <si>
    <t>  Andhika</t>
  </si>
  <si>
    <t>  234601</t>
  </si>
  <si>
    <t>  Bina Yanti</t>
  </si>
  <si>
    <t>  234602</t>
  </si>
  <si>
    <t>  Desty Listianingsih</t>
  </si>
  <si>
    <t>  234610</t>
  </si>
  <si>
    <t>  Gita Maghfirahalfariani</t>
  </si>
  <si>
    <t>  234622</t>
  </si>
  <si>
    <t>  Juleha</t>
  </si>
  <si>
    <t>  234623</t>
  </si>
  <si>
    <t>  Juwairiah</t>
  </si>
  <si>
    <t>  234633</t>
  </si>
  <si>
    <t>  M. Rafiqi</t>
  </si>
  <si>
    <t>  234656</t>
  </si>
  <si>
    <t>  Muhammad Hafiz Fadilah</t>
  </si>
  <si>
    <t>  234660</t>
  </si>
  <si>
    <t>  Muhammad Iqbal Firdaus</t>
  </si>
  <si>
    <t>  234661</t>
  </si>
  <si>
    <t>  Muhammad Jamil</t>
  </si>
  <si>
    <t>  234662</t>
  </si>
  <si>
    <t>  Muhammad Mubaraq</t>
  </si>
  <si>
    <t>  234632</t>
  </si>
  <si>
    <t>  Muhammad Nazril Ilmi</t>
  </si>
  <si>
    <t>  234678</t>
  </si>
  <si>
    <t>  Muthia Rima Putri</t>
  </si>
  <si>
    <t>  234680</t>
  </si>
  <si>
    <t>  Nanda Mujlina Putri</t>
  </si>
  <si>
    <t>BB</t>
  </si>
  <si>
    <t>AB</t>
  </si>
  <si>
    <t>AC</t>
  </si>
  <si>
    <t>AD</t>
  </si>
  <si>
    <t>BA</t>
  </si>
  <si>
    <t>EE</t>
  </si>
  <si>
    <t>CE</t>
  </si>
  <si>
    <t>  234685</t>
  </si>
  <si>
    <t>  Noor Andini</t>
  </si>
  <si>
    <t>  234695</t>
  </si>
  <si>
    <t>  Nurhayanti</t>
  </si>
  <si>
    <t>  234709</t>
  </si>
  <si>
    <t>  Raisol</t>
  </si>
  <si>
    <t>  234708</t>
  </si>
  <si>
    <t>  Rayshar Andhika Pratama</t>
  </si>
  <si>
    <t>  234711</t>
  </si>
  <si>
    <t>  Rino Fiansyah</t>
  </si>
  <si>
    <t>  234712</t>
  </si>
  <si>
    <t>  Ririn Dea Razmiarti</t>
  </si>
  <si>
    <t>  234719</t>
  </si>
  <si>
    <t>  Suci Rahmawati</t>
  </si>
  <si>
    <t>  234721</t>
  </si>
  <si>
    <t>  Syifa Aulia Rahmah</t>
  </si>
  <si>
    <t>  234727</t>
  </si>
  <si>
    <t>  Zainuddin</t>
  </si>
  <si>
    <t>  1</t>
  </si>
  <si>
    <t>  Latif</t>
  </si>
  <si>
    <t>  2</t>
  </si>
  <si>
    <t>  Ahmad Zaidan Rizki</t>
  </si>
  <si>
    <t>  234587</t>
  </si>
  <si>
    <t>  Ahmad Rifani</t>
  </si>
  <si>
    <t>  234591</t>
  </si>
  <si>
    <t>  Alfi Wahyuni</t>
  </si>
  <si>
    <t>  234594</t>
  </si>
  <si>
    <t>  Alya Nur</t>
  </si>
  <si>
    <t>  234600</t>
  </si>
  <si>
    <t>  Aulia Astuti</t>
  </si>
  <si>
    <t>  224430</t>
  </si>
  <si>
    <t>  Febriana Nor As Shoufa</t>
  </si>
  <si>
    <t>  234609</t>
  </si>
  <si>
    <t>  Fitra Syahara</t>
  </si>
  <si>
    <t>  234617</t>
  </si>
  <si>
    <t>  Ikhsan Fadillah</t>
  </si>
  <si>
    <t>  234618</t>
  </si>
  <si>
    <t>  Iqbal Fahrezi</t>
  </si>
  <si>
    <t>  234620</t>
  </si>
  <si>
    <t>  Isti Qomah</t>
  </si>
  <si>
    <t>  234621</t>
  </si>
  <si>
    <t>  Jamiatul Putri</t>
  </si>
  <si>
    <t>  234658</t>
  </si>
  <si>
    <t>  M. Hasan</t>
  </si>
  <si>
    <t>  234639</t>
  </si>
  <si>
    <t>  Monalisa</t>
  </si>
  <si>
    <t>  234640</t>
  </si>
  <si>
    <t>  Muflihah</t>
  </si>
  <si>
    <t>  234655</t>
  </si>
  <si>
    <t>  Muhammad Hafiz</t>
  </si>
  <si>
    <t>  234657</t>
  </si>
  <si>
    <t>  Muhammad Hariadi Hana</t>
  </si>
  <si>
    <t>  234659</t>
  </si>
  <si>
    <t>  Muhammad Ihza Al Muhajir</t>
  </si>
  <si>
    <t>  234668</t>
  </si>
  <si>
    <t>  Muhammad Ramadan</t>
  </si>
  <si>
    <t>  234673</t>
  </si>
  <si>
    <t>  Muhammad Rizky</t>
  </si>
  <si>
    <t>  234677</t>
  </si>
  <si>
    <t>  Munirah</t>
  </si>
  <si>
    <t>  234690</t>
  </si>
  <si>
    <t>  Nor Rachma</t>
  </si>
  <si>
    <t>  234691</t>
  </si>
  <si>
    <t>  Norbaiti</t>
  </si>
  <si>
    <t>  234692</t>
  </si>
  <si>
    <t>  Norsehan</t>
  </si>
  <si>
    <t>  234699</t>
  </si>
  <si>
    <t>  Padil Anwar</t>
  </si>
  <si>
    <t>  234702</t>
  </si>
  <si>
    <t>  Rafi Ahmad</t>
  </si>
  <si>
    <t>  234704</t>
  </si>
  <si>
    <t>  Rahmadiyanur</t>
  </si>
  <si>
    <t>  234715</t>
  </si>
  <si>
    <t>  Sadiah</t>
  </si>
  <si>
    <t>  234718</t>
  </si>
  <si>
    <t>  Siti Zubaidah</t>
  </si>
  <si>
    <t>  234724</t>
  </si>
  <si>
    <t>  Wahyu Ramadani</t>
  </si>
  <si>
    <t>  234728</t>
  </si>
  <si>
    <t>  Zaskia Hardiyanti</t>
  </si>
  <si>
    <t>Nilai Rapor</t>
  </si>
  <si>
    <t>Nilai Yang digunakan</t>
  </si>
  <si>
    <t>Jumlah Penilaian</t>
  </si>
  <si>
    <t>Penilaian</t>
  </si>
  <si>
    <t>Jml</t>
  </si>
  <si>
    <t>Ujian</t>
  </si>
  <si>
    <t>Prak</t>
  </si>
  <si>
    <t>XII</t>
  </si>
  <si>
    <t>ujian</t>
  </si>
  <si>
    <t>praktik</t>
  </si>
  <si>
    <t>tugas</t>
  </si>
  <si>
    <t>SEMUA</t>
  </si>
  <si>
    <t>PAP</t>
  </si>
  <si>
    <t>Tot</t>
  </si>
  <si>
    <t>jml</t>
  </si>
  <si>
    <t>ujan</t>
  </si>
  <si>
    <t>prak</t>
  </si>
  <si>
    <t xml:space="preserve"> Pembagi Nilai</t>
  </si>
  <si>
    <t>rumus Pembagi nilai</t>
  </si>
  <si>
    <t>konversi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</si>
</sst>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@\ * \ \:"/>
    <numFmt numFmtId="165" formatCode="[$-F800]dddd\,\ mmmm\ dd\,\ yyyy"/>
  </numFmts>
  <fonts count="36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008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Tahoma"/>
      <family val="2"/>
    </font>
    <font>
      <sz val="12"/>
      <color theme="0"/>
      <name val="Tahoma"/>
      <family val="2"/>
    </font>
    <font>
      <sz val="11"/>
      <name val="Calibri"/>
      <family val="2"/>
    </font>
    <font>
      <b/>
      <sz val="12"/>
      <color theme="1"/>
      <name val="Tahoma"/>
      <family val="2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ahoma"/>
      <family val="2"/>
      <charset val="1"/>
    </font>
    <font>
      <sz val="12"/>
      <color theme="0"/>
      <name val="Calibri"/>
      <family val="2"/>
    </font>
    <font>
      <sz val="11"/>
      <color theme="1"/>
      <name val="Tahoma"/>
      <family val="2"/>
    </font>
    <font>
      <sz val="11"/>
      <name val="Tahoma"/>
      <family val="2"/>
    </font>
    <font>
      <b/>
      <sz val="14"/>
      <color theme="0"/>
      <name val="Tahoma"/>
      <family val="2"/>
    </font>
    <font>
      <sz val="11"/>
      <color theme="0"/>
      <name val="Calibri"/>
      <family val="2"/>
      <charset val="1"/>
      <scheme val="minor"/>
    </font>
    <font>
      <sz val="12"/>
      <color theme="0"/>
      <name val="Arial"/>
      <family val="2"/>
      <charset val="1"/>
    </font>
    <font>
      <b/>
      <sz val="12"/>
      <name val="Arial"/>
      <family val="2"/>
    </font>
    <font>
      <sz val="12"/>
      <color theme="1"/>
      <name val="Arial"/>
      <family val="2"/>
      <charset val="1"/>
    </font>
    <font>
      <b/>
      <sz val="16"/>
      <name val="Arial"/>
      <family val="2"/>
    </font>
    <font>
      <b/>
      <sz val="18"/>
      <name val="Arial"/>
      <family val="2"/>
    </font>
    <font>
      <b/>
      <sz val="20"/>
      <color theme="1" tint="0.14999847407452621"/>
      <name val="Arial"/>
      <family val="2"/>
    </font>
    <font>
      <b/>
      <sz val="14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7CFC00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2" fontId="5" fillId="0" borderId="2" xfId="0" applyNumberFormat="1" applyFont="1" applyBorder="1" applyAlignment="1" applyProtection="1">
      <alignment horizontal="center" vertical="center"/>
      <protection hidden="1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5" borderId="0" xfId="0" applyFont="1" applyFill="1"/>
    <xf numFmtId="0" fontId="10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1" fillId="5" borderId="0" xfId="0" applyFont="1" applyFill="1" applyAlignment="1">
      <alignment horizontal="left" vertical="center"/>
    </xf>
    <xf numFmtId="0" fontId="10" fillId="7" borderId="0" xfId="0" applyFont="1" applyFill="1"/>
    <xf numFmtId="0" fontId="0" fillId="5" borderId="0" xfId="0" applyFill="1"/>
    <xf numFmtId="0" fontId="10" fillId="5" borderId="0" xfId="0" applyFont="1" applyFill="1" applyAlignment="1">
      <alignment horizontal="left" vertical="center"/>
    </xf>
    <xf numFmtId="0" fontId="10" fillId="6" borderId="0" xfId="0" applyFont="1" applyFill="1" applyAlignment="1">
      <alignment vertical="center" shrinkToFit="1"/>
    </xf>
    <xf numFmtId="0" fontId="10" fillId="5" borderId="0" xfId="0" applyFont="1" applyFill="1" applyAlignment="1">
      <alignment vertical="center" shrinkToFit="1"/>
    </xf>
    <xf numFmtId="0" fontId="5" fillId="0" borderId="0" xfId="0" applyFont="1" applyAlignment="1" applyProtection="1">
      <alignment horizontal="left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10" fillId="0" borderId="0" xfId="0" applyFont="1" applyAlignment="1">
      <alignment horizontal="center" vertical="center"/>
    </xf>
    <xf numFmtId="1" fontId="10" fillId="5" borderId="0" xfId="0" applyNumberFormat="1" applyFont="1" applyFill="1" applyAlignment="1">
      <alignment vertical="center"/>
    </xf>
    <xf numFmtId="0" fontId="10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horizontal="left" vertical="center"/>
      <protection hidden="1"/>
    </xf>
    <xf numFmtId="1" fontId="10" fillId="5" borderId="0" xfId="0" applyNumberFormat="1" applyFont="1" applyFill="1" applyAlignment="1" applyProtection="1">
      <alignment horizontal="left" vertical="center" indent="1"/>
      <protection hidden="1"/>
    </xf>
    <xf numFmtId="0" fontId="10" fillId="6" borderId="0" xfId="0" applyFont="1" applyFill="1" applyAlignment="1" applyProtection="1">
      <alignment vertical="center" shrinkToFit="1"/>
      <protection hidden="1"/>
    </xf>
    <xf numFmtId="1" fontId="10" fillId="6" borderId="0" xfId="0" applyNumberFormat="1" applyFont="1" applyFill="1" applyAlignment="1" applyProtection="1">
      <alignment horizontal="left" vertical="center" indent="1"/>
      <protection hidden="1"/>
    </xf>
    <xf numFmtId="0" fontId="10" fillId="5" borderId="0" xfId="0" applyFont="1" applyFill="1" applyAlignment="1" applyProtection="1">
      <alignment vertical="center" shrinkToFit="1"/>
      <protection hidden="1"/>
    </xf>
    <xf numFmtId="9" fontId="10" fillId="6" borderId="0" xfId="1" applyFont="1" applyFill="1" applyAlignment="1" applyProtection="1">
      <alignment horizontal="left" vertical="center" indent="1"/>
      <protection hidden="1"/>
    </xf>
    <xf numFmtId="0" fontId="13" fillId="0" borderId="0" xfId="0" applyFont="1" applyAlignment="1">
      <alignment horizontal="center" vertical="center"/>
    </xf>
    <xf numFmtId="1" fontId="10" fillId="5" borderId="0" xfId="0" applyNumberFormat="1" applyFont="1" applyFill="1" applyAlignment="1" applyProtection="1">
      <alignment horizontal="left" vertical="center"/>
      <protection hidden="1"/>
    </xf>
    <xf numFmtId="0" fontId="0" fillId="8" borderId="0" xfId="0" applyFill="1"/>
    <xf numFmtId="0" fontId="0" fillId="8" borderId="0" xfId="0" applyFill="1" applyAlignment="1">
      <alignment horizontal="right" vertical="center"/>
    </xf>
    <xf numFmtId="0" fontId="5" fillId="8" borderId="0" xfId="0" applyFont="1" applyFill="1" applyProtection="1">
      <protection hidden="1"/>
    </xf>
    <xf numFmtId="0" fontId="5" fillId="8" borderId="0" xfId="0" applyFont="1" applyFill="1" applyAlignment="1" applyProtection="1">
      <alignment vertical="center"/>
      <protection hidden="1"/>
    </xf>
    <xf numFmtId="0" fontId="5" fillId="8" borderId="0" xfId="0" applyFont="1" applyFill="1" applyAlignment="1" applyProtection="1">
      <alignment horizontal="left" vertical="center"/>
      <protection hidden="1"/>
    </xf>
    <xf numFmtId="1" fontId="5" fillId="8" borderId="0" xfId="0" applyNumberFormat="1" applyFont="1" applyFill="1" applyAlignment="1" applyProtection="1">
      <alignment horizontal="right" vertical="center"/>
      <protection hidden="1"/>
    </xf>
    <xf numFmtId="0" fontId="5" fillId="8" borderId="0" xfId="0" applyFont="1" applyFill="1" applyAlignment="1" applyProtection="1">
      <alignment horizontal="left"/>
      <protection hidden="1"/>
    </xf>
    <xf numFmtId="0" fontId="12" fillId="8" borderId="0" xfId="0" applyFont="1" applyFill="1" applyAlignment="1" applyProtection="1">
      <alignment horizontal="left" vertical="center"/>
      <protection hidden="1"/>
    </xf>
    <xf numFmtId="0" fontId="12" fillId="8" borderId="0" xfId="0" applyFont="1" applyFill="1" applyAlignment="1" applyProtection="1">
      <alignment horizontal="left"/>
      <protection hidden="1"/>
    </xf>
    <xf numFmtId="0" fontId="5" fillId="8" borderId="0" xfId="0" applyFont="1" applyFill="1" applyAlignment="1" applyProtection="1">
      <alignment horizontal="right" vertical="center"/>
      <protection hidden="1"/>
    </xf>
    <xf numFmtId="0" fontId="0" fillId="0" borderId="0" xfId="0" applyAlignment="1">
      <alignment horizontal="right" vertical="center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left"/>
      <protection hidden="1"/>
    </xf>
    <xf numFmtId="1" fontId="0" fillId="8" borderId="0" xfId="0" applyNumberFormat="1" applyFill="1" applyAlignment="1">
      <alignment horizontal="right" vertical="center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15" fillId="0" borderId="0" xfId="0" applyFont="1" applyAlignment="1" applyProtection="1">
      <alignment horizontal="left" vertical="top"/>
      <protection hidden="1"/>
    </xf>
    <xf numFmtId="2" fontId="16" fillId="0" borderId="0" xfId="0" applyNumberFormat="1" applyFont="1" applyAlignment="1" applyProtection="1">
      <alignment horizontal="center" vertical="center"/>
      <protection hidden="1"/>
    </xf>
    <xf numFmtId="0" fontId="13" fillId="0" borderId="0" xfId="0" applyFont="1" applyAlignment="1">
      <alignment horizontal="center"/>
    </xf>
    <xf numFmtId="0" fontId="10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3" fillId="0" borderId="2" xfId="0" applyFont="1" applyBorder="1" applyAlignment="1" applyProtection="1">
      <alignment horizontal="left"/>
      <protection hidden="1"/>
    </xf>
    <xf numFmtId="2" fontId="10" fillId="0" borderId="1" xfId="0" applyNumberFormat="1" applyFont="1" applyBorder="1" applyAlignment="1">
      <alignment horizontal="center" vertical="center"/>
    </xf>
    <xf numFmtId="0" fontId="17" fillId="0" borderId="0" xfId="0" applyFont="1" applyAlignment="1" applyProtection="1">
      <alignment horizontal="left"/>
      <protection hidden="1"/>
    </xf>
    <xf numFmtId="0" fontId="19" fillId="0" borderId="2" xfId="0" applyFont="1" applyBorder="1" applyAlignment="1" applyProtection="1">
      <alignment horizont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hidden="1"/>
    </xf>
    <xf numFmtId="2" fontId="19" fillId="0" borderId="2" xfId="0" applyNumberFormat="1" applyFont="1" applyBorder="1" applyAlignment="1" applyProtection="1">
      <alignment horizontal="center" vertical="center" wrapText="1"/>
      <protection hidden="1"/>
    </xf>
    <xf numFmtId="2" fontId="19" fillId="0" borderId="1" xfId="0" applyNumberFormat="1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7" xfId="0" applyFont="1" applyBorder="1" applyAlignment="1" applyProtection="1">
      <alignment horizontal="left" vertical="center"/>
      <protection hidden="1"/>
    </xf>
    <xf numFmtId="0" fontId="21" fillId="0" borderId="6" xfId="0" applyFont="1" applyBorder="1" applyAlignment="1" applyProtection="1">
      <alignment horizontal="left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2" fontId="21" fillId="0" borderId="1" xfId="0" applyNumberFormat="1" applyFont="1" applyBorder="1" applyAlignment="1" applyProtection="1">
      <alignment horizontal="center" vertical="center"/>
      <protection hidden="1"/>
    </xf>
    <xf numFmtId="2" fontId="21" fillId="0" borderId="1" xfId="0" quotePrefix="1" applyNumberFormat="1" applyFont="1" applyBorder="1" applyAlignment="1" applyProtection="1">
      <alignment horizontal="center" vertical="center"/>
      <protection hidden="1"/>
    </xf>
    <xf numFmtId="1" fontId="21" fillId="0" borderId="1" xfId="0" applyNumberFormat="1" applyFont="1" applyBorder="1" applyAlignment="1" applyProtection="1">
      <alignment horizontal="center" vertical="center"/>
      <protection hidden="1"/>
    </xf>
    <xf numFmtId="9" fontId="21" fillId="0" borderId="1" xfId="1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/>
      <protection hidden="1"/>
    </xf>
    <xf numFmtId="2" fontId="21" fillId="0" borderId="0" xfId="0" applyNumberFormat="1" applyFont="1" applyAlignment="1" applyProtection="1">
      <alignment horizontal="center"/>
      <protection hidden="1"/>
    </xf>
    <xf numFmtId="0" fontId="22" fillId="12" borderId="1" xfId="0" applyFont="1" applyFill="1" applyBorder="1" applyAlignment="1" applyProtection="1">
      <alignment horizontal="center" vertical="center" wrapText="1"/>
      <protection hidden="1"/>
    </xf>
    <xf numFmtId="0" fontId="22" fillId="12" borderId="1" xfId="0" applyFont="1" applyFill="1" applyBorder="1" applyAlignment="1" applyProtection="1">
      <alignment horizontal="center" vertical="center"/>
      <protection hidden="1"/>
    </xf>
    <xf numFmtId="2" fontId="22" fillId="12" borderId="1" xfId="0" applyNumberFormat="1" applyFont="1" applyFill="1" applyBorder="1" applyAlignment="1" applyProtection="1">
      <alignment horizontal="center" vertical="center" wrapText="1"/>
      <protection hidden="1"/>
    </xf>
    <xf numFmtId="0" fontId="21" fillId="0" borderId="1" xfId="0" applyFont="1" applyBorder="1" applyAlignment="1">
      <alignment horizontal="center" vertical="center"/>
    </xf>
    <xf numFmtId="2" fontId="21" fillId="0" borderId="1" xfId="0" applyNumberFormat="1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2" fontId="0" fillId="0" borderId="0" xfId="0" applyNumberFormat="1" applyProtection="1"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hidden="1"/>
    </xf>
    <xf numFmtId="0" fontId="2" fillId="0" borderId="1" xfId="0" applyFont="1" applyBorder="1" applyAlignment="1" applyProtection="1">
      <alignment horizontal="center" wrapText="1"/>
      <protection hidden="1"/>
    </xf>
    <xf numFmtId="0" fontId="6" fillId="0" borderId="1" xfId="0" applyFont="1" applyBorder="1" applyAlignment="1" applyProtection="1">
      <alignment horizontal="center" wrapText="1"/>
      <protection hidden="1"/>
    </xf>
    <xf numFmtId="0" fontId="7" fillId="0" borderId="1" xfId="0" applyFont="1" applyBorder="1" applyAlignment="1" applyProtection="1">
      <alignment horizontal="center" wrapText="1"/>
      <protection hidden="1"/>
    </xf>
    <xf numFmtId="0" fontId="0" fillId="0" borderId="1" xfId="0" applyBorder="1" applyProtection="1">
      <protection hidden="1"/>
    </xf>
    <xf numFmtId="0" fontId="25" fillId="0" borderId="1" xfId="0" applyFont="1" applyBorder="1" applyAlignment="1" applyProtection="1">
      <alignment horizontal="center" vertical="center" wrapText="1"/>
      <protection hidden="1"/>
    </xf>
    <xf numFmtId="0" fontId="25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9" fontId="25" fillId="0" borderId="1" xfId="1" applyFont="1" applyFill="1" applyBorder="1" applyAlignment="1" applyProtection="1">
      <alignment horizontal="center" vertical="center" wrapText="1"/>
      <protection hidden="1"/>
    </xf>
    <xf numFmtId="2" fontId="26" fillId="0" borderId="1" xfId="0" applyNumberFormat="1" applyFont="1" applyBorder="1" applyAlignment="1" applyProtection="1">
      <alignment horizontal="center" vertical="center"/>
      <protection hidden="1"/>
    </xf>
    <xf numFmtId="0" fontId="25" fillId="0" borderId="0" xfId="0" applyFont="1"/>
    <xf numFmtId="0" fontId="25" fillId="0" borderId="0" xfId="0" applyFont="1" applyAlignment="1">
      <alignment horizontal="center"/>
    </xf>
    <xf numFmtId="0" fontId="26" fillId="0" borderId="1" xfId="0" applyFont="1" applyBorder="1" applyAlignment="1" applyProtection="1">
      <alignment horizontal="center" vertical="center" wrapText="1"/>
      <protection hidden="1"/>
    </xf>
    <xf numFmtId="0" fontId="26" fillId="0" borderId="1" xfId="0" applyFont="1" applyBorder="1" applyAlignment="1" applyProtection="1">
      <alignment horizontal="left" vertical="center" wrapText="1"/>
      <protection hidden="1"/>
    </xf>
    <xf numFmtId="2" fontId="25" fillId="0" borderId="1" xfId="0" applyNumberFormat="1" applyFont="1" applyBorder="1" applyAlignment="1" applyProtection="1">
      <alignment horizontal="center" vertical="center"/>
      <protection hidden="1"/>
    </xf>
    <xf numFmtId="0" fontId="25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center"/>
    </xf>
    <xf numFmtId="0" fontId="11" fillId="13" borderId="0" xfId="0" applyFont="1" applyFill="1"/>
    <xf numFmtId="0" fontId="10" fillId="13" borderId="0" xfId="0" applyFont="1" applyFill="1"/>
    <xf numFmtId="0" fontId="21" fillId="0" borderId="1" xfId="0" applyFont="1" applyBorder="1" applyAlignment="1">
      <alignment vertical="center" shrinkToFit="1"/>
    </xf>
    <xf numFmtId="0" fontId="21" fillId="0" borderId="1" xfId="0" applyFont="1" applyBorder="1" applyAlignment="1">
      <alignment vertical="center"/>
    </xf>
    <xf numFmtId="9" fontId="10" fillId="10" borderId="0" xfId="1" applyFont="1" applyFill="1" applyAlignment="1" applyProtection="1">
      <alignment horizontal="left" vertical="center" shrinkToFit="1"/>
      <protection locked="0"/>
    </xf>
    <xf numFmtId="0" fontId="10" fillId="11" borderId="0" xfId="0" applyFont="1" applyFill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left" vertical="center"/>
      <protection hidden="1"/>
    </xf>
    <xf numFmtId="2" fontId="10" fillId="6" borderId="0" xfId="0" applyNumberFormat="1" applyFont="1" applyFill="1" applyAlignment="1" applyProtection="1">
      <alignment horizontal="left" vertical="center"/>
      <protection hidden="1"/>
    </xf>
    <xf numFmtId="0" fontId="0" fillId="0" borderId="0" xfId="0" quotePrefix="1" applyProtection="1">
      <protection hidden="1"/>
    </xf>
    <xf numFmtId="0" fontId="0" fillId="14" borderId="0" xfId="0" applyFill="1"/>
    <xf numFmtId="0" fontId="5" fillId="14" borderId="0" xfId="0" applyFont="1" applyFill="1" applyProtection="1">
      <protection hidden="1"/>
    </xf>
    <xf numFmtId="0" fontId="5" fillId="14" borderId="0" xfId="0" applyFont="1" applyFill="1" applyAlignment="1" applyProtection="1">
      <alignment vertical="center"/>
      <protection hidden="1"/>
    </xf>
    <xf numFmtId="0" fontId="5" fillId="14" borderId="0" xfId="0" applyFont="1" applyFill="1" applyAlignment="1" applyProtection="1">
      <alignment horizontal="left" vertical="center"/>
      <protection hidden="1"/>
    </xf>
    <xf numFmtId="1" fontId="5" fillId="14" borderId="0" xfId="0" applyNumberFormat="1" applyFont="1" applyFill="1" applyAlignment="1" applyProtection="1">
      <alignment horizontal="right" vertical="center"/>
      <protection hidden="1"/>
    </xf>
    <xf numFmtId="0" fontId="5" fillId="14" borderId="0" xfId="0" applyFont="1" applyFill="1" applyAlignment="1" applyProtection="1">
      <alignment horizontal="left"/>
      <protection hidden="1"/>
    </xf>
    <xf numFmtId="0" fontId="12" fillId="14" borderId="0" xfId="0" applyFont="1" applyFill="1" applyAlignment="1" applyProtection="1">
      <alignment horizontal="left" vertical="center"/>
      <protection hidden="1"/>
    </xf>
    <xf numFmtId="0" fontId="12" fillId="14" borderId="0" xfId="0" applyFont="1" applyFill="1" applyAlignment="1" applyProtection="1">
      <alignment horizontal="left"/>
      <protection hidden="1"/>
    </xf>
    <xf numFmtId="0" fontId="5" fillId="14" borderId="0" xfId="0" applyFont="1" applyFill="1" applyAlignment="1" applyProtection="1">
      <alignment horizontal="right" vertical="center"/>
      <protection hidden="1"/>
    </xf>
    <xf numFmtId="1" fontId="0" fillId="14" borderId="0" xfId="0" applyNumberFormat="1" applyFill="1" applyAlignment="1">
      <alignment horizontal="right" vertical="center"/>
    </xf>
    <xf numFmtId="0" fontId="0" fillId="14" borderId="0" xfId="0" applyFill="1" applyAlignment="1">
      <alignment horizontal="right" vertical="center"/>
    </xf>
    <xf numFmtId="2" fontId="5" fillId="0" borderId="8" xfId="0" applyNumberFormat="1" applyFont="1" applyBorder="1" applyAlignment="1" applyProtection="1">
      <alignment horizontal="center" vertical="center"/>
      <protection hidden="1"/>
    </xf>
    <xf numFmtId="0" fontId="10" fillId="13" borderId="0" xfId="0" applyFont="1" applyFill="1" applyAlignment="1">
      <alignment horizontal="center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4" borderId="1" xfId="0" applyFill="1" applyBorder="1" applyAlignment="1" applyProtection="1">
      <alignment horizontal="center" vertical="center" shrinkToFit="1"/>
      <protection hidden="1"/>
    </xf>
    <xf numFmtId="0" fontId="4" fillId="0" borderId="2" xfId="0" applyFont="1" applyBorder="1" applyAlignment="1" applyProtection="1">
      <alignment horizontal="center" shrinkToFit="1"/>
      <protection hidden="1"/>
    </xf>
    <xf numFmtId="0" fontId="10" fillId="0" borderId="1" xfId="0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 shrinkToFit="1"/>
    </xf>
    <xf numFmtId="2" fontId="10" fillId="6" borderId="0" xfId="0" applyNumberFormat="1" applyFont="1" applyFill="1" applyAlignment="1" applyProtection="1">
      <alignment horizontal="left" vertical="center" shrinkToFit="1"/>
      <protection hidden="1"/>
    </xf>
    <xf numFmtId="0" fontId="10" fillId="10" borderId="0" xfId="0" applyFont="1" applyFill="1" applyAlignment="1" applyProtection="1">
      <alignment horizontal="left" vertical="center" indent="1"/>
      <protection locked="0"/>
    </xf>
    <xf numFmtId="0" fontId="10" fillId="5" borderId="0" xfId="0" applyFont="1" applyFill="1" applyAlignment="1">
      <alignment horizontal="left" vertical="center" indent="1"/>
    </xf>
    <xf numFmtId="0" fontId="0" fillId="0" borderId="3" xfId="0" applyBorder="1"/>
    <xf numFmtId="0" fontId="0" fillId="0" borderId="9" xfId="0" applyBorder="1"/>
    <xf numFmtId="0" fontId="0" fillId="0" borderId="4" xfId="0" applyBorder="1"/>
    <xf numFmtId="0" fontId="0" fillId="0" borderId="1" xfId="0" applyBorder="1"/>
    <xf numFmtId="9" fontId="0" fillId="0" borderId="1" xfId="1" applyFont="1" applyBorder="1"/>
    <xf numFmtId="0" fontId="28" fillId="0" borderId="0" xfId="0" applyFont="1" applyProtection="1">
      <protection hidden="1"/>
    </xf>
    <xf numFmtId="0" fontId="2" fillId="0" borderId="2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1" fontId="10" fillId="0" borderId="0" xfId="0" applyNumberFormat="1" applyFont="1" applyAlignment="1" applyProtection="1">
      <alignment horizontal="right" vertical="center" indent="1"/>
      <protection locked="0"/>
    </xf>
    <xf numFmtId="0" fontId="19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>
      <alignment horizontal="center" wrapText="1"/>
    </xf>
    <xf numFmtId="0" fontId="3" fillId="16" borderId="1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/>
    </xf>
    <xf numFmtId="0" fontId="21" fillId="18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29" fillId="18" borderId="0" xfId="0" applyFont="1" applyFill="1" applyAlignment="1">
      <alignment horizontal="left" vertical="center"/>
    </xf>
    <xf numFmtId="0" fontId="30" fillId="18" borderId="0" xfId="0" applyFont="1" applyFill="1" applyAlignment="1">
      <alignment horizontal="center"/>
    </xf>
    <xf numFmtId="0" fontId="22" fillId="0" borderId="1" xfId="1" applyNumberFormat="1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0" fontId="29" fillId="18" borderId="0" xfId="0" applyFont="1" applyFill="1" applyAlignment="1">
      <alignment horizontal="center" vertical="center"/>
    </xf>
    <xf numFmtId="0" fontId="23" fillId="18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 shrinkToFit="1"/>
    </xf>
    <xf numFmtId="0" fontId="31" fillId="18" borderId="0" xfId="0" applyFont="1" applyFill="1"/>
    <xf numFmtId="0" fontId="32" fillId="10" borderId="0" xfId="0" applyFont="1" applyFill="1" applyAlignment="1">
      <alignment horizontal="center" vertical="center" shrinkToFit="1"/>
    </xf>
    <xf numFmtId="0" fontId="33" fillId="10" borderId="0" xfId="0" applyFont="1" applyFill="1" applyAlignment="1">
      <alignment horizontal="center" vertical="center"/>
    </xf>
    <xf numFmtId="1" fontId="34" fillId="10" borderId="0" xfId="0" applyNumberFormat="1" applyFont="1" applyFill="1" applyAlignment="1">
      <alignment horizontal="center" vertical="center" shrinkToFit="1"/>
    </xf>
    <xf numFmtId="9" fontId="22" fillId="0" borderId="1" xfId="1" applyFont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 vertical="center"/>
    </xf>
    <xf numFmtId="0" fontId="0" fillId="8" borderId="0" xfId="0" applyFill="1" applyAlignment="1" applyProtection="1">
      <alignment horizontal="center" vertical="center"/>
      <protection hidden="1"/>
    </xf>
    <xf numFmtId="9" fontId="0" fillId="0" borderId="0" xfId="1" applyFont="1" applyProtection="1">
      <protection hidden="1"/>
    </xf>
    <xf numFmtId="9" fontId="0" fillId="0" borderId="0" xfId="0" applyNumberFormat="1" applyProtection="1">
      <protection hidden="1"/>
    </xf>
    <xf numFmtId="0" fontId="0" fillId="0" borderId="1" xfId="0" applyBorder="1" applyAlignment="1" applyProtection="1">
      <alignment vertic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0" fillId="17" borderId="5" xfId="0" applyFill="1" applyBorder="1" applyAlignment="1" applyProtection="1">
      <alignment vertical="center"/>
      <protection locked="0"/>
    </xf>
    <xf numFmtId="0" fontId="0" fillId="0" borderId="1" xfId="0" applyBorder="1" applyProtection="1">
      <protection locked="0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right"/>
    </xf>
    <xf numFmtId="0" fontId="0" fillId="0" borderId="0" xfId="0" applyAlignment="1">
      <alignment horizontal="right"/>
    </xf>
    <xf numFmtId="165" fontId="21" fillId="0" borderId="0" xfId="0" applyNumberFormat="1" applyFon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10" fillId="18" borderId="0" xfId="0" applyFont="1" applyFill="1" applyAlignment="1">
      <alignment horizontal="right" vertical="center" indent="1" shrinkToFit="1"/>
    </xf>
    <xf numFmtId="0" fontId="25" fillId="6" borderId="0" xfId="0" applyFont="1" applyFill="1" applyAlignment="1">
      <alignment horizontal="right" vertical="center" indent="1" shrinkToFit="1"/>
    </xf>
    <xf numFmtId="0" fontId="10" fillId="6" borderId="0" xfId="0" applyFont="1" applyFill="1" applyAlignment="1">
      <alignment horizontal="right" vertical="center" indent="1" shrinkToFit="1"/>
    </xf>
    <xf numFmtId="9" fontId="0" fillId="8" borderId="0" xfId="0" applyNumberFormat="1" applyFill="1" applyProtection="1">
      <protection hidden="1"/>
    </xf>
    <xf numFmtId="0" fontId="23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11" fillId="13" borderId="0" xfId="0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0" fontId="10" fillId="6" borderId="0" xfId="0" applyFont="1" applyFill="1" applyAlignment="1" applyProtection="1">
      <alignment horizontal="center" vertical="center"/>
      <protection hidden="1"/>
    </xf>
    <xf numFmtId="0" fontId="10" fillId="6" borderId="0" xfId="0" applyFont="1" applyFill="1" applyAlignment="1">
      <alignment horizontal="center" vertical="center"/>
    </xf>
    <xf numFmtId="0" fontId="10" fillId="10" borderId="0" xfId="0" applyFont="1" applyFill="1" applyAlignment="1" applyProtection="1">
      <alignment horizontal="left" vertical="center" indent="1"/>
      <protection locked="0"/>
    </xf>
    <xf numFmtId="0" fontId="10" fillId="11" borderId="0" xfId="0" applyFont="1" applyFill="1" applyAlignment="1" applyProtection="1">
      <alignment horizontal="left" vertical="center" indent="1"/>
      <protection locked="0"/>
    </xf>
    <xf numFmtId="0" fontId="20" fillId="0" borderId="0" xfId="0" applyFont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164" fontId="17" fillId="0" borderId="0" xfId="0" applyNumberFormat="1" applyFont="1" applyAlignment="1" applyProtection="1">
      <alignment horizontal="left"/>
      <protection hidden="1"/>
    </xf>
    <xf numFmtId="164" fontId="17" fillId="0" borderId="0" xfId="0" applyNumberFormat="1" applyFont="1" applyAlignment="1" applyProtection="1">
      <alignment horizontal="left" shrinkToFit="1"/>
      <protection hidden="1"/>
    </xf>
    <xf numFmtId="0" fontId="18" fillId="2" borderId="1" xfId="0" applyFont="1" applyFill="1" applyBorder="1" applyAlignment="1" applyProtection="1">
      <alignment horizontal="center" vertical="center" wrapText="1"/>
      <protection hidden="1"/>
    </xf>
    <xf numFmtId="0" fontId="18" fillId="3" borderId="1" xfId="0" applyFont="1" applyFill="1" applyBorder="1" applyAlignment="1" applyProtection="1">
      <alignment horizontal="center" vertical="center" wrapText="1"/>
      <protection hidden="1"/>
    </xf>
    <xf numFmtId="2" fontId="18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3" xfId="0" applyFont="1" applyBorder="1" applyAlignment="1" applyProtection="1">
      <alignment horizontal="center" vertical="center" wrapText="1"/>
      <protection hidden="1"/>
    </xf>
    <xf numFmtId="0" fontId="25" fillId="0" borderId="4" xfId="0" applyFont="1" applyBorder="1" applyAlignment="1" applyProtection="1">
      <alignment horizontal="center" vertical="center" wrapText="1"/>
      <protection hidden="1"/>
    </xf>
    <xf numFmtId="0" fontId="25" fillId="0" borderId="3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15" borderId="1" xfId="0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 wrapText="1"/>
      <protection hidden="1"/>
    </xf>
    <xf numFmtId="0" fontId="0" fillId="2" borderId="1" xfId="0" applyFill="1" applyBorder="1" applyAlignment="1" applyProtection="1">
      <alignment horizontal="center" vertical="center" wrapText="1"/>
      <protection hidden="1"/>
    </xf>
    <xf numFmtId="0" fontId="0" fillId="8" borderId="1" xfId="0" applyFill="1" applyBorder="1" applyAlignment="1" applyProtection="1">
      <alignment horizontal="center" vertical="center" wrapText="1"/>
      <protection hidden="1"/>
    </xf>
    <xf numFmtId="0" fontId="0" fillId="8" borderId="3" xfId="0" applyFill="1" applyBorder="1" applyAlignment="1" applyProtection="1">
      <alignment horizontal="center" vertical="center" wrapText="1"/>
      <protection hidden="1"/>
    </xf>
    <xf numFmtId="0" fontId="0" fillId="9" borderId="3" xfId="0" applyFill="1" applyBorder="1" applyAlignment="1" applyProtection="1">
      <alignment horizontal="center" vertical="center" wrapText="1"/>
      <protection hidden="1"/>
    </xf>
    <xf numFmtId="0" fontId="0" fillId="9" borderId="4" xfId="0" applyFill="1" applyBorder="1" applyAlignment="1" applyProtection="1">
      <alignment horizontal="center" vertical="center" wrapText="1"/>
      <protection hidden="1"/>
    </xf>
    <xf numFmtId="0" fontId="0" fillId="14" borderId="3" xfId="0" applyFill="1" applyBorder="1" applyAlignment="1" applyProtection="1">
      <alignment horizontal="center" vertical="center" wrapText="1" shrinkToFit="1"/>
      <protection hidden="1"/>
    </xf>
    <xf numFmtId="0" fontId="0" fillId="14" borderId="4" xfId="0" applyFill="1" applyBorder="1" applyAlignment="1">
      <alignment horizontal="center" vertical="center" wrapText="1" shrinkToFit="1"/>
    </xf>
    <xf numFmtId="0" fontId="13" fillId="0" borderId="0" xfId="0" applyFont="1" applyAlignment="1">
      <alignment horizontal="center"/>
    </xf>
    <xf numFmtId="164" fontId="10" fillId="0" borderId="0" xfId="0" applyNumberFormat="1" applyFont="1" applyAlignment="1">
      <alignment horizontal="left"/>
    </xf>
    <xf numFmtId="165" fontId="1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/>
    </xf>
    <xf numFmtId="0" fontId="14" fillId="0" borderId="0" xfId="0" applyFont="1" applyAlignment="1" applyProtection="1">
      <alignment horizontal="center"/>
      <protection hidden="1"/>
    </xf>
    <xf numFmtId="165" fontId="21" fillId="0" borderId="0" xfId="0" applyNumberFormat="1" applyFont="1" applyAlignment="1" applyProtection="1">
      <alignment horizontal="left" vertical="center"/>
      <protection hidden="1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shrinkToFit="1"/>
    </xf>
    <xf numFmtId="0" fontId="10" fillId="6" borderId="0" xfId="0" applyFont="1" applyFill="1" applyAlignment="1">
      <alignment horizontal="left" vertical="center" indent="1"/>
    </xf>
    <xf numFmtId="0" fontId="17" fillId="0" borderId="0" xfId="0" applyFont="1" applyAlignment="1">
      <alignment horizontal="right"/>
    </xf>
    <xf numFmtId="0" fontId="10" fillId="18" borderId="0" xfId="0" applyFont="1" applyFill="1" applyAlignment="1">
      <alignment horizontal="right" vertical="center" indent="1" shrinkToFit="1"/>
    </xf>
    <xf numFmtId="0" fontId="29" fillId="18" borderId="0" xfId="0" applyFont="1" applyFill="1" applyAlignment="1">
      <alignment horizontal="center"/>
    </xf>
    <xf numFmtId="0" fontId="25" fillId="6" borderId="0" xfId="0" applyFont="1" applyFill="1" applyAlignment="1">
      <alignment horizontal="right" vertical="center" indent="1" shrinkToFit="1"/>
    </xf>
    <xf numFmtId="0" fontId="10" fillId="6" borderId="0" xfId="0" applyFont="1" applyFill="1" applyAlignment="1">
      <alignment horizontal="right" vertical="center" indent="1" shrinkToFit="1"/>
    </xf>
    <xf numFmtId="2" fontId="22" fillId="12" borderId="1" xfId="0" applyNumberFormat="1" applyFont="1" applyFill="1" applyBorder="1" applyAlignment="1" applyProtection="1">
      <alignment horizontal="center" vertical="center" wrapText="1"/>
      <protection hidden="1"/>
    </xf>
    <xf numFmtId="0" fontId="21" fillId="0" borderId="1" xfId="0" applyFont="1" applyBorder="1" applyAlignment="1">
      <alignment horizontal="left" vertical="center" shrinkToFit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3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8" borderId="0" xfId="0" applyFill="1" applyAlignment="1">
      <alignment horizontal="center"/>
    </xf>
    <xf numFmtId="0" fontId="0" fillId="14" borderId="0" xfId="0" applyFill="1" applyAlignment="1">
      <alignment horizontal="center"/>
    </xf>
    <xf numFmtId="9" fontId="0" fillId="0" borderId="0" xfId="1" quotePrefix="1" applyFont="1" applyProtection="1">
      <protection hidden="1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1" fontId="0" fillId="0" borderId="0" xfId="0" applyNumberFormat="1" applyProtection="1">
      <protection hidden="1"/>
    </xf>
    <xf numFmtId="1" fontId="34" fillId="10" borderId="0" xfId="0" applyNumberFormat="1" applyFont="1" applyFill="1" applyAlignment="1" applyProtection="1">
      <alignment horizontal="center" vertical="center" shrinkToFit="1"/>
      <protection hidden="1"/>
    </xf>
    <xf numFmtId="0" fontId="22" fillId="0" borderId="7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 tint="-4.9989318521683403E-2"/>
      </font>
      <fill>
        <patternFill patternType="none">
          <bgColor auto="1"/>
        </patternFill>
      </fill>
    </dxf>
    <dxf>
      <font>
        <color theme="0" tint="-4.9989318521683403E-2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8B8B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257178</xdr:colOff>
      <xdr:row>13</xdr:row>
      <xdr:rowOff>142875</xdr:rowOff>
    </xdr:from>
    <xdr:ext cx="1200147" cy="352425"/>
    <xdr:sp macro="[0]!print_has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534DB6-CA3B-BAF4-1040-B48B57E1C2FC}"/>
            </a:ext>
          </a:extLst>
        </xdr:cNvPr>
        <xdr:cNvSpPr>
          <a:spLocks/>
        </xdr:cNvSpPr>
      </xdr:nvSpPr>
      <xdr:spPr>
        <a:xfrm>
          <a:off x="4381503" y="2667000"/>
          <a:ext cx="1200147" cy="35242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id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  <a:reflection blurRad="6350" stA="55000" endA="300" endPos="45500" dir="5400000" sy="-100000" algn="bl" rotWithShape="0"/>
              </a:effectLst>
              <a:latin typeface="Arial Narrow" panose="020B0606020202030204" pitchFamily="34" charset="0"/>
            </a:rPr>
            <a:t>Print Hasil</a:t>
          </a:r>
        </a:p>
      </xdr:txBody>
    </xdr:sp>
    <xdr:clientData/>
  </xdr:oneCellAnchor>
  <xdr:oneCellAnchor>
    <xdr:from>
      <xdr:col>10</xdr:col>
      <xdr:colOff>257178</xdr:colOff>
      <xdr:row>15</xdr:row>
      <xdr:rowOff>228600</xdr:rowOff>
    </xdr:from>
    <xdr:ext cx="1200147" cy="352425"/>
    <xdr:sp macro="[0]!print_konversi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2FA149-BA19-6763-B7FC-F7D50395F6A1}"/>
            </a:ext>
          </a:extLst>
        </xdr:cNvPr>
        <xdr:cNvSpPr>
          <a:spLocks/>
        </xdr:cNvSpPr>
      </xdr:nvSpPr>
      <xdr:spPr>
        <a:xfrm>
          <a:off x="4381503" y="3086100"/>
          <a:ext cx="1200147" cy="35242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id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  <a:reflection blurRad="6350" stA="55000" endA="300" endPos="45500" dir="5400000" sy="-100000" algn="bl" rotWithShape="0"/>
              </a:effectLst>
              <a:latin typeface="Arial Narrow" panose="020B0606020202030204" pitchFamily="34" charset="0"/>
            </a:rPr>
            <a:t>Print Konversi</a:t>
          </a:r>
        </a:p>
      </xdr:txBody>
    </xdr:sp>
    <xdr:clientData/>
  </xdr:oneCellAnchor>
  <xdr:oneCellAnchor>
    <xdr:from>
      <xdr:col>10</xdr:col>
      <xdr:colOff>257178</xdr:colOff>
      <xdr:row>11</xdr:row>
      <xdr:rowOff>66675</xdr:rowOff>
    </xdr:from>
    <xdr:ext cx="1200147" cy="352425"/>
    <xdr:sp macro="[0]!print_analis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4A47F92-B489-6012-D867-6CACD373335D}"/>
            </a:ext>
          </a:extLst>
        </xdr:cNvPr>
        <xdr:cNvSpPr>
          <a:spLocks/>
        </xdr:cNvSpPr>
      </xdr:nvSpPr>
      <xdr:spPr>
        <a:xfrm>
          <a:off x="4381503" y="2257425"/>
          <a:ext cx="1200147" cy="35242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id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  <a:reflection blurRad="6350" stA="55000" endA="300" endPos="45500" dir="5400000" sy="-100000" algn="bl" rotWithShape="0"/>
              </a:effectLst>
              <a:latin typeface="Arial Narrow" panose="020B0606020202030204" pitchFamily="34" charset="0"/>
            </a:rPr>
            <a:t>Print Analisa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EE-6D2B-4229-A99B-BEE383917C7F}">
  <sheetPr codeName="Sheet9"/>
  <dimension ref="A1:O49"/>
  <sheetViews>
    <sheetView workbookViewId="0">
      <selection activeCell="O5" sqref="O5"/>
    </sheetView>
  </sheetViews>
  <sheetFormatPr defaultRowHeight="15" customHeight="1" x14ac:dyDescent="0.25"/>
  <cols>
    <col min="1" max="1" width="21.42578125" style="19" bestFit="1" customWidth="1"/>
    <col min="2" max="5" width="2.7109375" style="19" customWidth="1"/>
    <col min="6" max="6" width="23.42578125" style="19" bestFit="1" customWidth="1"/>
    <col min="7" max="16384" width="9.140625" style="19"/>
  </cols>
  <sheetData>
    <row r="1" spans="1:15" ht="15" customHeight="1" x14ac:dyDescent="0.25">
      <c r="A1" s="165" t="s">
        <v>305</v>
      </c>
      <c r="F1" s="165" t="s">
        <v>306</v>
      </c>
    </row>
    <row r="2" spans="1:15" ht="15" customHeight="1" x14ac:dyDescent="0.25">
      <c r="A2" s="168" t="s">
        <v>307</v>
      </c>
      <c r="F2" s="171" t="s">
        <v>312</v>
      </c>
      <c r="I2" s="19" t="s">
        <v>513</v>
      </c>
    </row>
    <row r="3" spans="1:15" ht="15" customHeight="1" x14ac:dyDescent="0.25">
      <c r="A3" s="169" t="s">
        <v>309</v>
      </c>
      <c r="F3" s="171" t="s">
        <v>314</v>
      </c>
      <c r="I3" s="166">
        <v>1</v>
      </c>
      <c r="J3" s="166">
        <f>J4+J5+J6</f>
        <v>1</v>
      </c>
      <c r="K3" s="167">
        <f>I3-J3</f>
        <v>0</v>
      </c>
      <c r="O3" s="19" t="s">
        <v>514</v>
      </c>
    </row>
    <row r="4" spans="1:15" ht="15" customHeight="1" x14ac:dyDescent="0.25">
      <c r="A4" s="170" t="s">
        <v>311</v>
      </c>
      <c r="F4" s="171" t="s">
        <v>340</v>
      </c>
      <c r="I4" s="19" t="s">
        <v>503</v>
      </c>
      <c r="J4" s="166">
        <f>DATA!J16</f>
        <v>1</v>
      </c>
      <c r="K4" s="167">
        <f>$I$3-J4</f>
        <v>0</v>
      </c>
      <c r="L4" s="180">
        <f>IF(N4="",0,N4)</f>
        <v>1</v>
      </c>
      <c r="N4" s="233">
        <f>IF($J$6&gt;0,(IF(J5&gt;0,J4,I3-J6)),(IF(J5&gt;0,(I3-J4-J5)+J4,IF(J4&gt;0,J4,""))))</f>
        <v>1</v>
      </c>
      <c r="O4" s="19">
        <f>IF(L4=0,IF(DATA!$F$18="YA",0.5,1),L4)</f>
        <v>1</v>
      </c>
    </row>
    <row r="5" spans="1:15" ht="15" customHeight="1" x14ac:dyDescent="0.25">
      <c r="A5" s="170" t="s">
        <v>313</v>
      </c>
      <c r="F5" s="171" t="s">
        <v>343</v>
      </c>
      <c r="I5" s="19" t="s">
        <v>504</v>
      </c>
      <c r="J5" s="166">
        <f>IF(DATA!$F$18="YA",DATA!J18,0)</f>
        <v>0</v>
      </c>
      <c r="K5" s="167">
        <f t="shared" ref="K5:K6" si="0">$I$3-J5</f>
        <v>1</v>
      </c>
      <c r="L5" s="180">
        <f t="shared" ref="L5:L6" si="1">IF(N5="",0,N5)</f>
        <v>0</v>
      </c>
      <c r="N5" s="233" t="str">
        <f>IF(J6&gt;0,(IF(J5&gt;0,I3-J4-J6,0)),(IF(DATA!$F$18="Tidak",J5,"")))</f>
        <v/>
      </c>
      <c r="O5" s="19">
        <f>IF(L5=0,0.5,L5)</f>
        <v>0.5</v>
      </c>
    </row>
    <row r="6" spans="1:15" ht="15" customHeight="1" x14ac:dyDescent="0.25">
      <c r="A6" s="170" t="s">
        <v>315</v>
      </c>
      <c r="F6" s="171" t="s">
        <v>341</v>
      </c>
      <c r="I6" s="19" t="s">
        <v>505</v>
      </c>
      <c r="J6" s="166">
        <f>IF(DATA!$F$20="YA",DATA!J20,0)</f>
        <v>0</v>
      </c>
      <c r="K6" s="167">
        <f t="shared" si="0"/>
        <v>1</v>
      </c>
      <c r="L6" s="180">
        <f t="shared" si="1"/>
        <v>0</v>
      </c>
      <c r="N6" s="166" t="str">
        <f>IF(J5&gt;0,IF(DATA!$F$20="YA",I3-J4-J5,0),IF(DATA!$F$20="Tidak",J6,""))</f>
        <v/>
      </c>
    </row>
    <row r="7" spans="1:15" ht="15" customHeight="1" x14ac:dyDescent="0.25">
      <c r="A7" s="170" t="s">
        <v>317</v>
      </c>
      <c r="F7" s="171" t="s">
        <v>353</v>
      </c>
      <c r="N7" s="236">
        <f>COUNTIF(N4:N6,"")</f>
        <v>2</v>
      </c>
    </row>
    <row r="8" spans="1:15" ht="15" customHeight="1" x14ac:dyDescent="0.25">
      <c r="A8" s="170" t="s">
        <v>319</v>
      </c>
      <c r="F8" s="171" t="s">
        <v>338</v>
      </c>
    </row>
    <row r="9" spans="1:15" ht="15" customHeight="1" x14ac:dyDescent="0.25">
      <c r="A9" s="170" t="s">
        <v>321</v>
      </c>
      <c r="F9" s="171" t="s">
        <v>345</v>
      </c>
    </row>
    <row r="10" spans="1:15" ht="15" customHeight="1" x14ac:dyDescent="0.25">
      <c r="A10" s="170" t="s">
        <v>323</v>
      </c>
      <c r="F10" s="171" t="s">
        <v>349</v>
      </c>
    </row>
    <row r="11" spans="1:15" ht="15" customHeight="1" x14ac:dyDescent="0.25">
      <c r="A11" s="170" t="s">
        <v>325</v>
      </c>
      <c r="F11" s="171" t="s">
        <v>347</v>
      </c>
    </row>
    <row r="12" spans="1:15" ht="15" customHeight="1" x14ac:dyDescent="0.25">
      <c r="A12" s="170" t="s">
        <v>327</v>
      </c>
      <c r="F12" s="171" t="s">
        <v>326</v>
      </c>
    </row>
    <row r="13" spans="1:15" ht="15" customHeight="1" x14ac:dyDescent="0.25">
      <c r="A13" s="170" t="s">
        <v>329</v>
      </c>
      <c r="F13" s="171" t="s">
        <v>336</v>
      </c>
    </row>
    <row r="14" spans="1:15" ht="15" customHeight="1" x14ac:dyDescent="0.25">
      <c r="A14" s="170" t="s">
        <v>331</v>
      </c>
      <c r="F14" s="171" t="s">
        <v>328</v>
      </c>
    </row>
    <row r="15" spans="1:15" ht="15" customHeight="1" x14ac:dyDescent="0.25">
      <c r="A15" s="170" t="s">
        <v>333</v>
      </c>
      <c r="F15" s="171" t="s">
        <v>330</v>
      </c>
    </row>
    <row r="16" spans="1:15" ht="15" customHeight="1" x14ac:dyDescent="0.25">
      <c r="A16" s="170" t="s">
        <v>335</v>
      </c>
      <c r="F16" s="171" t="s">
        <v>308</v>
      </c>
    </row>
    <row r="17" spans="1:6" ht="15" customHeight="1" x14ac:dyDescent="0.25">
      <c r="A17" s="170" t="s">
        <v>337</v>
      </c>
      <c r="F17" s="171" t="s">
        <v>322</v>
      </c>
    </row>
    <row r="18" spans="1:6" ht="15" customHeight="1" x14ac:dyDescent="0.25">
      <c r="A18" s="170" t="s">
        <v>339</v>
      </c>
      <c r="F18" s="171" t="s">
        <v>320</v>
      </c>
    </row>
    <row r="19" spans="1:6" ht="15" customHeight="1" x14ac:dyDescent="0.25">
      <c r="A19" s="170" t="s">
        <v>342</v>
      </c>
      <c r="F19" s="171" t="s">
        <v>324</v>
      </c>
    </row>
    <row r="20" spans="1:6" ht="15" customHeight="1" x14ac:dyDescent="0.25">
      <c r="A20" s="170" t="s">
        <v>344</v>
      </c>
      <c r="F20" s="171" t="s">
        <v>310</v>
      </c>
    </row>
    <row r="21" spans="1:6" ht="15" customHeight="1" x14ac:dyDescent="0.25">
      <c r="A21" s="170" t="s">
        <v>346</v>
      </c>
      <c r="F21" s="171" t="s">
        <v>332</v>
      </c>
    </row>
    <row r="22" spans="1:6" ht="15" customHeight="1" x14ac:dyDescent="0.25">
      <c r="A22" s="170" t="s">
        <v>348</v>
      </c>
      <c r="F22" s="171" t="s">
        <v>334</v>
      </c>
    </row>
    <row r="23" spans="1:6" ht="15" customHeight="1" x14ac:dyDescent="0.25">
      <c r="A23" s="170" t="s">
        <v>350</v>
      </c>
      <c r="F23" s="171" t="s">
        <v>318</v>
      </c>
    </row>
    <row r="24" spans="1:6" ht="15" customHeight="1" x14ac:dyDescent="0.25">
      <c r="A24" s="170" t="s">
        <v>352</v>
      </c>
      <c r="F24" s="171" t="s">
        <v>316</v>
      </c>
    </row>
    <row r="25" spans="1:6" ht="15" customHeight="1" x14ac:dyDescent="0.25">
      <c r="A25" s="170" t="s">
        <v>354</v>
      </c>
      <c r="F25" s="171" t="s">
        <v>351</v>
      </c>
    </row>
    <row r="26" spans="1:6" ht="15" customHeight="1" x14ac:dyDescent="0.25">
      <c r="A26" s="170" t="s">
        <v>355</v>
      </c>
      <c r="F26" s="171"/>
    </row>
    <row r="27" spans="1:6" ht="15" customHeight="1" x14ac:dyDescent="0.25">
      <c r="A27" s="170" t="s">
        <v>356</v>
      </c>
      <c r="F27" s="171"/>
    </row>
    <row r="28" spans="1:6" ht="15" customHeight="1" x14ac:dyDescent="0.25">
      <c r="A28" s="170" t="s">
        <v>357</v>
      </c>
      <c r="F28" s="171"/>
    </row>
    <row r="29" spans="1:6" ht="15" customHeight="1" x14ac:dyDescent="0.25">
      <c r="A29" s="170" t="s">
        <v>358</v>
      </c>
      <c r="F29" s="171"/>
    </row>
    <row r="30" spans="1:6" ht="15" customHeight="1" x14ac:dyDescent="0.25">
      <c r="A30" s="170" t="s">
        <v>359</v>
      </c>
      <c r="F30" s="171"/>
    </row>
    <row r="31" spans="1:6" ht="15" customHeight="1" x14ac:dyDescent="0.25">
      <c r="A31" s="170" t="s">
        <v>360</v>
      </c>
      <c r="F31" s="171"/>
    </row>
    <row r="32" spans="1:6" ht="15" customHeight="1" x14ac:dyDescent="0.25">
      <c r="A32" s="170" t="s">
        <v>361</v>
      </c>
      <c r="F32" s="171"/>
    </row>
    <row r="33" spans="1:6" ht="15" customHeight="1" x14ac:dyDescent="0.25">
      <c r="A33" s="170" t="s">
        <v>362</v>
      </c>
      <c r="F33" s="171"/>
    </row>
    <row r="34" spans="1:6" ht="15" customHeight="1" x14ac:dyDescent="0.25">
      <c r="A34" s="170" t="s">
        <v>363</v>
      </c>
      <c r="F34" s="171"/>
    </row>
    <row r="35" spans="1:6" ht="15" customHeight="1" x14ac:dyDescent="0.25">
      <c r="A35" s="170" t="s">
        <v>364</v>
      </c>
      <c r="F35" s="171"/>
    </row>
    <row r="36" spans="1:6" ht="15" customHeight="1" x14ac:dyDescent="0.25">
      <c r="A36" s="170" t="s">
        <v>365</v>
      </c>
      <c r="F36" s="171"/>
    </row>
    <row r="37" spans="1:6" ht="15" customHeight="1" x14ac:dyDescent="0.25">
      <c r="A37" s="170" t="s">
        <v>366</v>
      </c>
      <c r="F37" s="171"/>
    </row>
    <row r="38" spans="1:6" ht="15" customHeight="1" x14ac:dyDescent="0.25">
      <c r="A38" s="170" t="s">
        <v>367</v>
      </c>
      <c r="F38" s="171"/>
    </row>
    <row r="39" spans="1:6" ht="15" customHeight="1" x14ac:dyDescent="0.25">
      <c r="A39" s="170" t="s">
        <v>368</v>
      </c>
      <c r="F39" s="171"/>
    </row>
    <row r="40" spans="1:6" ht="15" customHeight="1" x14ac:dyDescent="0.25">
      <c r="A40" s="170" t="s">
        <v>368</v>
      </c>
      <c r="F40" s="171"/>
    </row>
    <row r="41" spans="1:6" ht="15" customHeight="1" x14ac:dyDescent="0.25">
      <c r="A41" s="170" t="s">
        <v>369</v>
      </c>
      <c r="F41" s="171"/>
    </row>
    <row r="42" spans="1:6" ht="15" customHeight="1" x14ac:dyDescent="0.25">
      <c r="A42" s="170" t="s">
        <v>370</v>
      </c>
      <c r="F42" s="171"/>
    </row>
    <row r="43" spans="1:6" ht="15" customHeight="1" x14ac:dyDescent="0.25">
      <c r="A43" s="170" t="s">
        <v>371</v>
      </c>
      <c r="F43" s="171"/>
    </row>
    <row r="44" spans="1:6" ht="15" customHeight="1" x14ac:dyDescent="0.25">
      <c r="A44" s="170" t="s">
        <v>372</v>
      </c>
      <c r="F44" s="171"/>
    </row>
    <row r="45" spans="1:6" ht="15" customHeight="1" x14ac:dyDescent="0.25">
      <c r="A45" s="170" t="s">
        <v>373</v>
      </c>
      <c r="F45" s="171"/>
    </row>
    <row r="46" spans="1:6" ht="15" customHeight="1" x14ac:dyDescent="0.25">
      <c r="A46" s="170"/>
      <c r="F46" s="171"/>
    </row>
    <row r="47" spans="1:6" ht="15" customHeight="1" x14ac:dyDescent="0.25">
      <c r="A47" s="170"/>
      <c r="F47" s="171"/>
    </row>
    <row r="48" spans="1:6" ht="15" customHeight="1" x14ac:dyDescent="0.25">
      <c r="A48" s="170"/>
      <c r="F48" s="171"/>
    </row>
    <row r="49" spans="1:6" ht="15" customHeight="1" x14ac:dyDescent="0.25">
      <c r="A49" s="170"/>
      <c r="F49" s="171"/>
    </row>
  </sheetData>
  <sheetProtection selectLockedCells="1"/>
  <sortState xmlns:xlrd2="http://schemas.microsoft.com/office/spreadsheetml/2017/richdata2" ref="F2:F49">
    <sortCondition ref="F2:F4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72AA-F768-4381-8F01-68E60889344A}">
  <sheetPr codeName="Sheet4"/>
  <dimension ref="A1:CC226"/>
  <sheetViews>
    <sheetView tabSelected="1" workbookViewId="0">
      <pane xSplit="3" ySplit="2" topLeftCell="BK3" activePane="bottomRight" state="frozen"/>
      <selection pane="topRight" activeCell="D1" sqref="D1"/>
      <selection pane="bottomLeft" activeCell="A3" sqref="A3"/>
      <selection pane="bottomRight" activeCell="BS3" sqref="BS3:BS222"/>
    </sheetView>
  </sheetViews>
  <sheetFormatPr defaultRowHeight="15" x14ac:dyDescent="0.25"/>
  <cols>
    <col min="1" max="1" width="4.85546875" style="19" bestFit="1" customWidth="1"/>
    <col min="2" max="2" width="11.85546875" style="19" bestFit="1" customWidth="1"/>
    <col min="3" max="3" width="19.85546875" style="19" bestFit="1" customWidth="1"/>
    <col min="4" max="63" width="2" style="19" customWidth="1"/>
    <col min="64" max="67" width="8.85546875" style="19" customWidth="1"/>
    <col min="68" max="69" width="6.7109375" style="19" customWidth="1"/>
    <col min="70" max="70" width="7.140625" style="19" customWidth="1"/>
    <col min="71" max="71" width="8.28515625" style="19" customWidth="1"/>
    <col min="72" max="72" width="9" style="19" bestFit="1" customWidth="1"/>
    <col min="73" max="76" width="4.7109375" style="48" customWidth="1"/>
    <col min="77" max="16384" width="9.140625" style="19"/>
  </cols>
  <sheetData>
    <row r="1" spans="1:81" x14ac:dyDescent="0.25">
      <c r="A1" s="202" t="s">
        <v>14</v>
      </c>
      <c r="B1" s="202" t="s">
        <v>15</v>
      </c>
      <c r="C1" s="203" t="s">
        <v>16</v>
      </c>
      <c r="D1" s="123">
        <v>1</v>
      </c>
      <c r="E1" s="123">
        <v>2</v>
      </c>
      <c r="F1" s="123">
        <v>3</v>
      </c>
      <c r="G1" s="123">
        <v>4</v>
      </c>
      <c r="H1" s="123">
        <v>5</v>
      </c>
      <c r="I1" s="123">
        <v>6</v>
      </c>
      <c r="J1" s="123">
        <v>7</v>
      </c>
      <c r="K1" s="123">
        <v>8</v>
      </c>
      <c r="L1" s="123">
        <v>9</v>
      </c>
      <c r="M1" s="123">
        <v>10</v>
      </c>
      <c r="N1" s="123">
        <v>11</v>
      </c>
      <c r="O1" s="123">
        <v>12</v>
      </c>
      <c r="P1" s="123">
        <v>13</v>
      </c>
      <c r="Q1" s="123">
        <v>14</v>
      </c>
      <c r="R1" s="123">
        <v>15</v>
      </c>
      <c r="S1" s="123">
        <v>16</v>
      </c>
      <c r="T1" s="123">
        <v>17</v>
      </c>
      <c r="U1" s="123">
        <v>18</v>
      </c>
      <c r="V1" s="123">
        <v>19</v>
      </c>
      <c r="W1" s="123">
        <v>20</v>
      </c>
      <c r="X1" s="123">
        <v>21</v>
      </c>
      <c r="Y1" s="123">
        <v>22</v>
      </c>
      <c r="Z1" s="123">
        <v>23</v>
      </c>
      <c r="AA1" s="123">
        <v>24</v>
      </c>
      <c r="AB1" s="123">
        <v>25</v>
      </c>
      <c r="AC1" s="123">
        <v>26</v>
      </c>
      <c r="AD1" s="123">
        <v>27</v>
      </c>
      <c r="AE1" s="123">
        <v>28</v>
      </c>
      <c r="AF1" s="123">
        <v>29</v>
      </c>
      <c r="AG1" s="123">
        <v>30</v>
      </c>
      <c r="AH1" s="123">
        <v>31</v>
      </c>
      <c r="AI1" s="123">
        <v>32</v>
      </c>
      <c r="AJ1" s="123">
        <v>33</v>
      </c>
      <c r="AK1" s="123">
        <v>34</v>
      </c>
      <c r="AL1" s="123">
        <v>35</v>
      </c>
      <c r="AM1" s="123">
        <v>36</v>
      </c>
      <c r="AN1" s="123">
        <v>37</v>
      </c>
      <c r="AO1" s="123">
        <v>38</v>
      </c>
      <c r="AP1" s="123">
        <v>39</v>
      </c>
      <c r="AQ1" s="123">
        <v>40</v>
      </c>
      <c r="AR1" s="123">
        <v>41</v>
      </c>
      <c r="AS1" s="123">
        <v>42</v>
      </c>
      <c r="AT1" s="123">
        <v>43</v>
      </c>
      <c r="AU1" s="123">
        <v>44</v>
      </c>
      <c r="AV1" s="123">
        <v>45</v>
      </c>
      <c r="AW1" s="123">
        <v>46</v>
      </c>
      <c r="AX1" s="123">
        <v>47</v>
      </c>
      <c r="AY1" s="123">
        <v>48</v>
      </c>
      <c r="AZ1" s="123">
        <v>49</v>
      </c>
      <c r="BA1" s="123">
        <v>50</v>
      </c>
      <c r="BB1" s="123">
        <v>51</v>
      </c>
      <c r="BC1" s="123">
        <v>52</v>
      </c>
      <c r="BD1" s="123">
        <v>53</v>
      </c>
      <c r="BE1" s="123">
        <v>54</v>
      </c>
      <c r="BF1" s="123">
        <v>55</v>
      </c>
      <c r="BG1" s="123">
        <v>56</v>
      </c>
      <c r="BH1" s="123">
        <v>57</v>
      </c>
      <c r="BI1" s="123">
        <v>58</v>
      </c>
      <c r="BJ1" s="123">
        <v>59</v>
      </c>
      <c r="BK1" s="123">
        <v>60</v>
      </c>
      <c r="BL1" s="206" t="s">
        <v>252</v>
      </c>
      <c r="BM1" s="208" t="str">
        <f>"Kosong dari  "&amp;DATA!$F$14</f>
        <v>Kosong dari  40</v>
      </c>
      <c r="BN1" s="205" t="s">
        <v>17</v>
      </c>
      <c r="BO1" s="204" t="s">
        <v>18</v>
      </c>
      <c r="BP1" s="200" t="s">
        <v>19</v>
      </c>
      <c r="BQ1" s="200" t="s">
        <v>20</v>
      </c>
      <c r="BR1" s="200" t="s">
        <v>277</v>
      </c>
      <c r="BS1" s="210" t="s">
        <v>301</v>
      </c>
      <c r="BT1" s="201" t="s">
        <v>272</v>
      </c>
      <c r="BU1" s="200" t="s">
        <v>268</v>
      </c>
      <c r="BV1" s="200" t="s">
        <v>269</v>
      </c>
      <c r="BW1" s="200" t="s">
        <v>296</v>
      </c>
      <c r="BX1" s="200" t="s">
        <v>271</v>
      </c>
    </row>
    <row r="2" spans="1:81" x14ac:dyDescent="0.25">
      <c r="A2" s="202"/>
      <c r="B2" s="202"/>
      <c r="C2" s="203"/>
      <c r="D2" s="124" t="str">
        <f>IF(Ujian!D$9="","",Ujian!D$9)</f>
        <v>D</v>
      </c>
      <c r="E2" s="124" t="str">
        <f>IF(Ujian!E$9="","",Ujian!E$9)</f>
        <v>A</v>
      </c>
      <c r="F2" s="124" t="str">
        <f>IF(Ujian!F$9="","",Ujian!F$9)</f>
        <v>C</v>
      </c>
      <c r="G2" s="124" t="str">
        <f>IF(Ujian!G$9="","",Ujian!G$9)</f>
        <v>D</v>
      </c>
      <c r="H2" s="124" t="str">
        <f>IF(Ujian!H$9="","",Ujian!H$9)</f>
        <v>D</v>
      </c>
      <c r="I2" s="124" t="str">
        <f>IF(Ujian!I$9="","",Ujian!I$9)</f>
        <v>B</v>
      </c>
      <c r="J2" s="124" t="str">
        <f>IF(Ujian!J$9="","",Ujian!J$9)</f>
        <v>A</v>
      </c>
      <c r="K2" s="124" t="str">
        <f>IF(Ujian!K$9="","",Ujian!K$9)</f>
        <v>D</v>
      </c>
      <c r="L2" s="124" t="str">
        <f>IF(Ujian!L$9="","",Ujian!L$9)</f>
        <v>A</v>
      </c>
      <c r="M2" s="124" t="str">
        <f>IF(Ujian!M$9="","",Ujian!M$9)</f>
        <v>A</v>
      </c>
      <c r="N2" s="124" t="str">
        <f>IF(Ujian!N$9="","",Ujian!N$9)</f>
        <v>C</v>
      </c>
      <c r="O2" s="124" t="str">
        <f>IF(Ujian!O$9="","",Ujian!O$9)</f>
        <v>B</v>
      </c>
      <c r="P2" s="124" t="str">
        <f>IF(Ujian!P$9="","",Ujian!P$9)</f>
        <v>A</v>
      </c>
      <c r="Q2" s="124" t="str">
        <f>IF(Ujian!Q$9="","",Ujian!Q$9)</f>
        <v>D</v>
      </c>
      <c r="R2" s="124" t="str">
        <f>IF(Ujian!R$9="","",Ujian!R$9)</f>
        <v>C</v>
      </c>
      <c r="S2" s="124" t="str">
        <f>IF(Ujian!S$9="","",Ujian!S$9)</f>
        <v>A</v>
      </c>
      <c r="T2" s="124" t="str">
        <f>IF(Ujian!T$9="","",Ujian!T$9)</f>
        <v>C</v>
      </c>
      <c r="U2" s="124" t="str">
        <f>IF(Ujian!U$9="","",Ujian!U$9)</f>
        <v>E</v>
      </c>
      <c r="V2" s="124" t="str">
        <f>IF(Ujian!V$9="","",Ujian!V$9)</f>
        <v>D</v>
      </c>
      <c r="W2" s="124" t="str">
        <f>IF(Ujian!W$9="","",Ujian!W$9)</f>
        <v>D</v>
      </c>
      <c r="X2" s="124" t="str">
        <f>IF(Ujian!X$9="","",Ujian!X$9)</f>
        <v>A</v>
      </c>
      <c r="Y2" s="124" t="str">
        <f>IF(Ujian!Y$9="","",Ujian!Y$9)</f>
        <v>A</v>
      </c>
      <c r="Z2" s="124" t="str">
        <f>IF(Ujian!Z$9="","",Ujian!Z$9)</f>
        <v>E</v>
      </c>
      <c r="AA2" s="124" t="str">
        <f>IF(Ujian!AA$9="","",Ujian!AA$9)</f>
        <v>B</v>
      </c>
      <c r="AB2" s="124" t="str">
        <f>IF(Ujian!AB$9="","",Ujian!AB$9)</f>
        <v>C</v>
      </c>
      <c r="AC2" s="124" t="str">
        <f>IF(Ujian!AC$9="","",Ujian!AC$9)</f>
        <v>C</v>
      </c>
      <c r="AD2" s="124" t="str">
        <f>IF(Ujian!AD$9="","",Ujian!AD$9)</f>
        <v>B</v>
      </c>
      <c r="AE2" s="124" t="str">
        <f>IF(Ujian!AE$9="","",Ujian!AE$9)</f>
        <v>C</v>
      </c>
      <c r="AF2" s="124" t="str">
        <f>IF(Ujian!AF$9="","",Ujian!AF$9)</f>
        <v>B</v>
      </c>
      <c r="AG2" s="124" t="str">
        <f>IF(Ujian!AG$9="","",Ujian!AG$9)</f>
        <v>C</v>
      </c>
      <c r="AH2" s="124" t="str">
        <f>IF(Ujian!AH$9="","",Ujian!AH$9)</f>
        <v>A</v>
      </c>
      <c r="AI2" s="124" t="str">
        <f>IF(Ujian!AI$9="","",Ujian!AI$9)</f>
        <v>B</v>
      </c>
      <c r="AJ2" s="124" t="str">
        <f>IF(Ujian!AJ$9="","",Ujian!AJ$9)</f>
        <v>C</v>
      </c>
      <c r="AK2" s="124" t="str">
        <f>IF(Ujian!AK$9="","",Ujian!AK$9)</f>
        <v>E</v>
      </c>
      <c r="AL2" s="124" t="str">
        <f>IF(Ujian!AL$9="","",Ujian!AL$9)</f>
        <v>C</v>
      </c>
      <c r="AM2" s="124" t="str">
        <f>IF(Ujian!AM$9="","",Ujian!AM$9)</f>
        <v>D</v>
      </c>
      <c r="AN2" s="124" t="str">
        <f>IF(Ujian!AN$9="","",Ujian!AN$9)</f>
        <v>C</v>
      </c>
      <c r="AO2" s="124" t="str">
        <f>IF(Ujian!AO$9="","",Ujian!AO$9)</f>
        <v>A</v>
      </c>
      <c r="AP2" s="124" t="str">
        <f>IF(Ujian!AP$9="","",Ujian!AP$9)</f>
        <v>C</v>
      </c>
      <c r="AQ2" s="124" t="str">
        <f>IF(Ujian!AQ$9="","",Ujian!AQ$9)</f>
        <v>A</v>
      </c>
      <c r="AR2" s="124" t="str">
        <f>IF(Ujian!AR$9="","",Ujian!AR$9)</f>
        <v>E</v>
      </c>
      <c r="AS2" s="124" t="str">
        <f>IF(Ujian!AS$9="","",Ujian!AS$9)</f>
        <v>B</v>
      </c>
      <c r="AT2" s="124" t="str">
        <f>IF(Ujian!AT$9="","",Ujian!AT$9)</f>
        <v>A</v>
      </c>
      <c r="AU2" s="124" t="str">
        <f>IF(Ujian!AU$9="","",Ujian!AU$9)</f>
        <v>A</v>
      </c>
      <c r="AV2" s="124" t="str">
        <f>IF(Ujian!AV$9="","",Ujian!AV$9)</f>
        <v>D</v>
      </c>
      <c r="AW2" s="124" t="str">
        <f>IF(Ujian!AW$9="","",Ujian!AW$9)</f>
        <v/>
      </c>
      <c r="AX2" s="124" t="str">
        <f>IF(Ujian!AX$9="","",Ujian!AX$9)</f>
        <v/>
      </c>
      <c r="AY2" s="124" t="str">
        <f>IF(Ujian!AY$9="","",Ujian!AY$9)</f>
        <v/>
      </c>
      <c r="AZ2" s="124" t="str">
        <f>IF(Ujian!AZ$9="","",Ujian!AZ$9)</f>
        <v/>
      </c>
      <c r="BA2" s="124" t="str">
        <f>IF(Ujian!BA$9="","",Ujian!BA$9)</f>
        <v/>
      </c>
      <c r="BB2" s="124" t="str">
        <f>IF(Ujian!BB$9="","",Ujian!BB$9)</f>
        <v/>
      </c>
      <c r="BC2" s="124" t="str">
        <f>IF(Ujian!BC$9="","",Ujian!BC$9)</f>
        <v/>
      </c>
      <c r="BD2" s="124" t="str">
        <f>IF(Ujian!BD$9="","",Ujian!BD$9)</f>
        <v/>
      </c>
      <c r="BE2" s="124" t="str">
        <f>IF(Ujian!BE$9="","",Ujian!BE$9)</f>
        <v/>
      </c>
      <c r="BF2" s="124" t="str">
        <f>IF(Ujian!BF$9="","",Ujian!BF$9)</f>
        <v/>
      </c>
      <c r="BG2" s="124" t="str">
        <f>IF(Ujian!BG$9="","",Ujian!BG$9)</f>
        <v/>
      </c>
      <c r="BH2" s="124" t="str">
        <f>IF(Ujian!BH$9="","",Ujian!BH$9)</f>
        <v/>
      </c>
      <c r="BI2" s="124" t="str">
        <f>IF(Ujian!BI$9="","",Ujian!BI$9)</f>
        <v/>
      </c>
      <c r="BJ2" s="124" t="str">
        <f>IF(Ujian!BJ$9="","",Ujian!BJ$9)</f>
        <v/>
      </c>
      <c r="BK2" s="124" t="str">
        <f>IF(Ujian!BK$9="","",Ujian!BK$9)</f>
        <v/>
      </c>
      <c r="BL2" s="207"/>
      <c r="BM2" s="209"/>
      <c r="BN2" s="205"/>
      <c r="BO2" s="204"/>
      <c r="BP2" s="200"/>
      <c r="BQ2" s="200"/>
      <c r="BR2" s="200"/>
      <c r="BS2" s="211"/>
      <c r="BT2" s="201"/>
      <c r="BU2" s="200"/>
      <c r="BV2" s="200"/>
      <c r="BW2" s="200"/>
      <c r="BX2" s="200"/>
    </row>
    <row r="3" spans="1:81" x14ac:dyDescent="0.25">
      <c r="A3" s="20" t="s">
        <v>28</v>
      </c>
      <c r="B3" s="21">
        <f>IF(Ujian!B10="","",Ujian!B10)</f>
        <v>234586</v>
      </c>
      <c r="C3" s="57" t="str">
        <f>IF(Ujian!C10="","",Ujian!C10)</f>
        <v>  Ahmad Fahlipi</v>
      </c>
      <c r="D3" s="125">
        <f>IF(Ujian!D10="","",IF(LEFT(Ujian!D10,1)=SEKOR!D$2,1,0))</f>
        <v>0</v>
      </c>
      <c r="E3" s="125">
        <f>IF(Ujian!E10="","",IF(LEFT(Ujian!E10,1)=SEKOR!E$2,1,0))</f>
        <v>1</v>
      </c>
      <c r="F3" s="125" t="str">
        <f>IF(Ujian!F10="","",IF(LEFT(Ujian!F10,1)=SEKOR!F$2,1,0))</f>
        <v/>
      </c>
      <c r="G3" s="125">
        <f>IF(Ujian!G10="","",IF(LEFT(Ujian!G10,1)=SEKOR!G$2,1,0))</f>
        <v>1</v>
      </c>
      <c r="H3" s="125">
        <f>IF(Ujian!H10="","",IF(LEFT(Ujian!H10,1)=SEKOR!H$2,1,0))</f>
        <v>0</v>
      </c>
      <c r="I3" s="125" t="str">
        <f>IF(Ujian!I10="","",IF(LEFT(Ujian!I10,1)=SEKOR!I$2,1,0))</f>
        <v/>
      </c>
      <c r="J3" s="125">
        <f>IF(Ujian!J10="","",IF(LEFT(Ujian!J10,1)=SEKOR!J$2,1,0))</f>
        <v>1</v>
      </c>
      <c r="K3" s="125">
        <f>IF(Ujian!K10="","",IF(LEFT(Ujian!K10,1)=SEKOR!K$2,1,0))</f>
        <v>1</v>
      </c>
      <c r="L3" s="125">
        <f>IF(Ujian!L10="","",IF(LEFT(Ujian!L10,1)=SEKOR!L$2,1,0))</f>
        <v>1</v>
      </c>
      <c r="M3" s="125">
        <f>IF(Ujian!M10="","",IF(LEFT(Ujian!M10,1)=SEKOR!M$2,1,0))</f>
        <v>1</v>
      </c>
      <c r="N3" s="125">
        <f>IF(Ujian!N10="","",IF(LEFT(Ujian!N10,1)=SEKOR!N$2,1,0))</f>
        <v>0</v>
      </c>
      <c r="O3" s="125">
        <f>IF(Ujian!O10="","",IF(LEFT(Ujian!O10,1)=SEKOR!O$2,1,0))</f>
        <v>1</v>
      </c>
      <c r="P3" s="125">
        <f>IF(Ujian!P10="","",IF(LEFT(Ujian!P10,1)=SEKOR!P$2,1,0))</f>
        <v>0</v>
      </c>
      <c r="Q3" s="125">
        <f>IF(Ujian!Q10="","",IF(LEFT(Ujian!Q10,1)=SEKOR!Q$2,1,0))</f>
        <v>1</v>
      </c>
      <c r="R3" s="125">
        <f>IF(Ujian!R10="","",IF(LEFT(Ujian!R10,1)=SEKOR!R$2,1,0))</f>
        <v>0</v>
      </c>
      <c r="S3" s="125">
        <f>IF(Ujian!S10="","",IF(LEFT(Ujian!S10,1)=SEKOR!S$2,1,0))</f>
        <v>1</v>
      </c>
      <c r="T3" s="125">
        <f>IF(Ujian!T10="","",IF(LEFT(Ujian!T10,1)=SEKOR!T$2,1,0))</f>
        <v>0</v>
      </c>
      <c r="U3" s="125">
        <f>IF(Ujian!U10="","",IF(LEFT(Ujian!U10,1)=SEKOR!U$2,1,0))</f>
        <v>0</v>
      </c>
      <c r="V3" s="125">
        <f>IF(Ujian!V10="","",IF(LEFT(Ujian!V10,1)=SEKOR!V$2,1,0))</f>
        <v>0</v>
      </c>
      <c r="W3" s="125">
        <f>IF(Ujian!W10="","",IF(LEFT(Ujian!W10,1)=SEKOR!W$2,1,0))</f>
        <v>1</v>
      </c>
      <c r="X3" s="125">
        <f>IF(Ujian!X10="","",IF(LEFT(Ujian!X10,1)=SEKOR!X$2,1,0))</f>
        <v>0</v>
      </c>
      <c r="Y3" s="125">
        <f>IF(Ujian!Y10="","",IF(LEFT(Ujian!Y10,1)=SEKOR!Y$2,1,0))</f>
        <v>1</v>
      </c>
      <c r="Z3" s="125">
        <f>IF(Ujian!Z10="","",IF(LEFT(Ujian!Z10,1)=SEKOR!Z$2,1,0))</f>
        <v>0</v>
      </c>
      <c r="AA3" s="125">
        <f>IF(Ujian!AA10="","",IF(LEFT(Ujian!AA10,1)=SEKOR!AA$2,1,0))</f>
        <v>1</v>
      </c>
      <c r="AB3" s="125">
        <f>IF(Ujian!AB10="","",IF(LEFT(Ujian!AB10,1)=SEKOR!AB$2,1,0))</f>
        <v>1</v>
      </c>
      <c r="AC3" s="125">
        <f>IF(Ujian!AC10="","",IF(LEFT(Ujian!AC10,1)=SEKOR!AC$2,1,0))</f>
        <v>1</v>
      </c>
      <c r="AD3" s="125">
        <f>IF(Ujian!AD10="","",IF(LEFT(Ujian!AD10,1)=SEKOR!AD$2,1,0))</f>
        <v>1</v>
      </c>
      <c r="AE3" s="125">
        <f>IF(Ujian!AE10="","",IF(LEFT(Ujian!AE10,1)=SEKOR!AE$2,1,0))</f>
        <v>0</v>
      </c>
      <c r="AF3" s="125">
        <f>IF(Ujian!AF10="","",IF(LEFT(Ujian!AF10,1)=SEKOR!AF$2,1,0))</f>
        <v>0</v>
      </c>
      <c r="AG3" s="125">
        <f>IF(Ujian!AG10="","",IF(LEFT(Ujian!AG10,1)=SEKOR!AG$2,1,0))</f>
        <v>1</v>
      </c>
      <c r="AH3" s="125" t="str">
        <f>IF(Ujian!AH10="","",IF(LEFT(Ujian!AH10,1)=SEKOR!AH$2,1,0))</f>
        <v/>
      </c>
      <c r="AI3" s="125">
        <f>IF(Ujian!AI10="","",IF(LEFT(Ujian!AI10,1)=SEKOR!AI$2,1,0))</f>
        <v>1</v>
      </c>
      <c r="AJ3" s="125">
        <f>IF(Ujian!AJ10="","",IF(LEFT(Ujian!AJ10,1)=SEKOR!AJ$2,1,0))</f>
        <v>1</v>
      </c>
      <c r="AK3" s="125">
        <f>IF(Ujian!AK10="","",IF(LEFT(Ujian!AK10,1)=SEKOR!AK$2,1,0))</f>
        <v>0</v>
      </c>
      <c r="AL3" s="125">
        <f>IF(Ujian!AL10="","",IF(LEFT(Ujian!AL10,1)=SEKOR!AL$2,1,0))</f>
        <v>1</v>
      </c>
      <c r="AM3" s="125">
        <f>IF(Ujian!AM10="","",IF(LEFT(Ujian!AM10,1)=SEKOR!AM$2,1,0))</f>
        <v>0</v>
      </c>
      <c r="AN3" s="125">
        <f>IF(Ujian!AN10="","",IF(LEFT(Ujian!AN10,1)=SEKOR!AN$2,1,0))</f>
        <v>1</v>
      </c>
      <c r="AO3" s="125">
        <f>IF(Ujian!AO10="","",IF(LEFT(Ujian!AO10,1)=SEKOR!AO$2,1,0))</f>
        <v>0</v>
      </c>
      <c r="AP3" s="125">
        <f>IF(Ujian!AP10="","",IF(LEFT(Ujian!AP10,1)=SEKOR!AP$2,1,0))</f>
        <v>1</v>
      </c>
      <c r="AQ3" s="125">
        <f>IF(Ujian!AQ10="","",IF(LEFT(Ujian!AQ10,1)=SEKOR!AQ$2,1,0))</f>
        <v>1</v>
      </c>
      <c r="AR3" s="125">
        <f>IF(Ujian!AR10="","",IF(LEFT(Ujian!AR10,1)=SEKOR!AR$2,1,0))</f>
        <v>1</v>
      </c>
      <c r="AS3" s="125" t="str">
        <f>IF(Ujian!AS10="","",IF(LEFT(Ujian!AS10,1)=SEKOR!AS$2,1,0))</f>
        <v/>
      </c>
      <c r="AT3" s="125" t="str">
        <f>IF(Ujian!AT10="","",IF(LEFT(Ujian!AT10,1)=SEKOR!AT$2,1,0))</f>
        <v/>
      </c>
      <c r="AU3" s="125">
        <f>IF(Ujian!AU10="","",IF(LEFT(Ujian!AU10,1)=SEKOR!AU$2,1,0))</f>
        <v>1</v>
      </c>
      <c r="AV3" s="125">
        <f>IF(Ujian!AV10="","",IF(LEFT(Ujian!AV10,1)=SEKOR!AV$2,1,0))</f>
        <v>1</v>
      </c>
      <c r="AW3" s="125" t="str">
        <f>IF(Ujian!AW10="","",IF(LEFT(Ujian!AW10,1)=SEKOR!AW$2,1,0))</f>
        <v/>
      </c>
      <c r="AX3" s="125" t="str">
        <f>IF(Ujian!AX10="","",IF(LEFT(Ujian!AX10,1)=SEKOR!AX$2,1,0))</f>
        <v/>
      </c>
      <c r="AY3" s="125" t="str">
        <f>IF(Ujian!AY10="","",IF(LEFT(Ujian!AY10,1)=SEKOR!AY$2,1,0))</f>
        <v/>
      </c>
      <c r="AZ3" s="125" t="str">
        <f>IF(Ujian!AZ10="","",IF(LEFT(Ujian!AZ10,1)=SEKOR!AZ$2,1,0))</f>
        <v/>
      </c>
      <c r="BA3" s="125" t="str">
        <f>IF(Ujian!BA10="","",IF(LEFT(Ujian!BA10,1)=SEKOR!BA$2,1,0))</f>
        <v/>
      </c>
      <c r="BB3" s="125" t="str">
        <f>IF(Ujian!BB10="","",IF(LEFT(Ujian!BB10,1)=SEKOR!BB$2,1,0))</f>
        <v/>
      </c>
      <c r="BC3" s="125" t="str">
        <f>IF(Ujian!BC10="","",IF(LEFT(Ujian!BC10,1)=SEKOR!BC$2,1,0))</f>
        <v/>
      </c>
      <c r="BD3" s="125" t="str">
        <f>IF(Ujian!BD10="","",IF(LEFT(Ujian!BD10,1)=SEKOR!BD$2,1,0))</f>
        <v/>
      </c>
      <c r="BE3" s="125" t="str">
        <f>IF(Ujian!BE10="","",IF(LEFT(Ujian!BE10,1)=SEKOR!BE$2,1,0))</f>
        <v/>
      </c>
      <c r="BF3" s="125" t="str">
        <f>IF(Ujian!BF10="","",IF(LEFT(Ujian!BF10,1)=SEKOR!BF$2,1,0))</f>
        <v/>
      </c>
      <c r="BG3" s="125" t="str">
        <f>IF(Ujian!BG10="","",IF(LEFT(Ujian!BG10,1)=SEKOR!BG$2,1,0))</f>
        <v/>
      </c>
      <c r="BH3" s="125" t="str">
        <f>IF(Ujian!BH10="","",IF(LEFT(Ujian!BH10,1)=SEKOR!BH$2,1,0))</f>
        <v/>
      </c>
      <c r="BI3" s="125" t="str">
        <f>IF(Ujian!BI10="","",IF(LEFT(Ujian!BI10,1)=SEKOR!BI$2,1,0))</f>
        <v/>
      </c>
      <c r="BJ3" s="125" t="str">
        <f>IF(Ujian!BJ10="","",IF(LEFT(Ujian!BJ10,1)=SEKOR!BJ$2,1,0))</f>
        <v/>
      </c>
      <c r="BK3" s="125" t="str">
        <f>IF(Ujian!BK10="","",IF(LEFT(Ujian!BK10,1)=SEKOR!BK$2,1,0))</f>
        <v/>
      </c>
      <c r="BL3" s="18">
        <f>COUNT($D3:$BK3)</f>
        <v>40</v>
      </c>
      <c r="BM3" s="18">
        <f>COUNTIF($D3:$BK3,"")+DATA!$F$14-DATA!$F$12</f>
        <v>20</v>
      </c>
      <c r="BN3" s="17">
        <f>IF(COUNTIF($D3:$BK3,1)&gt;DATA!$F$14,DATA!$F$14,COUNTIF($D3:$BK3,1))</f>
        <v>25</v>
      </c>
      <c r="BO3" s="17">
        <f>IF((BN3+COUNTIF($D3:$BK3,0))&lt;=DATA!$F$14,COUNTIF($D3:$BK3,0),DATA!$F$14-SEKOR!BN3)</f>
        <v>15</v>
      </c>
      <c r="BP3" s="4">
        <f>IF(BL3=0,"",BN3/DATA!$F$14*100)</f>
        <v>62.5</v>
      </c>
      <c r="BQ3" s="121">
        <f>IF(BL3=0,"",BN3/MAX($BN$3:$BN$222)*100)</f>
        <v>80.645161290322577</v>
      </c>
      <c r="BR3" s="2">
        <f>IF(Praktik!$E3=0,"",Praktik!$E3)</f>
        <v>90</v>
      </c>
      <c r="BS3" s="2">
        <f>IF(BR3="","",(BP3*DATAINFO!$O$4)+(SEKOR!BR3*DATAINFO!$O$5)/(DATAINFO!$O$4+DATAINFO!$O$5))</f>
        <v>92.5</v>
      </c>
      <c r="BT3" s="2">
        <f>IF(BL3=0,"",IF(DATA!$F$18="TIDAK",ROUNDUP((IF!$L$8*SEKOR!$BP3)+IF!$L$9,0),IF($BR3="","",ROUNDUP((IF!$L$20*$BS3)+IF!$L$21,0))))</f>
        <v>80</v>
      </c>
      <c r="BU3" s="47">
        <f>IF(BP3="","",IF(SEKOR!BP3&gt;=DATA!$J$12,1,0))</f>
        <v>0</v>
      </c>
      <c r="BV3" s="47">
        <f>IF(BQ3="","",IF(SEKOR!BQ3&gt;=DATA!$J$12,1,0))</f>
        <v>1</v>
      </c>
      <c r="BW3" s="47">
        <f>IF(BR3="","",IF(SEKOR!BR3&gt;=DATA!$J$12,1,0))</f>
        <v>1</v>
      </c>
      <c r="BX3" s="47">
        <f>IF(BT3="","",IF(DATA!$J$14="",IF(SEKOR!BT3&gt;=DATA!$J$12,1,0),IF(SEKOR!BT3&gt;=DATA!$J$14,1,0)))</f>
        <v>1</v>
      </c>
      <c r="CC3" s="109"/>
    </row>
    <row r="4" spans="1:81" x14ac:dyDescent="0.25">
      <c r="A4" s="20" t="s">
        <v>30</v>
      </c>
      <c r="B4" s="21" t="str">
        <f>IF(Ujian!B11="","",Ujian!B11)</f>
        <v>  234595</v>
      </c>
      <c r="C4" s="57" t="str">
        <f>IF(Ujian!C11="","",Ujian!C11)</f>
        <v>  Amalia Rahayu</v>
      </c>
      <c r="D4" s="125">
        <f>IF(Ujian!D11="","",IF(LEFT(Ujian!D11,1)=SEKOR!D$2,1,0))</f>
        <v>1</v>
      </c>
      <c r="E4" s="125">
        <f>IF(Ujian!E11="","",IF(LEFT(Ujian!E11,1)=SEKOR!E$2,1,0))</f>
        <v>1</v>
      </c>
      <c r="F4" s="125">
        <f>IF(Ujian!F11="","",IF(LEFT(Ujian!F11,1)=SEKOR!F$2,1,0))</f>
        <v>1</v>
      </c>
      <c r="G4" s="125">
        <f>IF(Ujian!G11="","",IF(LEFT(Ujian!G11,1)=SEKOR!G$2,1,0))</f>
        <v>1</v>
      </c>
      <c r="H4" s="125">
        <f>IF(Ujian!H11="","",IF(LEFT(Ujian!H11,1)=SEKOR!H$2,1,0))</f>
        <v>1</v>
      </c>
      <c r="I4" s="125">
        <f>IF(Ujian!I11="","",IF(LEFT(Ujian!I11,1)=SEKOR!I$2,1,0))</f>
        <v>1</v>
      </c>
      <c r="J4" s="125">
        <f>IF(Ujian!J11="","",IF(LEFT(Ujian!J11,1)=SEKOR!J$2,1,0))</f>
        <v>1</v>
      </c>
      <c r="K4" s="125">
        <f>IF(Ujian!K11="","",IF(LEFT(Ujian!K11,1)=SEKOR!K$2,1,0))</f>
        <v>0</v>
      </c>
      <c r="L4" s="125" t="str">
        <f>IF(Ujian!L11="","",IF(LEFT(Ujian!L11,1)=SEKOR!L$2,1,0))</f>
        <v/>
      </c>
      <c r="M4" s="125">
        <f>IF(Ujian!M11="","",IF(LEFT(Ujian!M11,1)=SEKOR!M$2,1,0))</f>
        <v>1</v>
      </c>
      <c r="N4" s="125">
        <f>IF(Ujian!N11="","",IF(LEFT(Ujian!N11,1)=SEKOR!N$2,1,0))</f>
        <v>0</v>
      </c>
      <c r="O4" s="125">
        <f>IF(Ujian!O11="","",IF(LEFT(Ujian!O11,1)=SEKOR!O$2,1,0))</f>
        <v>1</v>
      </c>
      <c r="P4" s="125">
        <f>IF(Ujian!P11="","",IF(LEFT(Ujian!P11,1)=SEKOR!P$2,1,0))</f>
        <v>0</v>
      </c>
      <c r="Q4" s="125">
        <f>IF(Ujian!Q11="","",IF(LEFT(Ujian!Q11,1)=SEKOR!Q$2,1,0))</f>
        <v>0</v>
      </c>
      <c r="R4" s="125">
        <f>IF(Ujian!R11="","",IF(LEFT(Ujian!R11,1)=SEKOR!R$2,1,0))</f>
        <v>0</v>
      </c>
      <c r="S4" s="125">
        <f>IF(Ujian!S11="","",IF(LEFT(Ujian!S11,1)=SEKOR!S$2,1,0))</f>
        <v>1</v>
      </c>
      <c r="T4" s="125">
        <f>IF(Ujian!T11="","",IF(LEFT(Ujian!T11,1)=SEKOR!T$2,1,0))</f>
        <v>1</v>
      </c>
      <c r="U4" s="125">
        <f>IF(Ujian!U11="","",IF(LEFT(Ujian!U11,1)=SEKOR!U$2,1,0))</f>
        <v>1</v>
      </c>
      <c r="V4" s="125">
        <f>IF(Ujian!V11="","",IF(LEFT(Ujian!V11,1)=SEKOR!V$2,1,0))</f>
        <v>1</v>
      </c>
      <c r="W4" s="125">
        <f>IF(Ujian!W11="","",IF(LEFT(Ujian!W11,1)=SEKOR!W$2,1,0))</f>
        <v>1</v>
      </c>
      <c r="X4" s="125" t="str">
        <f>IF(Ujian!X11="","",IF(LEFT(Ujian!X11,1)=SEKOR!X$2,1,0))</f>
        <v/>
      </c>
      <c r="Y4" s="125">
        <f>IF(Ujian!Y11="","",IF(LEFT(Ujian!Y11,1)=SEKOR!Y$2,1,0))</f>
        <v>1</v>
      </c>
      <c r="Z4" s="125">
        <f>IF(Ujian!Z11="","",IF(LEFT(Ujian!Z11,1)=SEKOR!Z$2,1,0))</f>
        <v>0</v>
      </c>
      <c r="AA4" s="125">
        <f>IF(Ujian!AA11="","",IF(LEFT(Ujian!AA11,1)=SEKOR!AA$2,1,0))</f>
        <v>0</v>
      </c>
      <c r="AB4" s="125">
        <f>IF(Ujian!AB11="","",IF(LEFT(Ujian!AB11,1)=SEKOR!AB$2,1,0))</f>
        <v>0</v>
      </c>
      <c r="AC4" s="125">
        <f>IF(Ujian!AC11="","",IF(LEFT(Ujian!AC11,1)=SEKOR!AC$2,1,0))</f>
        <v>1</v>
      </c>
      <c r="AD4" s="125">
        <f>IF(Ujian!AD11="","",IF(LEFT(Ujian!AD11,1)=SEKOR!AD$2,1,0))</f>
        <v>0</v>
      </c>
      <c r="AE4" s="125">
        <f>IF(Ujian!AE11="","",IF(LEFT(Ujian!AE11,1)=SEKOR!AE$2,1,0))</f>
        <v>1</v>
      </c>
      <c r="AF4" s="125">
        <f>IF(Ujian!AF11="","",IF(LEFT(Ujian!AF11,1)=SEKOR!AF$2,1,0))</f>
        <v>1</v>
      </c>
      <c r="AG4" s="125">
        <f>IF(Ujian!AG11="","",IF(LEFT(Ujian!AG11,1)=SEKOR!AG$2,1,0))</f>
        <v>1</v>
      </c>
      <c r="AH4" s="125">
        <f>IF(Ujian!AH11="","",IF(LEFT(Ujian!AH11,1)=SEKOR!AH$2,1,0))</f>
        <v>1</v>
      </c>
      <c r="AI4" s="125">
        <f>IF(Ujian!AI11="","",IF(LEFT(Ujian!AI11,1)=SEKOR!AI$2,1,0))</f>
        <v>1</v>
      </c>
      <c r="AJ4" s="125">
        <f>IF(Ujian!AJ11="","",IF(LEFT(Ujian!AJ11,1)=SEKOR!AJ$2,1,0))</f>
        <v>1</v>
      </c>
      <c r="AK4" s="125">
        <f>IF(Ujian!AK11="","",IF(LEFT(Ujian!AK11,1)=SEKOR!AK$2,1,0))</f>
        <v>1</v>
      </c>
      <c r="AL4" s="125">
        <f>IF(Ujian!AL11="","",IF(LEFT(Ujian!AL11,1)=SEKOR!AL$2,1,0))</f>
        <v>1</v>
      </c>
      <c r="AM4" s="125" t="str">
        <f>IF(Ujian!AM11="","",IF(LEFT(Ujian!AM11,1)=SEKOR!AM$2,1,0))</f>
        <v/>
      </c>
      <c r="AN4" s="125">
        <f>IF(Ujian!AN11="","",IF(LEFT(Ujian!AN11,1)=SEKOR!AN$2,1,0))</f>
        <v>1</v>
      </c>
      <c r="AO4" s="125">
        <f>IF(Ujian!AO11="","",IF(LEFT(Ujian!AO11,1)=SEKOR!AO$2,1,0))</f>
        <v>0</v>
      </c>
      <c r="AP4" s="125">
        <f>IF(Ujian!AP11="","",IF(LEFT(Ujian!AP11,1)=SEKOR!AP$2,1,0))</f>
        <v>1</v>
      </c>
      <c r="AQ4" s="125">
        <f>IF(Ujian!AQ11="","",IF(LEFT(Ujian!AQ11,1)=SEKOR!AQ$2,1,0))</f>
        <v>1</v>
      </c>
      <c r="AR4" s="125" t="str">
        <f>IF(Ujian!AR11="","",IF(LEFT(Ujian!AR11,1)=SEKOR!AR$2,1,0))</f>
        <v/>
      </c>
      <c r="AS4" s="125" t="str">
        <f>IF(Ujian!AS11="","",IF(LEFT(Ujian!AS11,1)=SEKOR!AS$2,1,0))</f>
        <v/>
      </c>
      <c r="AT4" s="125">
        <f>IF(Ujian!AT11="","",IF(LEFT(Ujian!AT11,1)=SEKOR!AT$2,1,0))</f>
        <v>1</v>
      </c>
      <c r="AU4" s="125">
        <f>IF(Ujian!AU11="","",IF(LEFT(Ujian!AU11,1)=SEKOR!AU$2,1,0))</f>
        <v>1</v>
      </c>
      <c r="AV4" s="125">
        <f>IF(Ujian!AV11="","",IF(LEFT(Ujian!AV11,1)=SEKOR!AV$2,1,0))</f>
        <v>1</v>
      </c>
      <c r="AW4" s="125" t="str">
        <f>IF(Ujian!AW11="","",IF(LEFT(Ujian!AW11,1)=SEKOR!AW$2,1,0))</f>
        <v/>
      </c>
      <c r="AX4" s="125" t="str">
        <f>IF(Ujian!AX11="","",IF(LEFT(Ujian!AX11,1)=SEKOR!AX$2,1,0))</f>
        <v/>
      </c>
      <c r="AY4" s="125" t="str">
        <f>IF(Ujian!AY11="","",IF(LEFT(Ujian!AY11,1)=SEKOR!AY$2,1,0))</f>
        <v/>
      </c>
      <c r="AZ4" s="125" t="str">
        <f>IF(Ujian!AZ11="","",IF(LEFT(Ujian!AZ11,1)=SEKOR!AZ$2,1,0))</f>
        <v/>
      </c>
      <c r="BA4" s="125" t="str">
        <f>IF(Ujian!BA11="","",IF(LEFT(Ujian!BA11,1)=SEKOR!BA$2,1,0))</f>
        <v/>
      </c>
      <c r="BB4" s="125" t="str">
        <f>IF(Ujian!BB11="","",IF(LEFT(Ujian!BB11,1)=SEKOR!BB$2,1,0))</f>
        <v/>
      </c>
      <c r="BC4" s="125" t="str">
        <f>IF(Ujian!BC11="","",IF(LEFT(Ujian!BC11,1)=SEKOR!BC$2,1,0))</f>
        <v/>
      </c>
      <c r="BD4" s="125" t="str">
        <f>IF(Ujian!BD11="","",IF(LEFT(Ujian!BD11,1)=SEKOR!BD$2,1,0))</f>
        <v/>
      </c>
      <c r="BE4" s="125" t="str">
        <f>IF(Ujian!BE11="","",IF(LEFT(Ujian!BE11,1)=SEKOR!BE$2,1,0))</f>
        <v/>
      </c>
      <c r="BF4" s="125" t="str">
        <f>IF(Ujian!BF11="","",IF(LEFT(Ujian!BF11,1)=SEKOR!BF$2,1,0))</f>
        <v/>
      </c>
      <c r="BG4" s="125" t="str">
        <f>IF(Ujian!BG11="","",IF(LEFT(Ujian!BG11,1)=SEKOR!BG$2,1,0))</f>
        <v/>
      </c>
      <c r="BH4" s="125" t="str">
        <f>IF(Ujian!BH11="","",IF(LEFT(Ujian!BH11,1)=SEKOR!BH$2,1,0))</f>
        <v/>
      </c>
      <c r="BI4" s="125" t="str">
        <f>IF(Ujian!BI11="","",IF(LEFT(Ujian!BI11,1)=SEKOR!BI$2,1,0))</f>
        <v/>
      </c>
      <c r="BJ4" s="125" t="str">
        <f>IF(Ujian!BJ11="","",IF(LEFT(Ujian!BJ11,1)=SEKOR!BJ$2,1,0))</f>
        <v/>
      </c>
      <c r="BK4" s="125" t="str">
        <f>IF(Ujian!BK11="","",IF(LEFT(Ujian!BK11,1)=SEKOR!BK$2,1,0))</f>
        <v/>
      </c>
      <c r="BL4" s="18">
        <f t="shared" ref="BL4:BL67" si="0">COUNT($D4:$BK4)</f>
        <v>40</v>
      </c>
      <c r="BM4" s="18">
        <f>COUNTIF($D4:$BK4,"")+DATA!$F$14-DATA!$F$12</f>
        <v>20</v>
      </c>
      <c r="BN4" s="17">
        <f>IF(COUNTIF($D4:$BK4,1)&gt;DATA!$F$14,DATA!$F$14,COUNTIF($D4:$BK4,1))</f>
        <v>30</v>
      </c>
      <c r="BO4" s="17">
        <f>IF((BN4+COUNTIF($D4:$BK4,0))&lt;=DATA!$F$14,COUNTIF($D4:$BK4,0),DATA!$F$14-SEKOR!BN4)</f>
        <v>10</v>
      </c>
      <c r="BP4" s="4">
        <f>IF(BL4=0,"",BN4/DATA!$F$14*100)</f>
        <v>75</v>
      </c>
      <c r="BQ4" s="121">
        <f t="shared" ref="BQ4:BQ67" si="1">IF(BL4=0,"",BN4/MAX($BN$3:$BN$222)*100)</f>
        <v>96.774193548387103</v>
      </c>
      <c r="BR4" s="2">
        <f>IF(Praktik!$E4=0,"",Praktik!$E4)</f>
        <v>90</v>
      </c>
      <c r="BS4" s="2">
        <f>IF(BR4="","",(BP4*DATAINFO!$O$4)+(SEKOR!BR4*DATAINFO!$O$5)/(DATAINFO!$O$4+DATAINFO!$O$5))</f>
        <v>105</v>
      </c>
      <c r="BT4" s="2">
        <f>IF(BL4=0,"",IF(DATA!$F$18="TIDAK",ROUNDUP((IF!$L$8*SEKOR!$BP4)+IF!$L$9,0),IF($BR4="","",ROUNDUP((IF!$L$20*$BS4)+IF!$L$21,0))))</f>
        <v>89</v>
      </c>
      <c r="BU4" s="47">
        <f>IF(BP4="","",IF(SEKOR!BP4&gt;=DATA!$J$12,1,0))</f>
        <v>1</v>
      </c>
      <c r="BV4" s="47">
        <f>IF(BQ4="","",IF(SEKOR!BQ4&gt;=DATA!$J$12,1,0))</f>
        <v>1</v>
      </c>
      <c r="BW4" s="47">
        <f>IF(BR4="","",IF(SEKOR!BR4&gt;=DATA!$J$12,1,0))</f>
        <v>1</v>
      </c>
      <c r="BX4" s="47">
        <f>IF(BT4="","",IF(DATA!$J$14="",IF(SEKOR!BT4&gt;=DATA!$J$12,1,0),IF(SEKOR!BT4&gt;=DATA!$J$14,1,0)))</f>
        <v>1</v>
      </c>
      <c r="CC4" s="109"/>
    </row>
    <row r="5" spans="1:81" x14ac:dyDescent="0.25">
      <c r="A5" s="20" t="s">
        <v>31</v>
      </c>
      <c r="B5" s="21" t="str">
        <f>IF(Ujian!B12="","",Ujian!B12)</f>
        <v>  234596</v>
      </c>
      <c r="C5" s="57" t="str">
        <f>IF(Ujian!C12="","",Ujian!C12)</f>
        <v>  Andhika</v>
      </c>
      <c r="D5" s="125">
        <f>IF(Ujian!D12="","",IF(LEFT(Ujian!D12,1)=SEKOR!D$2,1,0))</f>
        <v>0</v>
      </c>
      <c r="E5" s="125">
        <f>IF(Ujian!E12="","",IF(LEFT(Ujian!E12,1)=SEKOR!E$2,1,0))</f>
        <v>1</v>
      </c>
      <c r="F5" s="125">
        <f>IF(Ujian!F12="","",IF(LEFT(Ujian!F12,1)=SEKOR!F$2,1,0))</f>
        <v>1</v>
      </c>
      <c r="G5" s="125">
        <f>IF(Ujian!G12="","",IF(LEFT(Ujian!G12,1)=SEKOR!G$2,1,0))</f>
        <v>1</v>
      </c>
      <c r="H5" s="125" t="str">
        <f>IF(Ujian!H12="","",IF(LEFT(Ujian!H12,1)=SEKOR!H$2,1,0))</f>
        <v/>
      </c>
      <c r="I5" s="125">
        <f>IF(Ujian!I12="","",IF(LEFT(Ujian!I12,1)=SEKOR!I$2,1,0))</f>
        <v>0</v>
      </c>
      <c r="J5" s="125">
        <f>IF(Ujian!J12="","",IF(LEFT(Ujian!J12,1)=SEKOR!J$2,1,0))</f>
        <v>1</v>
      </c>
      <c r="K5" s="125">
        <f>IF(Ujian!K12="","",IF(LEFT(Ujian!K12,1)=SEKOR!K$2,1,0))</f>
        <v>1</v>
      </c>
      <c r="L5" s="125">
        <f>IF(Ujian!L12="","",IF(LEFT(Ujian!L12,1)=SEKOR!L$2,1,0))</f>
        <v>1</v>
      </c>
      <c r="M5" s="125">
        <f>IF(Ujian!M12="","",IF(LEFT(Ujian!M12,1)=SEKOR!M$2,1,0))</f>
        <v>0</v>
      </c>
      <c r="N5" s="125">
        <f>IF(Ujian!N12="","",IF(LEFT(Ujian!N12,1)=SEKOR!N$2,1,0))</f>
        <v>0</v>
      </c>
      <c r="O5" s="125">
        <f>IF(Ujian!O12="","",IF(LEFT(Ujian!O12,1)=SEKOR!O$2,1,0))</f>
        <v>0</v>
      </c>
      <c r="P5" s="125">
        <f>IF(Ujian!P12="","",IF(LEFT(Ujian!P12,1)=SEKOR!P$2,1,0))</f>
        <v>0</v>
      </c>
      <c r="Q5" s="125">
        <f>IF(Ujian!Q12="","",IF(LEFT(Ujian!Q12,1)=SEKOR!Q$2,1,0))</f>
        <v>1</v>
      </c>
      <c r="R5" s="125">
        <f>IF(Ujian!R12="","",IF(LEFT(Ujian!R12,1)=SEKOR!R$2,1,0))</f>
        <v>0</v>
      </c>
      <c r="S5" s="125">
        <f>IF(Ujian!S12="","",IF(LEFT(Ujian!S12,1)=SEKOR!S$2,1,0))</f>
        <v>1</v>
      </c>
      <c r="T5" s="125">
        <f>IF(Ujian!T12="","",IF(LEFT(Ujian!T12,1)=SEKOR!T$2,1,0))</f>
        <v>1</v>
      </c>
      <c r="U5" s="125">
        <f>IF(Ujian!U12="","",IF(LEFT(Ujian!U12,1)=SEKOR!U$2,1,0))</f>
        <v>0</v>
      </c>
      <c r="V5" s="125">
        <f>IF(Ujian!V12="","",IF(LEFT(Ujian!V12,1)=SEKOR!V$2,1,0))</f>
        <v>0</v>
      </c>
      <c r="W5" s="125" t="str">
        <f>IF(Ujian!W12="","",IF(LEFT(Ujian!W12,1)=SEKOR!W$2,1,0))</f>
        <v/>
      </c>
      <c r="X5" s="125">
        <f>IF(Ujian!X12="","",IF(LEFT(Ujian!X12,1)=SEKOR!X$2,1,0))</f>
        <v>1</v>
      </c>
      <c r="Y5" s="125" t="str">
        <f>IF(Ujian!Y12="","",IF(LEFT(Ujian!Y12,1)=SEKOR!Y$2,1,0))</f>
        <v/>
      </c>
      <c r="Z5" s="125">
        <f>IF(Ujian!Z12="","",IF(LEFT(Ujian!Z12,1)=SEKOR!Z$2,1,0))</f>
        <v>0</v>
      </c>
      <c r="AA5" s="125">
        <f>IF(Ujian!AA12="","",IF(LEFT(Ujian!AA12,1)=SEKOR!AA$2,1,0))</f>
        <v>0</v>
      </c>
      <c r="AB5" s="125">
        <f>IF(Ujian!AB12="","",IF(LEFT(Ujian!AB12,1)=SEKOR!AB$2,1,0))</f>
        <v>1</v>
      </c>
      <c r="AC5" s="125" t="str">
        <f>IF(Ujian!AC12="","",IF(LEFT(Ujian!AC12,1)=SEKOR!AC$2,1,0))</f>
        <v/>
      </c>
      <c r="AD5" s="125">
        <f>IF(Ujian!AD12="","",IF(LEFT(Ujian!AD12,1)=SEKOR!AD$2,1,0))</f>
        <v>1</v>
      </c>
      <c r="AE5" s="125">
        <f>IF(Ujian!AE12="","",IF(LEFT(Ujian!AE12,1)=SEKOR!AE$2,1,0))</f>
        <v>0</v>
      </c>
      <c r="AF5" s="125">
        <f>IF(Ujian!AF12="","",IF(LEFT(Ujian!AF12,1)=SEKOR!AF$2,1,0))</f>
        <v>0</v>
      </c>
      <c r="AG5" s="125">
        <f>IF(Ujian!AG12="","",IF(LEFT(Ujian!AG12,1)=SEKOR!AG$2,1,0))</f>
        <v>1</v>
      </c>
      <c r="AH5" s="125">
        <f>IF(Ujian!AH12="","",IF(LEFT(Ujian!AH12,1)=SEKOR!AH$2,1,0))</f>
        <v>0</v>
      </c>
      <c r="AI5" s="125">
        <f>IF(Ujian!AI12="","",IF(LEFT(Ujian!AI12,1)=SEKOR!AI$2,1,0))</f>
        <v>1</v>
      </c>
      <c r="AJ5" s="125">
        <f>IF(Ujian!AJ12="","",IF(LEFT(Ujian!AJ12,1)=SEKOR!AJ$2,1,0))</f>
        <v>1</v>
      </c>
      <c r="AK5" s="125">
        <f>IF(Ujian!AK12="","",IF(LEFT(Ujian!AK12,1)=SEKOR!AK$2,1,0))</f>
        <v>0</v>
      </c>
      <c r="AL5" s="125">
        <f>IF(Ujian!AL12="","",IF(LEFT(Ujian!AL12,1)=SEKOR!AL$2,1,0))</f>
        <v>1</v>
      </c>
      <c r="AM5" s="125">
        <f>IF(Ujian!AM12="","",IF(LEFT(Ujian!AM12,1)=SEKOR!AM$2,1,0))</f>
        <v>0</v>
      </c>
      <c r="AN5" s="125">
        <f>IF(Ujian!AN12="","",IF(LEFT(Ujian!AN12,1)=SEKOR!AN$2,1,0))</f>
        <v>1</v>
      </c>
      <c r="AO5" s="125">
        <f>IF(Ujian!AO12="","",IF(LEFT(Ujian!AO12,1)=SEKOR!AO$2,1,0))</f>
        <v>0</v>
      </c>
      <c r="AP5" s="125" t="str">
        <f>IF(Ujian!AP12="","",IF(LEFT(Ujian!AP12,1)=SEKOR!AP$2,1,0))</f>
        <v/>
      </c>
      <c r="AQ5" s="125">
        <f>IF(Ujian!AQ12="","",IF(LEFT(Ujian!AQ12,1)=SEKOR!AQ$2,1,0))</f>
        <v>1</v>
      </c>
      <c r="AR5" s="125">
        <f>IF(Ujian!AR12="","",IF(LEFT(Ujian!AR12,1)=SEKOR!AR$2,1,0))</f>
        <v>1</v>
      </c>
      <c r="AS5" s="125">
        <f>IF(Ujian!AS12="","",IF(LEFT(Ujian!AS12,1)=SEKOR!AS$2,1,0))</f>
        <v>0</v>
      </c>
      <c r="AT5" s="125">
        <f>IF(Ujian!AT12="","",IF(LEFT(Ujian!AT12,1)=SEKOR!AT$2,1,0))</f>
        <v>0</v>
      </c>
      <c r="AU5" s="125">
        <f>IF(Ujian!AU12="","",IF(LEFT(Ujian!AU12,1)=SEKOR!AU$2,1,0))</f>
        <v>1</v>
      </c>
      <c r="AV5" s="125">
        <f>IF(Ujian!AV12="","",IF(LEFT(Ujian!AV12,1)=SEKOR!AV$2,1,0))</f>
        <v>1</v>
      </c>
      <c r="AW5" s="125" t="str">
        <f>IF(Ujian!AW12="","",IF(LEFT(Ujian!AW12,1)=SEKOR!AW$2,1,0))</f>
        <v/>
      </c>
      <c r="AX5" s="125" t="str">
        <f>IF(Ujian!AX12="","",IF(LEFT(Ujian!AX12,1)=SEKOR!AX$2,1,0))</f>
        <v/>
      </c>
      <c r="AY5" s="125" t="str">
        <f>IF(Ujian!AY12="","",IF(LEFT(Ujian!AY12,1)=SEKOR!AY$2,1,0))</f>
        <v/>
      </c>
      <c r="AZ5" s="125" t="str">
        <f>IF(Ujian!AZ12="","",IF(LEFT(Ujian!AZ12,1)=SEKOR!AZ$2,1,0))</f>
        <v/>
      </c>
      <c r="BA5" s="125" t="str">
        <f>IF(Ujian!BA12="","",IF(LEFT(Ujian!BA12,1)=SEKOR!BA$2,1,0))</f>
        <v/>
      </c>
      <c r="BB5" s="125" t="str">
        <f>IF(Ujian!BB12="","",IF(LEFT(Ujian!BB12,1)=SEKOR!BB$2,1,0))</f>
        <v/>
      </c>
      <c r="BC5" s="125" t="str">
        <f>IF(Ujian!BC12="","",IF(LEFT(Ujian!BC12,1)=SEKOR!BC$2,1,0))</f>
        <v/>
      </c>
      <c r="BD5" s="125" t="str">
        <f>IF(Ujian!BD12="","",IF(LEFT(Ujian!BD12,1)=SEKOR!BD$2,1,0))</f>
        <v/>
      </c>
      <c r="BE5" s="125" t="str">
        <f>IF(Ujian!BE12="","",IF(LEFT(Ujian!BE12,1)=SEKOR!BE$2,1,0))</f>
        <v/>
      </c>
      <c r="BF5" s="125" t="str">
        <f>IF(Ujian!BF12="","",IF(LEFT(Ujian!BF12,1)=SEKOR!BF$2,1,0))</f>
        <v/>
      </c>
      <c r="BG5" s="125" t="str">
        <f>IF(Ujian!BG12="","",IF(LEFT(Ujian!BG12,1)=SEKOR!BG$2,1,0))</f>
        <v/>
      </c>
      <c r="BH5" s="125" t="str">
        <f>IF(Ujian!BH12="","",IF(LEFT(Ujian!BH12,1)=SEKOR!BH$2,1,0))</f>
        <v/>
      </c>
      <c r="BI5" s="125" t="str">
        <f>IF(Ujian!BI12="","",IF(LEFT(Ujian!BI12,1)=SEKOR!BI$2,1,0))</f>
        <v/>
      </c>
      <c r="BJ5" s="125" t="str">
        <f>IF(Ujian!BJ12="","",IF(LEFT(Ujian!BJ12,1)=SEKOR!BJ$2,1,0))</f>
        <v/>
      </c>
      <c r="BK5" s="125" t="str">
        <f>IF(Ujian!BK12="","",IF(LEFT(Ujian!BK12,1)=SEKOR!BK$2,1,0))</f>
        <v/>
      </c>
      <c r="BL5" s="18">
        <f t="shared" si="0"/>
        <v>40</v>
      </c>
      <c r="BM5" s="18">
        <f>COUNTIF($D5:$BK5,"")+DATA!$F$14-DATA!$F$12</f>
        <v>20</v>
      </c>
      <c r="BN5" s="17">
        <f>IF(COUNTIF($D5:$BK5,1)&gt;DATA!$F$14,DATA!$F$14,COUNTIF($D5:$BK5,1))</f>
        <v>21</v>
      </c>
      <c r="BO5" s="17">
        <f>IF((BN5+COUNTIF($D5:$BK5,0))&lt;=DATA!$F$14,COUNTIF($D5:$BK5,0),DATA!$F$14-SEKOR!BN5)</f>
        <v>19</v>
      </c>
      <c r="BP5" s="4">
        <f>IF(BL5=0,"",BN5/DATA!$F$14*100)</f>
        <v>52.5</v>
      </c>
      <c r="BQ5" s="121">
        <f t="shared" si="1"/>
        <v>67.741935483870961</v>
      </c>
      <c r="BR5" s="2">
        <f>IF(Praktik!$E5=0,"",Praktik!$E5)</f>
        <v>90</v>
      </c>
      <c r="BS5" s="2">
        <f>IF(BR5="","",(BP5*DATAINFO!$O$4)+(SEKOR!BR5*DATAINFO!$O$5)/(DATAINFO!$O$4+DATAINFO!$O$5))</f>
        <v>82.5</v>
      </c>
      <c r="BT5" s="2">
        <f>IF(BL5=0,"",IF(DATA!$F$18="TIDAK",ROUNDUP((IF!$L$8*SEKOR!$BP5)+IF!$L$9,0),IF($BR5="","",ROUNDUP((IF!$L$20*$BS5)+IF!$L$21,0))))</f>
        <v>74</v>
      </c>
      <c r="BU5" s="47">
        <f>IF(BP5="","",IF(SEKOR!BP5&gt;=DATA!$J$12,1,0))</f>
        <v>0</v>
      </c>
      <c r="BV5" s="47">
        <f>IF(BQ5="","",IF(SEKOR!BQ5&gt;=DATA!$J$12,1,0))</f>
        <v>0</v>
      </c>
      <c r="BW5" s="47">
        <f>IF(BR5="","",IF(SEKOR!BR5&gt;=DATA!$J$12,1,0))</f>
        <v>1</v>
      </c>
      <c r="BX5" s="47">
        <f>IF(BT5="","",IF(DATA!$J$14="",IF(SEKOR!BT5&gt;=DATA!$J$12,1,0),IF(SEKOR!BT5&gt;=DATA!$J$14,1,0)))</f>
        <v>1</v>
      </c>
      <c r="CC5" s="109"/>
    </row>
    <row r="6" spans="1:81" x14ac:dyDescent="0.25">
      <c r="A6" s="20" t="s">
        <v>33</v>
      </c>
      <c r="B6" s="21" t="str">
        <f>IF(Ujian!B13="","",Ujian!B13)</f>
        <v>  234601</v>
      </c>
      <c r="C6" s="57" t="str">
        <f>IF(Ujian!C13="","",Ujian!C13)</f>
        <v>  Bina Yanti</v>
      </c>
      <c r="D6" s="125">
        <f>IF(Ujian!D13="","",IF(LEFT(Ujian!D13,1)=SEKOR!D$2,1,0))</f>
        <v>0</v>
      </c>
      <c r="E6" s="125">
        <f>IF(Ujian!E13="","",IF(LEFT(Ujian!E13,1)=SEKOR!E$2,1,0))</f>
        <v>1</v>
      </c>
      <c r="F6" s="125">
        <f>IF(Ujian!F13="","",IF(LEFT(Ujian!F13,1)=SEKOR!F$2,1,0))</f>
        <v>0</v>
      </c>
      <c r="G6" s="125">
        <f>IF(Ujian!G13="","",IF(LEFT(Ujian!G13,1)=SEKOR!G$2,1,0))</f>
        <v>0</v>
      </c>
      <c r="H6" s="125">
        <f>IF(Ujian!H13="","",IF(LEFT(Ujian!H13,1)=SEKOR!H$2,1,0))</f>
        <v>0</v>
      </c>
      <c r="I6" s="125">
        <f>IF(Ujian!I13="","",IF(LEFT(Ujian!I13,1)=SEKOR!I$2,1,0))</f>
        <v>0</v>
      </c>
      <c r="J6" s="125">
        <f>IF(Ujian!J13="","",IF(LEFT(Ujian!J13,1)=SEKOR!J$2,1,0))</f>
        <v>1</v>
      </c>
      <c r="K6" s="125">
        <f>IF(Ujian!K13="","",IF(LEFT(Ujian!K13,1)=SEKOR!K$2,1,0))</f>
        <v>0</v>
      </c>
      <c r="L6" s="125" t="str">
        <f>IF(Ujian!L13="","",IF(LEFT(Ujian!L13,1)=SEKOR!L$2,1,0))</f>
        <v/>
      </c>
      <c r="M6" s="125">
        <f>IF(Ujian!M13="","",IF(LEFT(Ujian!M13,1)=SEKOR!M$2,1,0))</f>
        <v>0</v>
      </c>
      <c r="N6" s="125">
        <f>IF(Ujian!N13="","",IF(LEFT(Ujian!N13,1)=SEKOR!N$2,1,0))</f>
        <v>0</v>
      </c>
      <c r="O6" s="125">
        <f>IF(Ujian!O13="","",IF(LEFT(Ujian!O13,1)=SEKOR!O$2,1,0))</f>
        <v>0</v>
      </c>
      <c r="P6" s="125">
        <f>IF(Ujian!P13="","",IF(LEFT(Ujian!P13,1)=SEKOR!P$2,1,0))</f>
        <v>0</v>
      </c>
      <c r="Q6" s="125">
        <f>IF(Ujian!Q13="","",IF(LEFT(Ujian!Q13,1)=SEKOR!Q$2,1,0))</f>
        <v>1</v>
      </c>
      <c r="R6" s="125" t="str">
        <f>IF(Ujian!R13="","",IF(LEFT(Ujian!R13,1)=SEKOR!R$2,1,0))</f>
        <v/>
      </c>
      <c r="S6" s="125">
        <f>IF(Ujian!S13="","",IF(LEFT(Ujian!S13,1)=SEKOR!S$2,1,0))</f>
        <v>1</v>
      </c>
      <c r="T6" s="125">
        <f>IF(Ujian!T13="","",IF(LEFT(Ujian!T13,1)=SEKOR!T$2,1,0))</f>
        <v>1</v>
      </c>
      <c r="U6" s="125">
        <f>IF(Ujian!U13="","",IF(LEFT(Ujian!U13,1)=SEKOR!U$2,1,0))</f>
        <v>1</v>
      </c>
      <c r="V6" s="125">
        <f>IF(Ujian!V13="","",IF(LEFT(Ujian!V13,1)=SEKOR!V$2,1,0))</f>
        <v>1</v>
      </c>
      <c r="W6" s="125" t="str">
        <f>IF(Ujian!W13="","",IF(LEFT(Ujian!W13,1)=SEKOR!W$2,1,0))</f>
        <v/>
      </c>
      <c r="X6" s="125">
        <f>IF(Ujian!X13="","",IF(LEFT(Ujian!X13,1)=SEKOR!X$2,1,0))</f>
        <v>1</v>
      </c>
      <c r="Y6" s="125">
        <f>IF(Ujian!Y13="","",IF(LEFT(Ujian!Y13,1)=SEKOR!Y$2,1,0))</f>
        <v>1</v>
      </c>
      <c r="Z6" s="125">
        <f>IF(Ujian!Z13="","",IF(LEFT(Ujian!Z13,1)=SEKOR!Z$2,1,0))</f>
        <v>0</v>
      </c>
      <c r="AA6" s="125" t="str">
        <f>IF(Ujian!AA13="","",IF(LEFT(Ujian!AA13,1)=SEKOR!AA$2,1,0))</f>
        <v/>
      </c>
      <c r="AB6" s="125">
        <f>IF(Ujian!AB13="","",IF(LEFT(Ujian!AB13,1)=SEKOR!AB$2,1,0))</f>
        <v>1</v>
      </c>
      <c r="AC6" s="125">
        <f>IF(Ujian!AC13="","",IF(LEFT(Ujian!AC13,1)=SEKOR!AC$2,1,0))</f>
        <v>1</v>
      </c>
      <c r="AD6" s="125">
        <f>IF(Ujian!AD13="","",IF(LEFT(Ujian!AD13,1)=SEKOR!AD$2,1,0))</f>
        <v>1</v>
      </c>
      <c r="AE6" s="125">
        <f>IF(Ujian!AE13="","",IF(LEFT(Ujian!AE13,1)=SEKOR!AE$2,1,0))</f>
        <v>1</v>
      </c>
      <c r="AF6" s="125">
        <f>IF(Ujian!AF13="","",IF(LEFT(Ujian!AF13,1)=SEKOR!AF$2,1,0))</f>
        <v>1</v>
      </c>
      <c r="AG6" s="125">
        <f>IF(Ujian!AG13="","",IF(LEFT(Ujian!AG13,1)=SEKOR!AG$2,1,0))</f>
        <v>1</v>
      </c>
      <c r="AH6" s="125">
        <f>IF(Ujian!AH13="","",IF(LEFT(Ujian!AH13,1)=SEKOR!AH$2,1,0))</f>
        <v>1</v>
      </c>
      <c r="AI6" s="125">
        <f>IF(Ujian!AI13="","",IF(LEFT(Ujian!AI13,1)=SEKOR!AI$2,1,0))</f>
        <v>1</v>
      </c>
      <c r="AJ6" s="125">
        <f>IF(Ujian!AJ13="","",IF(LEFT(Ujian!AJ13,1)=SEKOR!AJ$2,1,0))</f>
        <v>1</v>
      </c>
      <c r="AK6" s="125">
        <f>IF(Ujian!AK13="","",IF(LEFT(Ujian!AK13,1)=SEKOR!AK$2,1,0))</f>
        <v>1</v>
      </c>
      <c r="AL6" s="125">
        <f>IF(Ujian!AL13="","",IF(LEFT(Ujian!AL13,1)=SEKOR!AL$2,1,0))</f>
        <v>1</v>
      </c>
      <c r="AM6" s="125">
        <f>IF(Ujian!AM13="","",IF(LEFT(Ujian!AM13,1)=SEKOR!AM$2,1,0))</f>
        <v>0</v>
      </c>
      <c r="AN6" s="125">
        <f>IF(Ujian!AN13="","",IF(LEFT(Ujian!AN13,1)=SEKOR!AN$2,1,0))</f>
        <v>1</v>
      </c>
      <c r="AO6" s="125">
        <f>IF(Ujian!AO13="","",IF(LEFT(Ujian!AO13,1)=SEKOR!AO$2,1,0))</f>
        <v>1</v>
      </c>
      <c r="AP6" s="125">
        <f>IF(Ujian!AP13="","",IF(LEFT(Ujian!AP13,1)=SEKOR!AP$2,1,0))</f>
        <v>1</v>
      </c>
      <c r="AQ6" s="125">
        <f>IF(Ujian!AQ13="","",IF(LEFT(Ujian!AQ13,1)=SEKOR!AQ$2,1,0))</f>
        <v>0</v>
      </c>
      <c r="AR6" s="125">
        <f>IF(Ujian!AR13="","",IF(LEFT(Ujian!AR13,1)=SEKOR!AR$2,1,0))</f>
        <v>1</v>
      </c>
      <c r="AS6" s="125">
        <f>IF(Ujian!AS13="","",IF(LEFT(Ujian!AS13,1)=SEKOR!AS$2,1,0))</f>
        <v>1</v>
      </c>
      <c r="AT6" s="125" t="str">
        <f>IF(Ujian!AT13="","",IF(LEFT(Ujian!AT13,1)=SEKOR!AT$2,1,0))</f>
        <v/>
      </c>
      <c r="AU6" s="125">
        <f>IF(Ujian!AU13="","",IF(LEFT(Ujian!AU13,1)=SEKOR!AU$2,1,0))</f>
        <v>1</v>
      </c>
      <c r="AV6" s="125">
        <f>IF(Ujian!AV13="","",IF(LEFT(Ujian!AV13,1)=SEKOR!AV$2,1,0))</f>
        <v>0</v>
      </c>
      <c r="AW6" s="125" t="str">
        <f>IF(Ujian!AW13="","",IF(LEFT(Ujian!AW13,1)=SEKOR!AW$2,1,0))</f>
        <v/>
      </c>
      <c r="AX6" s="125" t="str">
        <f>IF(Ujian!AX13="","",IF(LEFT(Ujian!AX13,1)=SEKOR!AX$2,1,0))</f>
        <v/>
      </c>
      <c r="AY6" s="125" t="str">
        <f>IF(Ujian!AY13="","",IF(LEFT(Ujian!AY13,1)=SEKOR!AY$2,1,0))</f>
        <v/>
      </c>
      <c r="AZ6" s="125" t="str">
        <f>IF(Ujian!AZ13="","",IF(LEFT(Ujian!AZ13,1)=SEKOR!AZ$2,1,0))</f>
        <v/>
      </c>
      <c r="BA6" s="125" t="str">
        <f>IF(Ujian!BA13="","",IF(LEFT(Ujian!BA13,1)=SEKOR!BA$2,1,0))</f>
        <v/>
      </c>
      <c r="BB6" s="125" t="str">
        <f>IF(Ujian!BB13="","",IF(LEFT(Ujian!BB13,1)=SEKOR!BB$2,1,0))</f>
        <v/>
      </c>
      <c r="BC6" s="125" t="str">
        <f>IF(Ujian!BC13="","",IF(LEFT(Ujian!BC13,1)=SEKOR!BC$2,1,0))</f>
        <v/>
      </c>
      <c r="BD6" s="125" t="str">
        <f>IF(Ujian!BD13="","",IF(LEFT(Ujian!BD13,1)=SEKOR!BD$2,1,0))</f>
        <v/>
      </c>
      <c r="BE6" s="125" t="str">
        <f>IF(Ujian!BE13="","",IF(LEFT(Ujian!BE13,1)=SEKOR!BE$2,1,0))</f>
        <v/>
      </c>
      <c r="BF6" s="125" t="str">
        <f>IF(Ujian!BF13="","",IF(LEFT(Ujian!BF13,1)=SEKOR!BF$2,1,0))</f>
        <v/>
      </c>
      <c r="BG6" s="125" t="str">
        <f>IF(Ujian!BG13="","",IF(LEFT(Ujian!BG13,1)=SEKOR!BG$2,1,0))</f>
        <v/>
      </c>
      <c r="BH6" s="125" t="str">
        <f>IF(Ujian!BH13="","",IF(LEFT(Ujian!BH13,1)=SEKOR!BH$2,1,0))</f>
        <v/>
      </c>
      <c r="BI6" s="125" t="str">
        <f>IF(Ujian!BI13="","",IF(LEFT(Ujian!BI13,1)=SEKOR!BI$2,1,0))</f>
        <v/>
      </c>
      <c r="BJ6" s="125" t="str">
        <f>IF(Ujian!BJ13="","",IF(LEFT(Ujian!BJ13,1)=SEKOR!BJ$2,1,0))</f>
        <v/>
      </c>
      <c r="BK6" s="125" t="str">
        <f>IF(Ujian!BK13="","",IF(LEFT(Ujian!BK13,1)=SEKOR!BK$2,1,0))</f>
        <v/>
      </c>
      <c r="BL6" s="18">
        <f t="shared" si="0"/>
        <v>40</v>
      </c>
      <c r="BM6" s="18">
        <f>COUNTIF($D6:$BK6,"")+DATA!$F$14-DATA!$F$12</f>
        <v>20</v>
      </c>
      <c r="BN6" s="17">
        <f>IF(COUNTIF($D6:$BK6,1)&gt;DATA!$F$14,DATA!$F$14,COUNTIF($D6:$BK6,1))</f>
        <v>26</v>
      </c>
      <c r="BO6" s="17">
        <f>IF((BN6+COUNTIF($D6:$BK6,0))&lt;=DATA!$F$14,COUNTIF($D6:$BK6,0),DATA!$F$14-SEKOR!BN6)</f>
        <v>14</v>
      </c>
      <c r="BP6" s="4">
        <f>IF(BL6=0,"",BN6/DATA!$F$14*100)</f>
        <v>65</v>
      </c>
      <c r="BQ6" s="121">
        <f t="shared" si="1"/>
        <v>83.870967741935488</v>
      </c>
      <c r="BR6" s="2">
        <f>IF(Praktik!$E6=0,"",Praktik!$E6)</f>
        <v>90</v>
      </c>
      <c r="BS6" s="2">
        <f>IF(BR6="","",(BP6*DATAINFO!$O$4)+(SEKOR!BR6*DATAINFO!$O$5)/(DATAINFO!$O$4+DATAINFO!$O$5))</f>
        <v>95</v>
      </c>
      <c r="BT6" s="2">
        <f>IF(BL6=0,"",IF(DATA!$F$18="TIDAK",ROUNDUP((IF!$L$8*SEKOR!$BP6)+IF!$L$9,0),IF($BR6="","",ROUNDUP((IF!$L$20*$BS6)+IF!$L$21,0))))</f>
        <v>82</v>
      </c>
      <c r="BU6" s="47">
        <f>IF(BP6="","",IF(SEKOR!BP6&gt;=DATA!$J$12,1,0))</f>
        <v>0</v>
      </c>
      <c r="BV6" s="47">
        <f>IF(BQ6="","",IF(SEKOR!BQ6&gt;=DATA!$J$12,1,0))</f>
        <v>1</v>
      </c>
      <c r="BW6" s="47">
        <f>IF(BR6="","",IF(SEKOR!BR6&gt;=DATA!$J$12,1,0))</f>
        <v>1</v>
      </c>
      <c r="BX6" s="47">
        <f>IF(BT6="","",IF(DATA!$J$14="",IF(SEKOR!BT6&gt;=DATA!$J$12,1,0),IF(SEKOR!BT6&gt;=DATA!$J$14,1,0)))</f>
        <v>1</v>
      </c>
    </row>
    <row r="7" spans="1:81" x14ac:dyDescent="0.25">
      <c r="A7" s="20" t="s">
        <v>34</v>
      </c>
      <c r="B7" s="21" t="str">
        <f>IF(Ujian!B14="","",Ujian!B14)</f>
        <v>  234602</v>
      </c>
      <c r="C7" s="57" t="str">
        <f>IF(Ujian!C14="","",Ujian!C14)</f>
        <v>  Desty Listianingsih</v>
      </c>
      <c r="D7" s="125">
        <f>IF(Ujian!D14="","",IF(LEFT(Ujian!D14,1)=SEKOR!D$2,1,0))</f>
        <v>1</v>
      </c>
      <c r="E7" s="125">
        <f>IF(Ujian!E14="","",IF(LEFT(Ujian!E14,1)=SEKOR!E$2,1,0))</f>
        <v>1</v>
      </c>
      <c r="F7" s="125">
        <f>IF(Ujian!F14="","",IF(LEFT(Ujian!F14,1)=SEKOR!F$2,1,0))</f>
        <v>1</v>
      </c>
      <c r="G7" s="125">
        <f>IF(Ujian!G14="","",IF(LEFT(Ujian!G14,1)=SEKOR!G$2,1,0))</f>
        <v>1</v>
      </c>
      <c r="H7" s="125">
        <f>IF(Ujian!H14="","",IF(LEFT(Ujian!H14,1)=SEKOR!H$2,1,0))</f>
        <v>0</v>
      </c>
      <c r="I7" s="125">
        <f>IF(Ujian!I14="","",IF(LEFT(Ujian!I14,1)=SEKOR!I$2,1,0))</f>
        <v>0</v>
      </c>
      <c r="J7" s="125" t="str">
        <f>IF(Ujian!J14="","",IF(LEFT(Ujian!J14,1)=SEKOR!J$2,1,0))</f>
        <v/>
      </c>
      <c r="K7" s="125">
        <f>IF(Ujian!K14="","",IF(LEFT(Ujian!K14,1)=SEKOR!K$2,1,0))</f>
        <v>0</v>
      </c>
      <c r="L7" s="125">
        <f>IF(Ujian!L14="","",IF(LEFT(Ujian!L14,1)=SEKOR!L$2,1,0))</f>
        <v>0</v>
      </c>
      <c r="M7" s="125">
        <f>IF(Ujian!M14="","",IF(LEFT(Ujian!M14,1)=SEKOR!M$2,1,0))</f>
        <v>0</v>
      </c>
      <c r="N7" s="125">
        <f>IF(Ujian!N14="","",IF(LEFT(Ujian!N14,1)=SEKOR!N$2,1,0))</f>
        <v>0</v>
      </c>
      <c r="O7" s="125" t="str">
        <f>IF(Ujian!O14="","",IF(LEFT(Ujian!O14,1)=SEKOR!O$2,1,0))</f>
        <v/>
      </c>
      <c r="P7" s="125" t="str">
        <f>IF(Ujian!P14="","",IF(LEFT(Ujian!P14,1)=SEKOR!P$2,1,0))</f>
        <v/>
      </c>
      <c r="Q7" s="125" t="str">
        <f>IF(Ujian!Q14="","",IF(LEFT(Ujian!Q14,1)=SEKOR!Q$2,1,0))</f>
        <v/>
      </c>
      <c r="R7" s="125" t="str">
        <f>IF(Ujian!R14="","",IF(LEFT(Ujian!R14,1)=SEKOR!R$2,1,0))</f>
        <v/>
      </c>
      <c r="S7" s="125">
        <f>IF(Ujian!S14="","",IF(LEFT(Ujian!S14,1)=SEKOR!S$2,1,0))</f>
        <v>1</v>
      </c>
      <c r="T7" s="125">
        <f>IF(Ujian!T14="","",IF(LEFT(Ujian!T14,1)=SEKOR!T$2,1,0))</f>
        <v>1</v>
      </c>
      <c r="U7" s="125">
        <f>IF(Ujian!U14="","",IF(LEFT(Ujian!U14,1)=SEKOR!U$2,1,0))</f>
        <v>1</v>
      </c>
      <c r="V7" s="125">
        <f>IF(Ujian!V14="","",IF(LEFT(Ujian!V14,1)=SEKOR!V$2,1,0))</f>
        <v>1</v>
      </c>
      <c r="W7" s="125">
        <f>IF(Ujian!W14="","",IF(LEFT(Ujian!W14,1)=SEKOR!W$2,1,0))</f>
        <v>0</v>
      </c>
      <c r="X7" s="125">
        <f>IF(Ujian!X14="","",IF(LEFT(Ujian!X14,1)=SEKOR!X$2,1,0))</f>
        <v>0</v>
      </c>
      <c r="Y7" s="125">
        <f>IF(Ujian!Y14="","",IF(LEFT(Ujian!Y14,1)=SEKOR!Y$2,1,0))</f>
        <v>0</v>
      </c>
      <c r="Z7" s="125">
        <f>IF(Ujian!Z14="","",IF(LEFT(Ujian!Z14,1)=SEKOR!Z$2,1,0))</f>
        <v>0</v>
      </c>
      <c r="AA7" s="125">
        <f>IF(Ujian!AA14="","",IF(LEFT(Ujian!AA14,1)=SEKOR!AA$2,1,0))</f>
        <v>1</v>
      </c>
      <c r="AB7" s="125">
        <f>IF(Ujian!AB14="","",IF(LEFT(Ujian!AB14,1)=SEKOR!AB$2,1,0))</f>
        <v>0</v>
      </c>
      <c r="AC7" s="125">
        <f>IF(Ujian!AC14="","",IF(LEFT(Ujian!AC14,1)=SEKOR!AC$2,1,0))</f>
        <v>0</v>
      </c>
      <c r="AD7" s="125">
        <f>IF(Ujian!AD14="","",IF(LEFT(Ujian!AD14,1)=SEKOR!AD$2,1,0))</f>
        <v>1</v>
      </c>
      <c r="AE7" s="125">
        <f>IF(Ujian!AE14="","",IF(LEFT(Ujian!AE14,1)=SEKOR!AE$2,1,0))</f>
        <v>1</v>
      </c>
      <c r="AF7" s="125">
        <f>IF(Ujian!AF14="","",IF(LEFT(Ujian!AF14,1)=SEKOR!AF$2,1,0))</f>
        <v>0</v>
      </c>
      <c r="AG7" s="125">
        <f>IF(Ujian!AG14="","",IF(LEFT(Ujian!AG14,1)=SEKOR!AG$2,1,0))</f>
        <v>1</v>
      </c>
      <c r="AH7" s="125">
        <f>IF(Ujian!AH14="","",IF(LEFT(Ujian!AH14,1)=SEKOR!AH$2,1,0))</f>
        <v>0</v>
      </c>
      <c r="AI7" s="125">
        <f>IF(Ujian!AI14="","",IF(LEFT(Ujian!AI14,1)=SEKOR!AI$2,1,0))</f>
        <v>1</v>
      </c>
      <c r="AJ7" s="125">
        <f>IF(Ujian!AJ14="","",IF(LEFT(Ujian!AJ14,1)=SEKOR!AJ$2,1,0))</f>
        <v>1</v>
      </c>
      <c r="AK7" s="125">
        <f>IF(Ujian!AK14="","",IF(LEFT(Ujian!AK14,1)=SEKOR!AK$2,1,0))</f>
        <v>1</v>
      </c>
      <c r="AL7" s="125">
        <f>IF(Ujian!AL14="","",IF(LEFT(Ujian!AL14,1)=SEKOR!AL$2,1,0))</f>
        <v>1</v>
      </c>
      <c r="AM7" s="125">
        <f>IF(Ujian!AM14="","",IF(LEFT(Ujian!AM14,1)=SEKOR!AM$2,1,0))</f>
        <v>1</v>
      </c>
      <c r="AN7" s="125">
        <f>IF(Ujian!AN14="","",IF(LEFT(Ujian!AN14,1)=SEKOR!AN$2,1,0))</f>
        <v>0</v>
      </c>
      <c r="AO7" s="125">
        <f>IF(Ujian!AO14="","",IF(LEFT(Ujian!AO14,1)=SEKOR!AO$2,1,0))</f>
        <v>0</v>
      </c>
      <c r="AP7" s="125">
        <f>IF(Ujian!AP14="","",IF(LEFT(Ujian!AP14,1)=SEKOR!AP$2,1,0))</f>
        <v>0</v>
      </c>
      <c r="AQ7" s="125">
        <f>IF(Ujian!AQ14="","",IF(LEFT(Ujian!AQ14,1)=SEKOR!AQ$2,1,0))</f>
        <v>0</v>
      </c>
      <c r="AR7" s="125">
        <f>IF(Ujian!AR14="","",IF(LEFT(Ujian!AR14,1)=SEKOR!AR$2,1,0))</f>
        <v>0</v>
      </c>
      <c r="AS7" s="125">
        <f>IF(Ujian!AS14="","",IF(LEFT(Ujian!AS14,1)=SEKOR!AS$2,1,0))</f>
        <v>0</v>
      </c>
      <c r="AT7" s="125">
        <f>IF(Ujian!AT14="","",IF(LEFT(Ujian!AT14,1)=SEKOR!AT$2,1,0))</f>
        <v>0</v>
      </c>
      <c r="AU7" s="125">
        <f>IF(Ujian!AU14="","",IF(LEFT(Ujian!AU14,1)=SEKOR!AU$2,1,0))</f>
        <v>0</v>
      </c>
      <c r="AV7" s="125">
        <f>IF(Ujian!AV14="","",IF(LEFT(Ujian!AV14,1)=SEKOR!AV$2,1,0))</f>
        <v>0</v>
      </c>
      <c r="AW7" s="125" t="str">
        <f>IF(Ujian!AW14="","",IF(LEFT(Ujian!AW14,1)=SEKOR!AW$2,1,0))</f>
        <v/>
      </c>
      <c r="AX7" s="125" t="str">
        <f>IF(Ujian!AX14="","",IF(LEFT(Ujian!AX14,1)=SEKOR!AX$2,1,0))</f>
        <v/>
      </c>
      <c r="AY7" s="125" t="str">
        <f>IF(Ujian!AY14="","",IF(LEFT(Ujian!AY14,1)=SEKOR!AY$2,1,0))</f>
        <v/>
      </c>
      <c r="AZ7" s="125" t="str">
        <f>IF(Ujian!AZ14="","",IF(LEFT(Ujian!AZ14,1)=SEKOR!AZ$2,1,0))</f>
        <v/>
      </c>
      <c r="BA7" s="125" t="str">
        <f>IF(Ujian!BA14="","",IF(LEFT(Ujian!BA14,1)=SEKOR!BA$2,1,0))</f>
        <v/>
      </c>
      <c r="BB7" s="125" t="str">
        <f>IF(Ujian!BB14="","",IF(LEFT(Ujian!BB14,1)=SEKOR!BB$2,1,0))</f>
        <v/>
      </c>
      <c r="BC7" s="125" t="str">
        <f>IF(Ujian!BC14="","",IF(LEFT(Ujian!BC14,1)=SEKOR!BC$2,1,0))</f>
        <v/>
      </c>
      <c r="BD7" s="125" t="str">
        <f>IF(Ujian!BD14="","",IF(LEFT(Ujian!BD14,1)=SEKOR!BD$2,1,0))</f>
        <v/>
      </c>
      <c r="BE7" s="125" t="str">
        <f>IF(Ujian!BE14="","",IF(LEFT(Ujian!BE14,1)=SEKOR!BE$2,1,0))</f>
        <v/>
      </c>
      <c r="BF7" s="125" t="str">
        <f>IF(Ujian!BF14="","",IF(LEFT(Ujian!BF14,1)=SEKOR!BF$2,1,0))</f>
        <v/>
      </c>
      <c r="BG7" s="125" t="str">
        <f>IF(Ujian!BG14="","",IF(LEFT(Ujian!BG14,1)=SEKOR!BG$2,1,0))</f>
        <v/>
      </c>
      <c r="BH7" s="125" t="str">
        <f>IF(Ujian!BH14="","",IF(LEFT(Ujian!BH14,1)=SEKOR!BH$2,1,0))</f>
        <v/>
      </c>
      <c r="BI7" s="125" t="str">
        <f>IF(Ujian!BI14="","",IF(LEFT(Ujian!BI14,1)=SEKOR!BI$2,1,0))</f>
        <v/>
      </c>
      <c r="BJ7" s="125" t="str">
        <f>IF(Ujian!BJ14="","",IF(LEFT(Ujian!BJ14,1)=SEKOR!BJ$2,1,0))</f>
        <v/>
      </c>
      <c r="BK7" s="125" t="str">
        <f>IF(Ujian!BK14="","",IF(LEFT(Ujian!BK14,1)=SEKOR!BK$2,1,0))</f>
        <v/>
      </c>
      <c r="BL7" s="18">
        <f t="shared" si="0"/>
        <v>40</v>
      </c>
      <c r="BM7" s="18">
        <f>COUNTIF($D7:$BK7,"")+DATA!$F$14-DATA!$F$12</f>
        <v>20</v>
      </c>
      <c r="BN7" s="17">
        <f>IF(COUNTIF($D7:$BK7,1)&gt;DATA!$F$14,DATA!$F$14,COUNTIF($D7:$BK7,1))</f>
        <v>17</v>
      </c>
      <c r="BO7" s="17">
        <f>IF((BN7+COUNTIF($D7:$BK7,0))&lt;=DATA!$F$14,COUNTIF($D7:$BK7,0),DATA!$F$14-SEKOR!BN7)</f>
        <v>23</v>
      </c>
      <c r="BP7" s="4">
        <f>IF(BL7=0,"",BN7/DATA!$F$14*100)</f>
        <v>42.5</v>
      </c>
      <c r="BQ7" s="121">
        <f t="shared" si="1"/>
        <v>54.838709677419352</v>
      </c>
      <c r="BR7" s="2">
        <f>IF(Praktik!$E7=0,"",Praktik!$E7)</f>
        <v>90</v>
      </c>
      <c r="BS7" s="2">
        <f>IF(BR7="","",(BP7*DATAINFO!$O$4)+(SEKOR!BR7*DATAINFO!$O$5)/(DATAINFO!$O$4+DATAINFO!$O$5))</f>
        <v>72.5</v>
      </c>
      <c r="BT7" s="2">
        <f>IF(BL7=0,"",IF(DATA!$F$18="TIDAK",ROUNDUP((IF!$L$8*SEKOR!$BP7)+IF!$L$9,0),IF($BR7="","",ROUNDUP((IF!$L$20*$BS7)+IF!$L$21,0))))</f>
        <v>67</v>
      </c>
      <c r="BU7" s="47">
        <f>IF(BP7="","",IF(SEKOR!BP7&gt;=DATA!$J$12,1,0))</f>
        <v>0</v>
      </c>
      <c r="BV7" s="47">
        <f>IF(BQ7="","",IF(SEKOR!BQ7&gt;=DATA!$J$12,1,0))</f>
        <v>0</v>
      </c>
      <c r="BW7" s="47">
        <f>IF(BR7="","",IF(SEKOR!BR7&gt;=DATA!$J$12,1,0))</f>
        <v>1</v>
      </c>
      <c r="BX7" s="47">
        <f>IF(BT7="","",IF(DATA!$J$14="",IF(SEKOR!BT7&gt;=DATA!$J$12,1,0),IF(SEKOR!BT7&gt;=DATA!$J$14,1,0)))</f>
        <v>1</v>
      </c>
    </row>
    <row r="8" spans="1:81" x14ac:dyDescent="0.25">
      <c r="A8" s="20" t="s">
        <v>35</v>
      </c>
      <c r="B8" s="21" t="str">
        <f>IF(Ujian!B15="","",Ujian!B15)</f>
        <v>  234610</v>
      </c>
      <c r="C8" s="57" t="str">
        <f>IF(Ujian!C15="","",Ujian!C15)</f>
        <v>  Gita Maghfirahalfariani</v>
      </c>
      <c r="D8" s="125">
        <f>IF(Ujian!D15="","",IF(LEFT(Ujian!D15,1)=SEKOR!D$2,1,0))</f>
        <v>1</v>
      </c>
      <c r="E8" s="125" t="str">
        <f>IF(Ujian!E15="","",IF(LEFT(Ujian!E15,1)=SEKOR!E$2,1,0))</f>
        <v/>
      </c>
      <c r="F8" s="125" t="str">
        <f>IF(Ujian!F15="","",IF(LEFT(Ujian!F15,1)=SEKOR!F$2,1,0))</f>
        <v/>
      </c>
      <c r="G8" s="125">
        <f>IF(Ujian!G15="","",IF(LEFT(Ujian!G15,1)=SEKOR!G$2,1,0))</f>
        <v>1</v>
      </c>
      <c r="H8" s="125">
        <f>IF(Ujian!H15="","",IF(LEFT(Ujian!H15,1)=SEKOR!H$2,1,0))</f>
        <v>0</v>
      </c>
      <c r="I8" s="125">
        <f>IF(Ujian!I15="","",IF(LEFT(Ujian!I15,1)=SEKOR!I$2,1,0))</f>
        <v>1</v>
      </c>
      <c r="J8" s="125">
        <f>IF(Ujian!J15="","",IF(LEFT(Ujian!J15,1)=SEKOR!J$2,1,0))</f>
        <v>0</v>
      </c>
      <c r="K8" s="125">
        <f>IF(Ujian!K15="","",IF(LEFT(Ujian!K15,1)=SEKOR!K$2,1,0))</f>
        <v>0</v>
      </c>
      <c r="L8" s="125">
        <f>IF(Ujian!L15="","",IF(LEFT(Ujian!L15,1)=SEKOR!L$2,1,0))</f>
        <v>0</v>
      </c>
      <c r="M8" s="125" t="str">
        <f>IF(Ujian!M15="","",IF(LEFT(Ujian!M15,1)=SEKOR!M$2,1,0))</f>
        <v/>
      </c>
      <c r="N8" s="125">
        <f>IF(Ujian!N15="","",IF(LEFT(Ujian!N15,1)=SEKOR!N$2,1,0))</f>
        <v>0</v>
      </c>
      <c r="O8" s="125">
        <f>IF(Ujian!O15="","",IF(LEFT(Ujian!O15,1)=SEKOR!O$2,1,0))</f>
        <v>0</v>
      </c>
      <c r="P8" s="125">
        <f>IF(Ujian!P15="","",IF(LEFT(Ujian!P15,1)=SEKOR!P$2,1,0))</f>
        <v>0</v>
      </c>
      <c r="Q8" s="125">
        <f>IF(Ujian!Q15="","",IF(LEFT(Ujian!Q15,1)=SEKOR!Q$2,1,0))</f>
        <v>1</v>
      </c>
      <c r="R8" s="125">
        <f>IF(Ujian!R15="","",IF(LEFT(Ujian!R15,1)=SEKOR!R$2,1,0))</f>
        <v>0</v>
      </c>
      <c r="S8" s="125">
        <f>IF(Ujian!S15="","",IF(LEFT(Ujian!S15,1)=SEKOR!S$2,1,0))</f>
        <v>1</v>
      </c>
      <c r="T8" s="125">
        <f>IF(Ujian!T15="","",IF(LEFT(Ujian!T15,1)=SEKOR!T$2,1,0))</f>
        <v>1</v>
      </c>
      <c r="U8" s="125">
        <f>IF(Ujian!U15="","",IF(LEFT(Ujian!U15,1)=SEKOR!U$2,1,0))</f>
        <v>0</v>
      </c>
      <c r="V8" s="125">
        <f>IF(Ujian!V15="","",IF(LEFT(Ujian!V15,1)=SEKOR!V$2,1,0))</f>
        <v>1</v>
      </c>
      <c r="W8" s="125">
        <f>IF(Ujian!W15="","",IF(LEFT(Ujian!W15,1)=SEKOR!W$2,1,0))</f>
        <v>0</v>
      </c>
      <c r="X8" s="125">
        <f>IF(Ujian!X15="","",IF(LEFT(Ujian!X15,1)=SEKOR!X$2,1,0))</f>
        <v>1</v>
      </c>
      <c r="Y8" s="125">
        <f>IF(Ujian!Y15="","",IF(LEFT(Ujian!Y15,1)=SEKOR!Y$2,1,0))</f>
        <v>1</v>
      </c>
      <c r="Z8" s="125">
        <f>IF(Ujian!Z15="","",IF(LEFT(Ujian!Z15,1)=SEKOR!Z$2,1,0))</f>
        <v>1</v>
      </c>
      <c r="AA8" s="125" t="str">
        <f>IF(Ujian!AA15="","",IF(LEFT(Ujian!AA15,1)=SEKOR!AA$2,1,0))</f>
        <v/>
      </c>
      <c r="AB8" s="125">
        <f>IF(Ujian!AB15="","",IF(LEFT(Ujian!AB15,1)=SEKOR!AB$2,1,0))</f>
        <v>0</v>
      </c>
      <c r="AC8" s="125">
        <f>IF(Ujian!AC15="","",IF(LEFT(Ujian!AC15,1)=SEKOR!AC$2,1,0))</f>
        <v>0</v>
      </c>
      <c r="AD8" s="125">
        <f>IF(Ujian!AD15="","",IF(LEFT(Ujian!AD15,1)=SEKOR!AD$2,1,0))</f>
        <v>0</v>
      </c>
      <c r="AE8" s="125">
        <f>IF(Ujian!AE15="","",IF(LEFT(Ujian!AE15,1)=SEKOR!AE$2,1,0))</f>
        <v>0</v>
      </c>
      <c r="AF8" s="125">
        <f>IF(Ujian!AF15="","",IF(LEFT(Ujian!AF15,1)=SEKOR!AF$2,1,0))</f>
        <v>0</v>
      </c>
      <c r="AG8" s="125">
        <f>IF(Ujian!AG15="","",IF(LEFT(Ujian!AG15,1)=SEKOR!AG$2,1,0))</f>
        <v>1</v>
      </c>
      <c r="AH8" s="125">
        <f>IF(Ujian!AH15="","",IF(LEFT(Ujian!AH15,1)=SEKOR!AH$2,1,0))</f>
        <v>0</v>
      </c>
      <c r="AI8" s="125">
        <f>IF(Ujian!AI15="","",IF(LEFT(Ujian!AI15,1)=SEKOR!AI$2,1,0))</f>
        <v>1</v>
      </c>
      <c r="AJ8" s="125">
        <f>IF(Ujian!AJ15="","",IF(LEFT(Ujian!AJ15,1)=SEKOR!AJ$2,1,0))</f>
        <v>0</v>
      </c>
      <c r="AK8" s="125">
        <f>IF(Ujian!AK15="","",IF(LEFT(Ujian!AK15,1)=SEKOR!AK$2,1,0))</f>
        <v>0</v>
      </c>
      <c r="AL8" s="125" t="str">
        <f>IF(Ujian!AL15="","",IF(LEFT(Ujian!AL15,1)=SEKOR!AL$2,1,0))</f>
        <v/>
      </c>
      <c r="AM8" s="125">
        <f>IF(Ujian!AM15="","",IF(LEFT(Ujian!AM15,1)=SEKOR!AM$2,1,0))</f>
        <v>1</v>
      </c>
      <c r="AN8" s="125" t="str">
        <f>IF(Ujian!AN15="","",IF(LEFT(Ujian!AN15,1)=SEKOR!AN$2,1,0))</f>
        <v/>
      </c>
      <c r="AO8" s="125">
        <f>IF(Ujian!AO15="","",IF(LEFT(Ujian!AO15,1)=SEKOR!AO$2,1,0))</f>
        <v>0</v>
      </c>
      <c r="AP8" s="125">
        <f>IF(Ujian!AP15="","",IF(LEFT(Ujian!AP15,1)=SEKOR!AP$2,1,0))</f>
        <v>0</v>
      </c>
      <c r="AQ8" s="125">
        <f>IF(Ujian!AQ15="","",IF(LEFT(Ujian!AQ15,1)=SEKOR!AQ$2,1,0))</f>
        <v>0</v>
      </c>
      <c r="AR8" s="125">
        <f>IF(Ujian!AR15="","",IF(LEFT(Ujian!AR15,1)=SEKOR!AR$2,1,0))</f>
        <v>1</v>
      </c>
      <c r="AS8" s="125">
        <f>IF(Ujian!AS15="","",IF(LEFT(Ujian!AS15,1)=SEKOR!AS$2,1,0))</f>
        <v>0</v>
      </c>
      <c r="AT8" s="125">
        <f>IF(Ujian!AT15="","",IF(LEFT(Ujian!AT15,1)=SEKOR!AT$2,1,0))</f>
        <v>1</v>
      </c>
      <c r="AU8" s="125">
        <f>IF(Ujian!AU15="","",IF(LEFT(Ujian!AU15,1)=SEKOR!AU$2,1,0))</f>
        <v>0</v>
      </c>
      <c r="AV8" s="125">
        <f>IF(Ujian!AV15="","",IF(LEFT(Ujian!AV15,1)=SEKOR!AV$2,1,0))</f>
        <v>0</v>
      </c>
      <c r="AW8" s="125" t="str">
        <f>IF(Ujian!AW15="","",IF(LEFT(Ujian!AW15,1)=SEKOR!AW$2,1,0))</f>
        <v/>
      </c>
      <c r="AX8" s="125" t="str">
        <f>IF(Ujian!AX15="","",IF(LEFT(Ujian!AX15,1)=SEKOR!AX$2,1,0))</f>
        <v/>
      </c>
      <c r="AY8" s="125" t="str">
        <f>IF(Ujian!AY15="","",IF(LEFT(Ujian!AY15,1)=SEKOR!AY$2,1,0))</f>
        <v/>
      </c>
      <c r="AZ8" s="125" t="str">
        <f>IF(Ujian!AZ15="","",IF(LEFT(Ujian!AZ15,1)=SEKOR!AZ$2,1,0))</f>
        <v/>
      </c>
      <c r="BA8" s="125" t="str">
        <f>IF(Ujian!BA15="","",IF(LEFT(Ujian!BA15,1)=SEKOR!BA$2,1,0))</f>
        <v/>
      </c>
      <c r="BB8" s="125" t="str">
        <f>IF(Ujian!BB15="","",IF(LEFT(Ujian!BB15,1)=SEKOR!BB$2,1,0))</f>
        <v/>
      </c>
      <c r="BC8" s="125" t="str">
        <f>IF(Ujian!BC15="","",IF(LEFT(Ujian!BC15,1)=SEKOR!BC$2,1,0))</f>
        <v/>
      </c>
      <c r="BD8" s="125" t="str">
        <f>IF(Ujian!BD15="","",IF(LEFT(Ujian!BD15,1)=SEKOR!BD$2,1,0))</f>
        <v/>
      </c>
      <c r="BE8" s="125" t="str">
        <f>IF(Ujian!BE15="","",IF(LEFT(Ujian!BE15,1)=SEKOR!BE$2,1,0))</f>
        <v/>
      </c>
      <c r="BF8" s="125" t="str">
        <f>IF(Ujian!BF15="","",IF(LEFT(Ujian!BF15,1)=SEKOR!BF$2,1,0))</f>
        <v/>
      </c>
      <c r="BG8" s="125" t="str">
        <f>IF(Ujian!BG15="","",IF(LEFT(Ujian!BG15,1)=SEKOR!BG$2,1,0))</f>
        <v/>
      </c>
      <c r="BH8" s="125" t="str">
        <f>IF(Ujian!BH15="","",IF(LEFT(Ujian!BH15,1)=SEKOR!BH$2,1,0))</f>
        <v/>
      </c>
      <c r="BI8" s="125" t="str">
        <f>IF(Ujian!BI15="","",IF(LEFT(Ujian!BI15,1)=SEKOR!BI$2,1,0))</f>
        <v/>
      </c>
      <c r="BJ8" s="125" t="str">
        <f>IF(Ujian!BJ15="","",IF(LEFT(Ujian!BJ15,1)=SEKOR!BJ$2,1,0))</f>
        <v/>
      </c>
      <c r="BK8" s="125" t="str">
        <f>IF(Ujian!BK15="","",IF(LEFT(Ujian!BK15,1)=SEKOR!BK$2,1,0))</f>
        <v/>
      </c>
      <c r="BL8" s="18">
        <f t="shared" si="0"/>
        <v>39</v>
      </c>
      <c r="BM8" s="18">
        <f>COUNTIF($D8:$BK8,"")+DATA!$F$14-DATA!$F$12</f>
        <v>21</v>
      </c>
      <c r="BN8" s="17">
        <f>IF(COUNTIF($D8:$BK8,1)&gt;DATA!$F$14,DATA!$F$14,COUNTIF($D8:$BK8,1))</f>
        <v>15</v>
      </c>
      <c r="BO8" s="17">
        <f>IF((BN8+COUNTIF($D8:$BK8,0))&lt;=DATA!$F$14,COUNTIF($D8:$BK8,0),DATA!$F$14-SEKOR!BN8)</f>
        <v>24</v>
      </c>
      <c r="BP8" s="4">
        <f>IF(BL8=0,"",BN8/DATA!$F$14*100)</f>
        <v>37.5</v>
      </c>
      <c r="BQ8" s="121">
        <f t="shared" si="1"/>
        <v>48.387096774193552</v>
      </c>
      <c r="BR8" s="2">
        <f>IF(Praktik!$E8=0,"",Praktik!$E8)</f>
        <v>90</v>
      </c>
      <c r="BS8" s="2">
        <f>IF(BR8="","",(BP8*DATAINFO!$O$4)+(SEKOR!BR8*DATAINFO!$O$5)/(DATAINFO!$O$4+DATAINFO!$O$5))</f>
        <v>67.5</v>
      </c>
      <c r="BT8" s="2">
        <f>IF(BL8=0,"",IF(DATA!$F$18="TIDAK",ROUNDUP((IF!$L$8*SEKOR!$BP8)+IF!$L$9,0),IF($BR8="","",ROUNDUP((IF!$L$20*$BS8)+IF!$L$21,0))))</f>
        <v>64</v>
      </c>
      <c r="BU8" s="47">
        <f>IF(BP8="","",IF(SEKOR!BP8&gt;=DATA!$J$12,1,0))</f>
        <v>0</v>
      </c>
      <c r="BV8" s="47">
        <f>IF(BQ8="","",IF(SEKOR!BQ8&gt;=DATA!$J$12,1,0))</f>
        <v>0</v>
      </c>
      <c r="BW8" s="47">
        <f>IF(BR8="","",IF(SEKOR!BR8&gt;=DATA!$J$12,1,0))</f>
        <v>1</v>
      </c>
      <c r="BX8" s="47">
        <f>IF(BT8="","",IF(DATA!$J$14="",IF(SEKOR!BT8&gt;=DATA!$J$12,1,0),IF(SEKOR!BT8&gt;=DATA!$J$14,1,0)))</f>
        <v>1</v>
      </c>
    </row>
    <row r="9" spans="1:81" x14ac:dyDescent="0.25">
      <c r="A9" s="20" t="s">
        <v>36</v>
      </c>
      <c r="B9" s="21" t="str">
        <f>IF(Ujian!B16="","",Ujian!B16)</f>
        <v>  234622</v>
      </c>
      <c r="C9" s="57" t="str">
        <f>IF(Ujian!C16="","",Ujian!C16)</f>
        <v>  Juleha</v>
      </c>
      <c r="D9" s="125">
        <f>IF(Ujian!D16="","",IF(LEFT(Ujian!D16,1)=SEKOR!D$2,1,0))</f>
        <v>0</v>
      </c>
      <c r="E9" s="125">
        <f>IF(Ujian!E16="","",IF(LEFT(Ujian!E16,1)=SEKOR!E$2,1,0))</f>
        <v>1</v>
      </c>
      <c r="F9" s="125" t="str">
        <f>IF(Ujian!F16="","",IF(LEFT(Ujian!F16,1)=SEKOR!F$2,1,0))</f>
        <v/>
      </c>
      <c r="G9" s="125">
        <f>IF(Ujian!G16="","",IF(LEFT(Ujian!G16,1)=SEKOR!G$2,1,0))</f>
        <v>1</v>
      </c>
      <c r="H9" s="125">
        <f>IF(Ujian!H16="","",IF(LEFT(Ujian!H16,1)=SEKOR!H$2,1,0))</f>
        <v>0</v>
      </c>
      <c r="I9" s="125" t="str">
        <f>IF(Ujian!I16="","",IF(LEFT(Ujian!I16,1)=SEKOR!I$2,1,0))</f>
        <v/>
      </c>
      <c r="J9" s="125">
        <f>IF(Ujian!J16="","",IF(LEFT(Ujian!J16,1)=SEKOR!J$2,1,0))</f>
        <v>1</v>
      </c>
      <c r="K9" s="125">
        <f>IF(Ujian!K16="","",IF(LEFT(Ujian!K16,1)=SEKOR!K$2,1,0))</f>
        <v>1</v>
      </c>
      <c r="L9" s="125">
        <f>IF(Ujian!L16="","",IF(LEFT(Ujian!L16,1)=SEKOR!L$2,1,0))</f>
        <v>1</v>
      </c>
      <c r="M9" s="125">
        <f>IF(Ujian!M16="","",IF(LEFT(Ujian!M16,1)=SEKOR!M$2,1,0))</f>
        <v>1</v>
      </c>
      <c r="N9" s="125">
        <f>IF(Ujian!N16="","",IF(LEFT(Ujian!N16,1)=SEKOR!N$2,1,0))</f>
        <v>0</v>
      </c>
      <c r="O9" s="125">
        <f>IF(Ujian!O16="","",IF(LEFT(Ujian!O16,1)=SEKOR!O$2,1,0))</f>
        <v>1</v>
      </c>
      <c r="P9" s="125">
        <f>IF(Ujian!P16="","",IF(LEFT(Ujian!P16,1)=SEKOR!P$2,1,0))</f>
        <v>0</v>
      </c>
      <c r="Q9" s="125">
        <f>IF(Ujian!Q16="","",IF(LEFT(Ujian!Q16,1)=SEKOR!Q$2,1,0))</f>
        <v>1</v>
      </c>
      <c r="R9" s="125">
        <f>IF(Ujian!R16="","",IF(LEFT(Ujian!R16,1)=SEKOR!R$2,1,0))</f>
        <v>0</v>
      </c>
      <c r="S9" s="125" t="str">
        <f>IF(Ujian!S16="","",IF(LEFT(Ujian!S16,1)=SEKOR!S$2,1,0))</f>
        <v/>
      </c>
      <c r="T9" s="125">
        <f>IF(Ujian!T16="","",IF(LEFT(Ujian!T16,1)=SEKOR!T$2,1,0))</f>
        <v>1</v>
      </c>
      <c r="U9" s="125">
        <f>IF(Ujian!U16="","",IF(LEFT(Ujian!U16,1)=SEKOR!U$2,1,0))</f>
        <v>0</v>
      </c>
      <c r="V9" s="125">
        <f>IF(Ujian!V16="","",IF(LEFT(Ujian!V16,1)=SEKOR!V$2,1,0))</f>
        <v>0</v>
      </c>
      <c r="W9" s="125">
        <f>IF(Ujian!W16="","",IF(LEFT(Ujian!W16,1)=SEKOR!W$2,1,0))</f>
        <v>1</v>
      </c>
      <c r="X9" s="125">
        <f>IF(Ujian!X16="","",IF(LEFT(Ujian!X16,1)=SEKOR!X$2,1,0))</f>
        <v>0</v>
      </c>
      <c r="Y9" s="125">
        <f>IF(Ujian!Y16="","",IF(LEFT(Ujian!Y16,1)=SEKOR!Y$2,1,0))</f>
        <v>1</v>
      </c>
      <c r="Z9" s="125" t="str">
        <f>IF(Ujian!Z16="","",IF(LEFT(Ujian!Z16,1)=SEKOR!Z$2,1,0))</f>
        <v/>
      </c>
      <c r="AA9" s="125">
        <f>IF(Ujian!AA16="","",IF(LEFT(Ujian!AA16,1)=SEKOR!AA$2,1,0))</f>
        <v>1</v>
      </c>
      <c r="AB9" s="125">
        <f>IF(Ujian!AB16="","",IF(LEFT(Ujian!AB16,1)=SEKOR!AB$2,1,0))</f>
        <v>1</v>
      </c>
      <c r="AC9" s="125">
        <f>IF(Ujian!AC16="","",IF(LEFT(Ujian!AC16,1)=SEKOR!AC$2,1,0))</f>
        <v>1</v>
      </c>
      <c r="AD9" s="125">
        <f>IF(Ujian!AD16="","",IF(LEFT(Ujian!AD16,1)=SEKOR!AD$2,1,0))</f>
        <v>1</v>
      </c>
      <c r="AE9" s="125">
        <f>IF(Ujian!AE16="","",IF(LEFT(Ujian!AE16,1)=SEKOR!AE$2,1,0))</f>
        <v>0</v>
      </c>
      <c r="AF9" s="125">
        <f>IF(Ujian!AF16="","",IF(LEFT(Ujian!AF16,1)=SEKOR!AF$2,1,0))</f>
        <v>0</v>
      </c>
      <c r="AG9" s="125">
        <f>IF(Ujian!AG16="","",IF(LEFT(Ujian!AG16,1)=SEKOR!AG$2,1,0))</f>
        <v>1</v>
      </c>
      <c r="AH9" s="125">
        <f>IF(Ujian!AH16="","",IF(LEFT(Ujian!AH16,1)=SEKOR!AH$2,1,0))</f>
        <v>1</v>
      </c>
      <c r="AI9" s="125">
        <f>IF(Ujian!AI16="","",IF(LEFT(Ujian!AI16,1)=SEKOR!AI$2,1,0))</f>
        <v>1</v>
      </c>
      <c r="AJ9" s="125">
        <f>IF(Ujian!AJ16="","",IF(LEFT(Ujian!AJ16,1)=SEKOR!AJ$2,1,0))</f>
        <v>1</v>
      </c>
      <c r="AK9" s="125">
        <f>IF(Ujian!AK16="","",IF(LEFT(Ujian!AK16,1)=SEKOR!AK$2,1,0))</f>
        <v>0</v>
      </c>
      <c r="AL9" s="125" t="str">
        <f>IF(Ujian!AL16="","",IF(LEFT(Ujian!AL16,1)=SEKOR!AL$2,1,0))</f>
        <v/>
      </c>
      <c r="AM9" s="125">
        <f>IF(Ujian!AM16="","",IF(LEFT(Ujian!AM16,1)=SEKOR!AM$2,1,0))</f>
        <v>0</v>
      </c>
      <c r="AN9" s="125">
        <f>IF(Ujian!AN16="","",IF(LEFT(Ujian!AN16,1)=SEKOR!AN$2,1,0))</f>
        <v>1</v>
      </c>
      <c r="AO9" s="125">
        <f>IF(Ujian!AO16="","",IF(LEFT(Ujian!AO16,1)=SEKOR!AO$2,1,0))</f>
        <v>0</v>
      </c>
      <c r="AP9" s="125">
        <f>IF(Ujian!AP16="","",IF(LEFT(Ujian!AP16,1)=SEKOR!AP$2,1,0))</f>
        <v>1</v>
      </c>
      <c r="AQ9" s="125" t="str">
        <f>IF(Ujian!AQ16="","",IF(LEFT(Ujian!AQ16,1)=SEKOR!AQ$2,1,0))</f>
        <v/>
      </c>
      <c r="AR9" s="125">
        <f>IF(Ujian!AR16="","",IF(LEFT(Ujian!AR16,1)=SEKOR!AR$2,1,0))</f>
        <v>1</v>
      </c>
      <c r="AS9" s="125">
        <f>IF(Ujian!AS16="","",IF(LEFT(Ujian!AS16,1)=SEKOR!AS$2,1,0))</f>
        <v>1</v>
      </c>
      <c r="AT9" s="125">
        <f>IF(Ujian!AT16="","",IF(LEFT(Ujian!AT16,1)=SEKOR!AT$2,1,0))</f>
        <v>0</v>
      </c>
      <c r="AU9" s="125">
        <f>IF(Ujian!AU16="","",IF(LEFT(Ujian!AU16,1)=SEKOR!AU$2,1,0))</f>
        <v>1</v>
      </c>
      <c r="AV9" s="125">
        <f>IF(Ujian!AV16="","",IF(LEFT(Ujian!AV16,1)=SEKOR!AV$2,1,0))</f>
        <v>1</v>
      </c>
      <c r="AW9" s="125" t="str">
        <f>IF(Ujian!AW16="","",IF(LEFT(Ujian!AW16,1)=SEKOR!AW$2,1,0))</f>
        <v/>
      </c>
      <c r="AX9" s="125" t="str">
        <f>IF(Ujian!AX16="","",IF(LEFT(Ujian!AX16,1)=SEKOR!AX$2,1,0))</f>
        <v/>
      </c>
      <c r="AY9" s="125" t="str">
        <f>IF(Ujian!AY16="","",IF(LEFT(Ujian!AY16,1)=SEKOR!AY$2,1,0))</f>
        <v/>
      </c>
      <c r="AZ9" s="125" t="str">
        <f>IF(Ujian!AZ16="","",IF(LEFT(Ujian!AZ16,1)=SEKOR!AZ$2,1,0))</f>
        <v/>
      </c>
      <c r="BA9" s="125" t="str">
        <f>IF(Ujian!BA16="","",IF(LEFT(Ujian!BA16,1)=SEKOR!BA$2,1,0))</f>
        <v/>
      </c>
      <c r="BB9" s="125" t="str">
        <f>IF(Ujian!BB16="","",IF(LEFT(Ujian!BB16,1)=SEKOR!BB$2,1,0))</f>
        <v/>
      </c>
      <c r="BC9" s="125" t="str">
        <f>IF(Ujian!BC16="","",IF(LEFT(Ujian!BC16,1)=SEKOR!BC$2,1,0))</f>
        <v/>
      </c>
      <c r="BD9" s="125" t="str">
        <f>IF(Ujian!BD16="","",IF(LEFT(Ujian!BD16,1)=SEKOR!BD$2,1,0))</f>
        <v/>
      </c>
      <c r="BE9" s="125" t="str">
        <f>IF(Ujian!BE16="","",IF(LEFT(Ujian!BE16,1)=SEKOR!BE$2,1,0))</f>
        <v/>
      </c>
      <c r="BF9" s="125" t="str">
        <f>IF(Ujian!BF16="","",IF(LEFT(Ujian!BF16,1)=SEKOR!BF$2,1,0))</f>
        <v/>
      </c>
      <c r="BG9" s="125" t="str">
        <f>IF(Ujian!BG16="","",IF(LEFT(Ujian!BG16,1)=SEKOR!BG$2,1,0))</f>
        <v/>
      </c>
      <c r="BH9" s="125" t="str">
        <f>IF(Ujian!BH16="","",IF(LEFT(Ujian!BH16,1)=SEKOR!BH$2,1,0))</f>
        <v/>
      </c>
      <c r="BI9" s="125" t="str">
        <f>IF(Ujian!BI16="","",IF(LEFT(Ujian!BI16,1)=SEKOR!BI$2,1,0))</f>
        <v/>
      </c>
      <c r="BJ9" s="125" t="str">
        <f>IF(Ujian!BJ16="","",IF(LEFT(Ujian!BJ16,1)=SEKOR!BJ$2,1,0))</f>
        <v/>
      </c>
      <c r="BK9" s="125" t="str">
        <f>IF(Ujian!BK16="","",IF(LEFT(Ujian!BK16,1)=SEKOR!BK$2,1,0))</f>
        <v/>
      </c>
      <c r="BL9" s="18">
        <f t="shared" si="0"/>
        <v>39</v>
      </c>
      <c r="BM9" s="18">
        <f>COUNTIF($D9:$BK9,"")+DATA!$F$14-DATA!$F$12</f>
        <v>21</v>
      </c>
      <c r="BN9" s="17">
        <f>IF(COUNTIF($D9:$BK9,1)&gt;DATA!$F$14,DATA!$F$14,COUNTIF($D9:$BK9,1))</f>
        <v>25</v>
      </c>
      <c r="BO9" s="17">
        <f>IF((BN9+COUNTIF($D9:$BK9,0))&lt;=DATA!$F$14,COUNTIF($D9:$BK9,0),DATA!$F$14-SEKOR!BN9)</f>
        <v>14</v>
      </c>
      <c r="BP9" s="4">
        <f>IF(BL9=0,"",BN9/DATA!$F$14*100)</f>
        <v>62.5</v>
      </c>
      <c r="BQ9" s="121">
        <f t="shared" si="1"/>
        <v>80.645161290322577</v>
      </c>
      <c r="BR9" s="2">
        <f>IF(Praktik!$E9=0,"",Praktik!$E9)</f>
        <v>90</v>
      </c>
      <c r="BS9" s="2">
        <f>IF(BR9="","",(BP9*DATAINFO!$O$4)+(SEKOR!BR9*DATAINFO!$O$5)/(DATAINFO!$O$4+DATAINFO!$O$5))</f>
        <v>92.5</v>
      </c>
      <c r="BT9" s="2">
        <f>IF(BL9=0,"",IF(DATA!$F$18="TIDAK",ROUNDUP((IF!$L$8*SEKOR!$BP9)+IF!$L$9,0),IF($BR9="","",ROUNDUP((IF!$L$20*$BS9)+IF!$L$21,0))))</f>
        <v>80</v>
      </c>
      <c r="BU9" s="47">
        <f>IF(BP9="","",IF(SEKOR!BP9&gt;=DATA!$J$12,1,0))</f>
        <v>0</v>
      </c>
      <c r="BV9" s="47">
        <f>IF(BQ9="","",IF(SEKOR!BQ9&gt;=DATA!$J$12,1,0))</f>
        <v>1</v>
      </c>
      <c r="BW9" s="47">
        <f>IF(BR9="","",IF(SEKOR!BR9&gt;=DATA!$J$12,1,0))</f>
        <v>1</v>
      </c>
      <c r="BX9" s="47">
        <f>IF(BT9="","",IF(DATA!$J$14="",IF(SEKOR!BT9&gt;=DATA!$J$12,1,0),IF(SEKOR!BT9&gt;=DATA!$J$14,1,0)))</f>
        <v>1</v>
      </c>
    </row>
    <row r="10" spans="1:81" x14ac:dyDescent="0.25">
      <c r="A10" s="20" t="s">
        <v>37</v>
      </c>
      <c r="B10" s="21" t="str">
        <f>IF(Ujian!B17="","",Ujian!B17)</f>
        <v>  234623</v>
      </c>
      <c r="C10" s="57" t="str">
        <f>IF(Ujian!C17="","",Ujian!C17)</f>
        <v>  Juwairiah</v>
      </c>
      <c r="D10" s="125">
        <f>IF(Ujian!D17="","",IF(LEFT(Ujian!D17,1)=SEKOR!D$2,1,0))</f>
        <v>1</v>
      </c>
      <c r="E10" s="125">
        <f>IF(Ujian!E17="","",IF(LEFT(Ujian!E17,1)=SEKOR!E$2,1,0))</f>
        <v>1</v>
      </c>
      <c r="F10" s="125">
        <f>IF(Ujian!F17="","",IF(LEFT(Ujian!F17,1)=SEKOR!F$2,1,0))</f>
        <v>1</v>
      </c>
      <c r="G10" s="125">
        <f>IF(Ujian!G17="","",IF(LEFT(Ujian!G17,1)=SEKOR!G$2,1,0))</f>
        <v>0</v>
      </c>
      <c r="H10" s="125">
        <f>IF(Ujian!H17="","",IF(LEFT(Ujian!H17,1)=SEKOR!H$2,1,0))</f>
        <v>0</v>
      </c>
      <c r="I10" s="125">
        <f>IF(Ujian!I17="","",IF(LEFT(Ujian!I17,1)=SEKOR!I$2,1,0))</f>
        <v>0</v>
      </c>
      <c r="J10" s="125">
        <f>IF(Ujian!J17="","",IF(LEFT(Ujian!J17,1)=SEKOR!J$2,1,0))</f>
        <v>0</v>
      </c>
      <c r="K10" s="125" t="str">
        <f>IF(Ujian!K17="","",IF(LEFT(Ujian!K17,1)=SEKOR!K$2,1,0))</f>
        <v/>
      </c>
      <c r="L10" s="125">
        <f>IF(Ujian!L17="","",IF(LEFT(Ujian!L17,1)=SEKOR!L$2,1,0))</f>
        <v>0</v>
      </c>
      <c r="M10" s="125">
        <f>IF(Ujian!M17="","",IF(LEFT(Ujian!M17,1)=SEKOR!M$2,1,0))</f>
        <v>0</v>
      </c>
      <c r="N10" s="125">
        <f>IF(Ujian!N17="","",IF(LEFT(Ujian!N17,1)=SEKOR!N$2,1,0))</f>
        <v>1</v>
      </c>
      <c r="O10" s="125">
        <f>IF(Ujian!O17="","",IF(LEFT(Ujian!O17,1)=SEKOR!O$2,1,0))</f>
        <v>1</v>
      </c>
      <c r="P10" s="125">
        <f>IF(Ujian!P17="","",IF(LEFT(Ujian!P17,1)=SEKOR!P$2,1,0))</f>
        <v>0</v>
      </c>
      <c r="Q10" s="125">
        <f>IF(Ujian!Q17="","",IF(LEFT(Ujian!Q17,1)=SEKOR!Q$2,1,0))</f>
        <v>1</v>
      </c>
      <c r="R10" s="125">
        <f>IF(Ujian!R17="","",IF(LEFT(Ujian!R17,1)=SEKOR!R$2,1,0))</f>
        <v>0</v>
      </c>
      <c r="S10" s="125">
        <f>IF(Ujian!S17="","",IF(LEFT(Ujian!S17,1)=SEKOR!S$2,1,0))</f>
        <v>1</v>
      </c>
      <c r="T10" s="125">
        <f>IF(Ujian!T17="","",IF(LEFT(Ujian!T17,1)=SEKOR!T$2,1,0))</f>
        <v>1</v>
      </c>
      <c r="U10" s="125">
        <f>IF(Ujian!U17="","",IF(LEFT(Ujian!U17,1)=SEKOR!U$2,1,0))</f>
        <v>0</v>
      </c>
      <c r="V10" s="125">
        <f>IF(Ujian!V17="","",IF(LEFT(Ujian!V17,1)=SEKOR!V$2,1,0))</f>
        <v>1</v>
      </c>
      <c r="W10" s="125">
        <f>IF(Ujian!W17="","",IF(LEFT(Ujian!W17,1)=SEKOR!W$2,1,0))</f>
        <v>0</v>
      </c>
      <c r="X10" s="125">
        <f>IF(Ujian!X17="","",IF(LEFT(Ujian!X17,1)=SEKOR!X$2,1,0))</f>
        <v>0</v>
      </c>
      <c r="Y10" s="125">
        <f>IF(Ujian!Y17="","",IF(LEFT(Ujian!Y17,1)=SEKOR!Y$2,1,0))</f>
        <v>0</v>
      </c>
      <c r="Z10" s="125">
        <f>IF(Ujian!Z17="","",IF(LEFT(Ujian!Z17,1)=SEKOR!Z$2,1,0))</f>
        <v>0</v>
      </c>
      <c r="AA10" s="125" t="str">
        <f>IF(Ujian!AA17="","",IF(LEFT(Ujian!AA17,1)=SEKOR!AA$2,1,0))</f>
        <v/>
      </c>
      <c r="AB10" s="125" t="str">
        <f>IF(Ujian!AB17="","",IF(LEFT(Ujian!AB17,1)=SEKOR!AB$2,1,0))</f>
        <v/>
      </c>
      <c r="AC10" s="125">
        <f>IF(Ujian!AC17="","",IF(LEFT(Ujian!AC17,1)=SEKOR!AC$2,1,0))</f>
        <v>1</v>
      </c>
      <c r="AD10" s="125">
        <f>IF(Ujian!AD17="","",IF(LEFT(Ujian!AD17,1)=SEKOR!AD$2,1,0))</f>
        <v>0</v>
      </c>
      <c r="AE10" s="125">
        <f>IF(Ujian!AE17="","",IF(LEFT(Ujian!AE17,1)=SEKOR!AE$2,1,0))</f>
        <v>0</v>
      </c>
      <c r="AF10" s="125">
        <f>IF(Ujian!AF17="","",IF(LEFT(Ujian!AF17,1)=SEKOR!AF$2,1,0))</f>
        <v>0</v>
      </c>
      <c r="AG10" s="125" t="str">
        <f>IF(Ujian!AG17="","",IF(LEFT(Ujian!AG17,1)=SEKOR!AG$2,1,0))</f>
        <v/>
      </c>
      <c r="AH10" s="125">
        <f>IF(Ujian!AH17="","",IF(LEFT(Ujian!AH17,1)=SEKOR!AH$2,1,0))</f>
        <v>0</v>
      </c>
      <c r="AI10" s="125">
        <f>IF(Ujian!AI17="","",IF(LEFT(Ujian!AI17,1)=SEKOR!AI$2,1,0))</f>
        <v>0</v>
      </c>
      <c r="AJ10" s="125">
        <f>IF(Ujian!AJ17="","",IF(LEFT(Ujian!AJ17,1)=SEKOR!AJ$2,1,0))</f>
        <v>0</v>
      </c>
      <c r="AK10" s="125">
        <f>IF(Ujian!AK17="","",IF(LEFT(Ujian!AK17,1)=SEKOR!AK$2,1,0))</f>
        <v>1</v>
      </c>
      <c r="AL10" s="125" t="str">
        <f>IF(Ujian!AL17="","",IF(LEFT(Ujian!AL17,1)=SEKOR!AL$2,1,0))</f>
        <v/>
      </c>
      <c r="AM10" s="125">
        <f>IF(Ujian!AM17="","",IF(LEFT(Ujian!AM17,1)=SEKOR!AM$2,1,0))</f>
        <v>0</v>
      </c>
      <c r="AN10" s="125">
        <f>IF(Ujian!AN17="","",IF(LEFT(Ujian!AN17,1)=SEKOR!AN$2,1,0))</f>
        <v>1</v>
      </c>
      <c r="AO10" s="125">
        <f>IF(Ujian!AO17="","",IF(LEFT(Ujian!AO17,1)=SEKOR!AO$2,1,0))</f>
        <v>0</v>
      </c>
      <c r="AP10" s="125">
        <f>IF(Ujian!AP17="","",IF(LEFT(Ujian!AP17,1)=SEKOR!AP$2,1,0))</f>
        <v>0</v>
      </c>
      <c r="AQ10" s="125">
        <f>IF(Ujian!AQ17="","",IF(LEFT(Ujian!AQ17,1)=SEKOR!AQ$2,1,0))</f>
        <v>1</v>
      </c>
      <c r="AR10" s="125">
        <f>IF(Ujian!AR17="","",IF(LEFT(Ujian!AR17,1)=SEKOR!AR$2,1,0))</f>
        <v>1</v>
      </c>
      <c r="AS10" s="125">
        <f>IF(Ujian!AS17="","",IF(LEFT(Ujian!AS17,1)=SEKOR!AS$2,1,0))</f>
        <v>1</v>
      </c>
      <c r="AT10" s="125">
        <f>IF(Ujian!AT17="","",IF(LEFT(Ujian!AT17,1)=SEKOR!AT$2,1,0))</f>
        <v>0</v>
      </c>
      <c r="AU10" s="125">
        <f>IF(Ujian!AU17="","",IF(LEFT(Ujian!AU17,1)=SEKOR!AU$2,1,0))</f>
        <v>0</v>
      </c>
      <c r="AV10" s="125">
        <f>IF(Ujian!AV17="","",IF(LEFT(Ujian!AV17,1)=SEKOR!AV$2,1,0))</f>
        <v>0</v>
      </c>
      <c r="AW10" s="125" t="str">
        <f>IF(Ujian!AW17="","",IF(LEFT(Ujian!AW17,1)=SEKOR!AW$2,1,0))</f>
        <v/>
      </c>
      <c r="AX10" s="125" t="str">
        <f>IF(Ujian!AX17="","",IF(LEFT(Ujian!AX17,1)=SEKOR!AX$2,1,0))</f>
        <v/>
      </c>
      <c r="AY10" s="125" t="str">
        <f>IF(Ujian!AY17="","",IF(LEFT(Ujian!AY17,1)=SEKOR!AY$2,1,0))</f>
        <v/>
      </c>
      <c r="AZ10" s="125" t="str">
        <f>IF(Ujian!AZ17="","",IF(LEFT(Ujian!AZ17,1)=SEKOR!AZ$2,1,0))</f>
        <v/>
      </c>
      <c r="BA10" s="125" t="str">
        <f>IF(Ujian!BA17="","",IF(LEFT(Ujian!BA17,1)=SEKOR!BA$2,1,0))</f>
        <v/>
      </c>
      <c r="BB10" s="125" t="str">
        <f>IF(Ujian!BB17="","",IF(LEFT(Ujian!BB17,1)=SEKOR!BB$2,1,0))</f>
        <v/>
      </c>
      <c r="BC10" s="125" t="str">
        <f>IF(Ujian!BC17="","",IF(LEFT(Ujian!BC17,1)=SEKOR!BC$2,1,0))</f>
        <v/>
      </c>
      <c r="BD10" s="125" t="str">
        <f>IF(Ujian!BD17="","",IF(LEFT(Ujian!BD17,1)=SEKOR!BD$2,1,0))</f>
        <v/>
      </c>
      <c r="BE10" s="125" t="str">
        <f>IF(Ujian!BE17="","",IF(LEFT(Ujian!BE17,1)=SEKOR!BE$2,1,0))</f>
        <v/>
      </c>
      <c r="BF10" s="125" t="str">
        <f>IF(Ujian!BF17="","",IF(LEFT(Ujian!BF17,1)=SEKOR!BF$2,1,0))</f>
        <v/>
      </c>
      <c r="BG10" s="125" t="str">
        <f>IF(Ujian!BG17="","",IF(LEFT(Ujian!BG17,1)=SEKOR!BG$2,1,0))</f>
        <v/>
      </c>
      <c r="BH10" s="125" t="str">
        <f>IF(Ujian!BH17="","",IF(LEFT(Ujian!BH17,1)=SEKOR!BH$2,1,0))</f>
        <v/>
      </c>
      <c r="BI10" s="125" t="str">
        <f>IF(Ujian!BI17="","",IF(LEFT(Ujian!BI17,1)=SEKOR!BI$2,1,0))</f>
        <v/>
      </c>
      <c r="BJ10" s="125" t="str">
        <f>IF(Ujian!BJ17="","",IF(LEFT(Ujian!BJ17,1)=SEKOR!BJ$2,1,0))</f>
        <v/>
      </c>
      <c r="BK10" s="125" t="str">
        <f>IF(Ujian!BK17="","",IF(LEFT(Ujian!BK17,1)=SEKOR!BK$2,1,0))</f>
        <v/>
      </c>
      <c r="BL10" s="18">
        <f t="shared" si="0"/>
        <v>40</v>
      </c>
      <c r="BM10" s="18">
        <f>COUNTIF($D10:$BK10,"")+DATA!$F$14-DATA!$F$12</f>
        <v>20</v>
      </c>
      <c r="BN10" s="17">
        <f>IF(COUNTIF($D10:$BK10,1)&gt;DATA!$F$14,DATA!$F$14,COUNTIF($D10:$BK10,1))</f>
        <v>15</v>
      </c>
      <c r="BO10" s="17">
        <f>IF((BN10+COUNTIF($D10:$BK10,0))&lt;=DATA!$F$14,COUNTIF($D10:$BK10,0),DATA!$F$14-SEKOR!BN10)</f>
        <v>25</v>
      </c>
      <c r="BP10" s="4">
        <f>IF(BL10=0,"",BN10/DATA!$F$14*100)</f>
        <v>37.5</v>
      </c>
      <c r="BQ10" s="121">
        <f t="shared" si="1"/>
        <v>48.387096774193552</v>
      </c>
      <c r="BR10" s="2">
        <f>IF(Praktik!$E10=0,"",Praktik!$E10)</f>
        <v>90</v>
      </c>
      <c r="BS10" s="2">
        <f>IF(BR10="","",(BP10*DATAINFO!$O$4)+(SEKOR!BR10*DATAINFO!$O$5)/(DATAINFO!$O$4+DATAINFO!$O$5))</f>
        <v>67.5</v>
      </c>
      <c r="BT10" s="2">
        <f>IF(BL10=0,"",IF(DATA!$F$18="TIDAK",ROUNDUP((IF!$L$8*SEKOR!$BP10)+IF!$L$9,0),IF($BR10="","",ROUNDUP((IF!$L$20*$BS10)+IF!$L$21,0))))</f>
        <v>64</v>
      </c>
      <c r="BU10" s="47">
        <f>IF(BP10="","",IF(SEKOR!BP10&gt;=DATA!$J$12,1,0))</f>
        <v>0</v>
      </c>
      <c r="BV10" s="47">
        <f>IF(BQ10="","",IF(SEKOR!BQ10&gt;=DATA!$J$12,1,0))</f>
        <v>0</v>
      </c>
      <c r="BW10" s="47">
        <f>IF(BR10="","",IF(SEKOR!BR10&gt;=DATA!$J$12,1,0))</f>
        <v>1</v>
      </c>
      <c r="BX10" s="47">
        <f>IF(BT10="","",IF(DATA!$J$14="",IF(SEKOR!BT10&gt;=DATA!$J$12,1,0),IF(SEKOR!BT10&gt;=DATA!$J$14,1,0)))</f>
        <v>1</v>
      </c>
    </row>
    <row r="11" spans="1:81" x14ac:dyDescent="0.25">
      <c r="A11" s="20" t="s">
        <v>38</v>
      </c>
      <c r="B11" s="21" t="str">
        <f>IF(Ujian!B18="","",Ujian!B18)</f>
        <v>  234633</v>
      </c>
      <c r="C11" s="57" t="str">
        <f>IF(Ujian!C18="","",Ujian!C18)</f>
        <v>  M. Rafiqi</v>
      </c>
      <c r="D11" s="125">
        <f>IF(Ujian!D18="","",IF(LEFT(Ujian!D18,1)=SEKOR!D$2,1,0))</f>
        <v>1</v>
      </c>
      <c r="E11" s="125">
        <f>IF(Ujian!E18="","",IF(LEFT(Ujian!E18,1)=SEKOR!E$2,1,0))</f>
        <v>1</v>
      </c>
      <c r="F11" s="125">
        <f>IF(Ujian!F18="","",IF(LEFT(Ujian!F18,1)=SEKOR!F$2,1,0))</f>
        <v>0</v>
      </c>
      <c r="G11" s="125">
        <f>IF(Ujian!G18="","",IF(LEFT(Ujian!G18,1)=SEKOR!G$2,1,0))</f>
        <v>0</v>
      </c>
      <c r="H11" s="125">
        <f>IF(Ujian!H18="","",IF(LEFT(Ujian!H18,1)=SEKOR!H$2,1,0))</f>
        <v>0</v>
      </c>
      <c r="I11" s="125">
        <f>IF(Ujian!I18="","",IF(LEFT(Ujian!I18,1)=SEKOR!I$2,1,0))</f>
        <v>0</v>
      </c>
      <c r="J11" s="125">
        <f>IF(Ujian!J18="","",IF(LEFT(Ujian!J18,1)=SEKOR!J$2,1,0))</f>
        <v>0</v>
      </c>
      <c r="K11" s="125">
        <f>IF(Ujian!K18="","",IF(LEFT(Ujian!K18,1)=SEKOR!K$2,1,0))</f>
        <v>0</v>
      </c>
      <c r="L11" s="125">
        <f>IF(Ujian!L18="","",IF(LEFT(Ujian!L18,1)=SEKOR!L$2,1,0))</f>
        <v>1</v>
      </c>
      <c r="M11" s="125">
        <f>IF(Ujian!M18="","",IF(LEFT(Ujian!M18,1)=SEKOR!M$2,1,0))</f>
        <v>1</v>
      </c>
      <c r="N11" s="125">
        <f>IF(Ujian!N18="","",IF(LEFT(Ujian!N18,1)=SEKOR!N$2,1,0))</f>
        <v>1</v>
      </c>
      <c r="O11" s="125">
        <f>IF(Ujian!O18="","",IF(LEFT(Ujian!O18,1)=SEKOR!O$2,1,0))</f>
        <v>1</v>
      </c>
      <c r="P11" s="125">
        <f>IF(Ujian!P18="","",IF(LEFT(Ujian!P18,1)=SEKOR!P$2,1,0))</f>
        <v>0</v>
      </c>
      <c r="Q11" s="125" t="str">
        <f>IF(Ujian!Q18="","",IF(LEFT(Ujian!Q18,1)=SEKOR!Q$2,1,0))</f>
        <v/>
      </c>
      <c r="R11" s="125">
        <f>IF(Ujian!R18="","",IF(LEFT(Ujian!R18,1)=SEKOR!R$2,1,0))</f>
        <v>0</v>
      </c>
      <c r="S11" s="125">
        <f>IF(Ujian!S18="","",IF(LEFT(Ujian!S18,1)=SEKOR!S$2,1,0))</f>
        <v>1</v>
      </c>
      <c r="T11" s="125">
        <f>IF(Ujian!T18="","",IF(LEFT(Ujian!T18,1)=SEKOR!T$2,1,0))</f>
        <v>1</v>
      </c>
      <c r="U11" s="125">
        <f>IF(Ujian!U18="","",IF(LEFT(Ujian!U18,1)=SEKOR!U$2,1,0))</f>
        <v>1</v>
      </c>
      <c r="V11" s="125">
        <f>IF(Ujian!V18="","",IF(LEFT(Ujian!V18,1)=SEKOR!V$2,1,0))</f>
        <v>1</v>
      </c>
      <c r="W11" s="125">
        <f>IF(Ujian!W18="","",IF(LEFT(Ujian!W18,1)=SEKOR!W$2,1,0))</f>
        <v>1</v>
      </c>
      <c r="X11" s="125">
        <f>IF(Ujian!X18="","",IF(LEFT(Ujian!X18,1)=SEKOR!X$2,1,0))</f>
        <v>0</v>
      </c>
      <c r="Y11" s="125">
        <f>IF(Ujian!Y18="","",IF(LEFT(Ujian!Y18,1)=SEKOR!Y$2,1,0))</f>
        <v>1</v>
      </c>
      <c r="Z11" s="125">
        <f>IF(Ujian!Z18="","",IF(LEFT(Ujian!Z18,1)=SEKOR!Z$2,1,0))</f>
        <v>1</v>
      </c>
      <c r="AA11" s="125">
        <f>IF(Ujian!AA18="","",IF(LEFT(Ujian!AA18,1)=SEKOR!AA$2,1,0))</f>
        <v>0</v>
      </c>
      <c r="AB11" s="125">
        <f>IF(Ujian!AB18="","",IF(LEFT(Ujian!AB18,1)=SEKOR!AB$2,1,0))</f>
        <v>0</v>
      </c>
      <c r="AC11" s="125">
        <f>IF(Ujian!AC18="","",IF(LEFT(Ujian!AC18,1)=SEKOR!AC$2,1,0))</f>
        <v>0</v>
      </c>
      <c r="AD11" s="125">
        <f>IF(Ujian!AD18="","",IF(LEFT(Ujian!AD18,1)=SEKOR!AD$2,1,0))</f>
        <v>0</v>
      </c>
      <c r="AE11" s="125">
        <f>IF(Ujian!AE18="","",IF(LEFT(Ujian!AE18,1)=SEKOR!AE$2,1,0))</f>
        <v>1</v>
      </c>
      <c r="AF11" s="125" t="str">
        <f>IF(Ujian!AF18="","",IF(LEFT(Ujian!AF18,1)=SEKOR!AF$2,1,0))</f>
        <v/>
      </c>
      <c r="AG11" s="125">
        <f>IF(Ujian!AG18="","",IF(LEFT(Ujian!AG18,1)=SEKOR!AG$2,1,0))</f>
        <v>1</v>
      </c>
      <c r="AH11" s="125" t="str">
        <f>IF(Ujian!AH18="","",IF(LEFT(Ujian!AH18,1)=SEKOR!AH$2,1,0))</f>
        <v/>
      </c>
      <c r="AI11" s="125" t="str">
        <f>IF(Ujian!AI18="","",IF(LEFT(Ujian!AI18,1)=SEKOR!AI$2,1,0))</f>
        <v/>
      </c>
      <c r="AJ11" s="125">
        <f>IF(Ujian!AJ18="","",IF(LEFT(Ujian!AJ18,1)=SEKOR!AJ$2,1,0))</f>
        <v>0</v>
      </c>
      <c r="AK11" s="125">
        <f>IF(Ujian!AK18="","",IF(LEFT(Ujian!AK18,1)=SEKOR!AK$2,1,0))</f>
        <v>0</v>
      </c>
      <c r="AL11" s="125">
        <f>IF(Ujian!AL18="","",IF(LEFT(Ujian!AL18,1)=SEKOR!AL$2,1,0))</f>
        <v>1</v>
      </c>
      <c r="AM11" s="125">
        <f>IF(Ujian!AM18="","",IF(LEFT(Ujian!AM18,1)=SEKOR!AM$2,1,0))</f>
        <v>0</v>
      </c>
      <c r="AN11" s="125">
        <f>IF(Ujian!AN18="","",IF(LEFT(Ujian!AN18,1)=SEKOR!AN$2,1,0))</f>
        <v>1</v>
      </c>
      <c r="AO11" s="125">
        <f>IF(Ujian!AO18="","",IF(LEFT(Ujian!AO18,1)=SEKOR!AO$2,1,0))</f>
        <v>1</v>
      </c>
      <c r="AP11" s="125">
        <f>IF(Ujian!AP18="","",IF(LEFT(Ujian!AP18,1)=SEKOR!AP$2,1,0))</f>
        <v>0</v>
      </c>
      <c r="AQ11" s="125">
        <f>IF(Ujian!AQ18="","",IF(LEFT(Ujian!AQ18,1)=SEKOR!AQ$2,1,0))</f>
        <v>0</v>
      </c>
      <c r="AR11" s="125">
        <f>IF(Ujian!AR18="","",IF(LEFT(Ujian!AR18,1)=SEKOR!AR$2,1,0))</f>
        <v>1</v>
      </c>
      <c r="AS11" s="125">
        <f>IF(Ujian!AS18="","",IF(LEFT(Ujian!AS18,1)=SEKOR!AS$2,1,0))</f>
        <v>1</v>
      </c>
      <c r="AT11" s="125" t="str">
        <f>IF(Ujian!AT18="","",IF(LEFT(Ujian!AT18,1)=SEKOR!AT$2,1,0))</f>
        <v/>
      </c>
      <c r="AU11" s="125">
        <f>IF(Ujian!AU18="","",IF(LEFT(Ujian!AU18,1)=SEKOR!AU$2,1,0))</f>
        <v>0</v>
      </c>
      <c r="AV11" s="125">
        <f>IF(Ujian!AV18="","",IF(LEFT(Ujian!AV18,1)=SEKOR!AV$2,1,0))</f>
        <v>1</v>
      </c>
      <c r="AW11" s="125" t="str">
        <f>IF(Ujian!AW18="","",IF(LEFT(Ujian!AW18,1)=SEKOR!AW$2,1,0))</f>
        <v/>
      </c>
      <c r="AX11" s="125" t="str">
        <f>IF(Ujian!AX18="","",IF(LEFT(Ujian!AX18,1)=SEKOR!AX$2,1,0))</f>
        <v/>
      </c>
      <c r="AY11" s="125" t="str">
        <f>IF(Ujian!AY18="","",IF(LEFT(Ujian!AY18,1)=SEKOR!AY$2,1,0))</f>
        <v/>
      </c>
      <c r="AZ11" s="125" t="str">
        <f>IF(Ujian!AZ18="","",IF(LEFT(Ujian!AZ18,1)=SEKOR!AZ$2,1,0))</f>
        <v/>
      </c>
      <c r="BA11" s="125" t="str">
        <f>IF(Ujian!BA18="","",IF(LEFT(Ujian!BA18,1)=SEKOR!BA$2,1,0))</f>
        <v/>
      </c>
      <c r="BB11" s="125" t="str">
        <f>IF(Ujian!BB18="","",IF(LEFT(Ujian!BB18,1)=SEKOR!BB$2,1,0))</f>
        <v/>
      </c>
      <c r="BC11" s="125" t="str">
        <f>IF(Ujian!BC18="","",IF(LEFT(Ujian!BC18,1)=SEKOR!BC$2,1,0))</f>
        <v/>
      </c>
      <c r="BD11" s="125" t="str">
        <f>IF(Ujian!BD18="","",IF(LEFT(Ujian!BD18,1)=SEKOR!BD$2,1,0))</f>
        <v/>
      </c>
      <c r="BE11" s="125" t="str">
        <f>IF(Ujian!BE18="","",IF(LEFT(Ujian!BE18,1)=SEKOR!BE$2,1,0))</f>
        <v/>
      </c>
      <c r="BF11" s="125" t="str">
        <f>IF(Ujian!BF18="","",IF(LEFT(Ujian!BF18,1)=SEKOR!BF$2,1,0))</f>
        <v/>
      </c>
      <c r="BG11" s="125" t="str">
        <f>IF(Ujian!BG18="","",IF(LEFT(Ujian!BG18,1)=SEKOR!BG$2,1,0))</f>
        <v/>
      </c>
      <c r="BH11" s="125" t="str">
        <f>IF(Ujian!BH18="","",IF(LEFT(Ujian!BH18,1)=SEKOR!BH$2,1,0))</f>
        <v/>
      </c>
      <c r="BI11" s="125" t="str">
        <f>IF(Ujian!BI18="","",IF(LEFT(Ujian!BI18,1)=SEKOR!BI$2,1,0))</f>
        <v/>
      </c>
      <c r="BJ11" s="125" t="str">
        <f>IF(Ujian!BJ18="","",IF(LEFT(Ujian!BJ18,1)=SEKOR!BJ$2,1,0))</f>
        <v/>
      </c>
      <c r="BK11" s="125" t="str">
        <f>IF(Ujian!BK18="","",IF(LEFT(Ujian!BK18,1)=SEKOR!BK$2,1,0))</f>
        <v/>
      </c>
      <c r="BL11" s="18">
        <f t="shared" si="0"/>
        <v>40</v>
      </c>
      <c r="BM11" s="18">
        <f>COUNTIF($D11:$BK11,"")+DATA!$F$14-DATA!$F$12</f>
        <v>20</v>
      </c>
      <c r="BN11" s="17">
        <f>IF(COUNTIF($D11:$BK11,1)&gt;DATA!$F$14,DATA!$F$14,COUNTIF($D11:$BK11,1))</f>
        <v>21</v>
      </c>
      <c r="BO11" s="17">
        <f>IF((BN11+COUNTIF($D11:$BK11,0))&lt;=DATA!$F$14,COUNTIF($D11:$BK11,0),DATA!$F$14-SEKOR!BN11)</f>
        <v>19</v>
      </c>
      <c r="BP11" s="4">
        <f>IF(BL11=0,"",BN11/DATA!$F$14*100)</f>
        <v>52.5</v>
      </c>
      <c r="BQ11" s="121">
        <f t="shared" si="1"/>
        <v>67.741935483870961</v>
      </c>
      <c r="BR11" s="2">
        <f>IF(Praktik!$E11=0,"",Praktik!$E11)</f>
        <v>90</v>
      </c>
      <c r="BS11" s="2">
        <f>IF(BR11="","",(BP11*DATAINFO!$O$4)+(SEKOR!BR11*DATAINFO!$O$5)/(DATAINFO!$O$4+DATAINFO!$O$5))</f>
        <v>82.5</v>
      </c>
      <c r="BT11" s="2">
        <f>IF(BL11=0,"",IF(DATA!$F$18="TIDAK",ROUNDUP((IF!$L$8*SEKOR!$BP11)+IF!$L$9,0),IF($BR11="","",ROUNDUP((IF!$L$20*$BS11)+IF!$L$21,0))))</f>
        <v>74</v>
      </c>
      <c r="BU11" s="47">
        <f>IF(BP11="","",IF(SEKOR!BP11&gt;=DATA!$J$12,1,0))</f>
        <v>0</v>
      </c>
      <c r="BV11" s="47">
        <f>IF(BQ11="","",IF(SEKOR!BQ11&gt;=DATA!$J$12,1,0))</f>
        <v>0</v>
      </c>
      <c r="BW11" s="47">
        <f>IF(BR11="","",IF(SEKOR!BR11&gt;=DATA!$J$12,1,0))</f>
        <v>1</v>
      </c>
      <c r="BX11" s="47">
        <f>IF(BT11="","",IF(DATA!$J$14="",IF(SEKOR!BT11&gt;=DATA!$J$12,1,0),IF(SEKOR!BT11&gt;=DATA!$J$14,1,0)))</f>
        <v>1</v>
      </c>
    </row>
    <row r="12" spans="1:81" x14ac:dyDescent="0.25">
      <c r="A12" s="20" t="s">
        <v>39</v>
      </c>
      <c r="B12" s="21" t="str">
        <f>IF(Ujian!B19="","",Ujian!B19)</f>
        <v>  234656</v>
      </c>
      <c r="C12" s="57" t="str">
        <f>IF(Ujian!C19="","",Ujian!C19)</f>
        <v>  Muhammad Hafiz Fadilah</v>
      </c>
      <c r="D12" s="125">
        <f>IF(Ujian!D19="","",IF(LEFT(Ujian!D19,1)=SEKOR!D$2,1,0))</f>
        <v>0</v>
      </c>
      <c r="E12" s="125">
        <f>IF(Ujian!E19="","",IF(LEFT(Ujian!E19,1)=SEKOR!E$2,1,0))</f>
        <v>1</v>
      </c>
      <c r="F12" s="125">
        <f>IF(Ujian!F19="","",IF(LEFT(Ujian!F19,1)=SEKOR!F$2,1,0))</f>
        <v>1</v>
      </c>
      <c r="G12" s="125">
        <f>IF(Ujian!G19="","",IF(LEFT(Ujian!G19,1)=SEKOR!G$2,1,0))</f>
        <v>1</v>
      </c>
      <c r="H12" s="125">
        <f>IF(Ujian!H19="","",IF(LEFT(Ujian!H19,1)=SEKOR!H$2,1,0))</f>
        <v>0</v>
      </c>
      <c r="I12" s="125">
        <f>IF(Ujian!I19="","",IF(LEFT(Ujian!I19,1)=SEKOR!I$2,1,0))</f>
        <v>1</v>
      </c>
      <c r="J12" s="125">
        <f>IF(Ujian!J19="","",IF(LEFT(Ujian!J19,1)=SEKOR!J$2,1,0))</f>
        <v>1</v>
      </c>
      <c r="K12" s="125">
        <f>IF(Ujian!K19="","",IF(LEFT(Ujian!K19,1)=SEKOR!K$2,1,0))</f>
        <v>1</v>
      </c>
      <c r="L12" s="125">
        <f>IF(Ujian!L19="","",IF(LEFT(Ujian!L19,1)=SEKOR!L$2,1,0))</f>
        <v>1</v>
      </c>
      <c r="M12" s="125">
        <f>IF(Ujian!M19="","",IF(LEFT(Ujian!M19,1)=SEKOR!M$2,1,0))</f>
        <v>1</v>
      </c>
      <c r="N12" s="125" t="str">
        <f>IF(Ujian!N19="","",IF(LEFT(Ujian!N19,1)=SEKOR!N$2,1,0))</f>
        <v/>
      </c>
      <c r="O12" s="125">
        <f>IF(Ujian!O19="","",IF(LEFT(Ujian!O19,1)=SEKOR!O$2,1,0))</f>
        <v>1</v>
      </c>
      <c r="P12" s="125">
        <f>IF(Ujian!P19="","",IF(LEFT(Ujian!P19,1)=SEKOR!P$2,1,0))</f>
        <v>0</v>
      </c>
      <c r="Q12" s="125" t="str">
        <f>IF(Ujian!Q19="","",IF(LEFT(Ujian!Q19,1)=SEKOR!Q$2,1,0))</f>
        <v/>
      </c>
      <c r="R12" s="125">
        <f>IF(Ujian!R19="","",IF(LEFT(Ujian!R19,1)=SEKOR!R$2,1,0))</f>
        <v>0</v>
      </c>
      <c r="S12" s="125">
        <f>IF(Ujian!S19="","",IF(LEFT(Ujian!S19,1)=SEKOR!S$2,1,0))</f>
        <v>1</v>
      </c>
      <c r="T12" s="125">
        <f>IF(Ujian!T19="","",IF(LEFT(Ujian!T19,1)=SEKOR!T$2,1,0))</f>
        <v>1</v>
      </c>
      <c r="U12" s="125" t="str">
        <f>IF(Ujian!U19="","",IF(LEFT(Ujian!U19,1)=SEKOR!U$2,1,0))</f>
        <v/>
      </c>
      <c r="V12" s="125">
        <f>IF(Ujian!V19="","",IF(LEFT(Ujian!V19,1)=SEKOR!V$2,1,0))</f>
        <v>0</v>
      </c>
      <c r="W12" s="125">
        <f>IF(Ujian!W19="","",IF(LEFT(Ujian!W19,1)=SEKOR!W$2,1,0))</f>
        <v>1</v>
      </c>
      <c r="X12" s="125">
        <f>IF(Ujian!X19="","",IF(LEFT(Ujian!X19,1)=SEKOR!X$2,1,0))</f>
        <v>0</v>
      </c>
      <c r="Y12" s="125">
        <f>IF(Ujian!Y19="","",IF(LEFT(Ujian!Y19,1)=SEKOR!Y$2,1,0))</f>
        <v>1</v>
      </c>
      <c r="Z12" s="125">
        <f>IF(Ujian!Z19="","",IF(LEFT(Ujian!Z19,1)=SEKOR!Z$2,1,0))</f>
        <v>0</v>
      </c>
      <c r="AA12" s="125">
        <f>IF(Ujian!AA19="","",IF(LEFT(Ujian!AA19,1)=SEKOR!AA$2,1,0))</f>
        <v>1</v>
      </c>
      <c r="AB12" s="125">
        <f>IF(Ujian!AB19="","",IF(LEFT(Ujian!AB19,1)=SEKOR!AB$2,1,0))</f>
        <v>1</v>
      </c>
      <c r="AC12" s="125">
        <f>IF(Ujian!AC19="","",IF(LEFT(Ujian!AC19,1)=SEKOR!AC$2,1,0))</f>
        <v>1</v>
      </c>
      <c r="AD12" s="125">
        <f>IF(Ujian!AD19="","",IF(LEFT(Ujian!AD19,1)=SEKOR!AD$2,1,0))</f>
        <v>1</v>
      </c>
      <c r="AE12" s="125" t="str">
        <f>IF(Ujian!AE19="","",IF(LEFT(Ujian!AE19,1)=SEKOR!AE$2,1,0))</f>
        <v/>
      </c>
      <c r="AF12" s="125">
        <f>IF(Ujian!AF19="","",IF(LEFT(Ujian!AF19,1)=SEKOR!AF$2,1,0))</f>
        <v>0</v>
      </c>
      <c r="AG12" s="125">
        <f>IF(Ujian!AG19="","",IF(LEFT(Ujian!AG19,1)=SEKOR!AG$2,1,0))</f>
        <v>1</v>
      </c>
      <c r="AH12" s="125">
        <f>IF(Ujian!AH19="","",IF(LEFT(Ujian!AH19,1)=SEKOR!AH$2,1,0))</f>
        <v>0</v>
      </c>
      <c r="AI12" s="125">
        <f>IF(Ujian!AI19="","",IF(LEFT(Ujian!AI19,1)=SEKOR!AI$2,1,0))</f>
        <v>1</v>
      </c>
      <c r="AJ12" s="125">
        <f>IF(Ujian!AJ19="","",IF(LEFT(Ujian!AJ19,1)=SEKOR!AJ$2,1,0))</f>
        <v>1</v>
      </c>
      <c r="AK12" s="125">
        <f>IF(Ujian!AK19="","",IF(LEFT(Ujian!AK19,1)=SEKOR!AK$2,1,0))</f>
        <v>0</v>
      </c>
      <c r="AL12" s="125">
        <f>IF(Ujian!AL19="","",IF(LEFT(Ujian!AL19,1)=SEKOR!AL$2,1,0))</f>
        <v>1</v>
      </c>
      <c r="AM12" s="125">
        <f>IF(Ujian!AM19="","",IF(LEFT(Ujian!AM19,1)=SEKOR!AM$2,1,0))</f>
        <v>0</v>
      </c>
      <c r="AN12" s="125">
        <f>IF(Ujian!AN19="","",IF(LEFT(Ujian!AN19,1)=SEKOR!AN$2,1,0))</f>
        <v>1</v>
      </c>
      <c r="AO12" s="125">
        <f>IF(Ujian!AO19="","",IF(LEFT(Ujian!AO19,1)=SEKOR!AO$2,1,0))</f>
        <v>0</v>
      </c>
      <c r="AP12" s="125">
        <f>IF(Ujian!AP19="","",IF(LEFT(Ujian!AP19,1)=SEKOR!AP$2,1,0))</f>
        <v>1</v>
      </c>
      <c r="AQ12" s="125">
        <f>IF(Ujian!AQ19="","",IF(LEFT(Ujian!AQ19,1)=SEKOR!AQ$2,1,0))</f>
        <v>1</v>
      </c>
      <c r="AR12" s="125" t="str">
        <f>IF(Ujian!AR19="","",IF(LEFT(Ujian!AR19,1)=SEKOR!AR$2,1,0))</f>
        <v/>
      </c>
      <c r="AS12" s="125">
        <f>IF(Ujian!AS19="","",IF(LEFT(Ujian!AS19,1)=SEKOR!AS$2,1,0))</f>
        <v>0</v>
      </c>
      <c r="AT12" s="125">
        <f>IF(Ujian!AT19="","",IF(LEFT(Ujian!AT19,1)=SEKOR!AT$2,1,0))</f>
        <v>0</v>
      </c>
      <c r="AU12" s="125">
        <f>IF(Ujian!AU19="","",IF(LEFT(Ujian!AU19,1)=SEKOR!AU$2,1,0))</f>
        <v>1</v>
      </c>
      <c r="AV12" s="125">
        <f>IF(Ujian!AV19="","",IF(LEFT(Ujian!AV19,1)=SEKOR!AV$2,1,0))</f>
        <v>1</v>
      </c>
      <c r="AW12" s="125" t="str">
        <f>IF(Ujian!AW19="","",IF(LEFT(Ujian!AW19,1)=SEKOR!AW$2,1,0))</f>
        <v/>
      </c>
      <c r="AX12" s="125" t="str">
        <f>IF(Ujian!AX19="","",IF(LEFT(Ujian!AX19,1)=SEKOR!AX$2,1,0))</f>
        <v/>
      </c>
      <c r="AY12" s="125" t="str">
        <f>IF(Ujian!AY19="","",IF(LEFT(Ujian!AY19,1)=SEKOR!AY$2,1,0))</f>
        <v/>
      </c>
      <c r="AZ12" s="125" t="str">
        <f>IF(Ujian!AZ19="","",IF(LEFT(Ujian!AZ19,1)=SEKOR!AZ$2,1,0))</f>
        <v/>
      </c>
      <c r="BA12" s="125" t="str">
        <f>IF(Ujian!BA19="","",IF(LEFT(Ujian!BA19,1)=SEKOR!BA$2,1,0))</f>
        <v/>
      </c>
      <c r="BB12" s="125" t="str">
        <f>IF(Ujian!BB19="","",IF(LEFT(Ujian!BB19,1)=SEKOR!BB$2,1,0))</f>
        <v/>
      </c>
      <c r="BC12" s="125" t="str">
        <f>IF(Ujian!BC19="","",IF(LEFT(Ujian!BC19,1)=SEKOR!BC$2,1,0))</f>
        <v/>
      </c>
      <c r="BD12" s="125" t="str">
        <f>IF(Ujian!BD19="","",IF(LEFT(Ujian!BD19,1)=SEKOR!BD$2,1,0))</f>
        <v/>
      </c>
      <c r="BE12" s="125" t="str">
        <f>IF(Ujian!BE19="","",IF(LEFT(Ujian!BE19,1)=SEKOR!BE$2,1,0))</f>
        <v/>
      </c>
      <c r="BF12" s="125" t="str">
        <f>IF(Ujian!BF19="","",IF(LEFT(Ujian!BF19,1)=SEKOR!BF$2,1,0))</f>
        <v/>
      </c>
      <c r="BG12" s="125" t="str">
        <f>IF(Ujian!BG19="","",IF(LEFT(Ujian!BG19,1)=SEKOR!BG$2,1,0))</f>
        <v/>
      </c>
      <c r="BH12" s="125" t="str">
        <f>IF(Ujian!BH19="","",IF(LEFT(Ujian!BH19,1)=SEKOR!BH$2,1,0))</f>
        <v/>
      </c>
      <c r="BI12" s="125" t="str">
        <f>IF(Ujian!BI19="","",IF(LEFT(Ujian!BI19,1)=SEKOR!BI$2,1,0))</f>
        <v/>
      </c>
      <c r="BJ12" s="125" t="str">
        <f>IF(Ujian!BJ19="","",IF(LEFT(Ujian!BJ19,1)=SEKOR!BJ$2,1,0))</f>
        <v/>
      </c>
      <c r="BK12" s="125" t="str">
        <f>IF(Ujian!BK19="","",IF(LEFT(Ujian!BK19,1)=SEKOR!BK$2,1,0))</f>
        <v/>
      </c>
      <c r="BL12" s="18">
        <f t="shared" si="0"/>
        <v>40</v>
      </c>
      <c r="BM12" s="18">
        <f>COUNTIF($D12:$BK12,"")+DATA!$F$14-DATA!$F$12</f>
        <v>20</v>
      </c>
      <c r="BN12" s="17">
        <f>IF(COUNTIF($D12:$BK12,1)&gt;DATA!$F$14,DATA!$F$14,COUNTIF($D12:$BK12,1))</f>
        <v>26</v>
      </c>
      <c r="BO12" s="17">
        <f>IF((BN12+COUNTIF($D12:$BK12,0))&lt;=DATA!$F$14,COUNTIF($D12:$BK12,0),DATA!$F$14-SEKOR!BN12)</f>
        <v>14</v>
      </c>
      <c r="BP12" s="4">
        <f>IF(BL12=0,"",BN12/DATA!$F$14*100)</f>
        <v>65</v>
      </c>
      <c r="BQ12" s="121">
        <f t="shared" si="1"/>
        <v>83.870967741935488</v>
      </c>
      <c r="BR12" s="2">
        <f>IF(Praktik!$E12=0,"",Praktik!$E12)</f>
        <v>90</v>
      </c>
      <c r="BS12" s="2">
        <f>IF(BR12="","",(BP12*DATAINFO!$O$4)+(SEKOR!BR12*DATAINFO!$O$5)/(DATAINFO!$O$4+DATAINFO!$O$5))</f>
        <v>95</v>
      </c>
      <c r="BT12" s="2">
        <f>IF(BL12=0,"",IF(DATA!$F$18="TIDAK",ROUNDUP((IF!$L$8*SEKOR!$BP12)+IF!$L$9,0),IF($BR12="","",ROUNDUP((IF!$L$20*$BS12)+IF!$L$21,0))))</f>
        <v>82</v>
      </c>
      <c r="BU12" s="47">
        <f>IF(BP12="","",IF(SEKOR!BP12&gt;=DATA!$J$12,1,0))</f>
        <v>0</v>
      </c>
      <c r="BV12" s="47">
        <f>IF(BQ12="","",IF(SEKOR!BQ12&gt;=DATA!$J$12,1,0))</f>
        <v>1</v>
      </c>
      <c r="BW12" s="47">
        <f>IF(BR12="","",IF(SEKOR!BR12&gt;=DATA!$J$12,1,0))</f>
        <v>1</v>
      </c>
      <c r="BX12" s="47">
        <f>IF(BT12="","",IF(DATA!$J$14="",IF(SEKOR!BT12&gt;=DATA!$J$12,1,0),IF(SEKOR!BT12&gt;=DATA!$J$14,1,0)))</f>
        <v>1</v>
      </c>
    </row>
    <row r="13" spans="1:81" x14ac:dyDescent="0.25">
      <c r="A13" s="20" t="s">
        <v>40</v>
      </c>
      <c r="B13" s="21" t="str">
        <f>IF(Ujian!B20="","",Ujian!B20)</f>
        <v>  234660</v>
      </c>
      <c r="C13" s="57" t="str">
        <f>IF(Ujian!C20="","",Ujian!C20)</f>
        <v>  Muhammad Iqbal Firdaus</v>
      </c>
      <c r="D13" s="125">
        <f>IF(Ujian!D20="","",IF(LEFT(Ujian!D20,1)=SEKOR!D$2,1,0))</f>
        <v>1</v>
      </c>
      <c r="E13" s="125">
        <f>IF(Ujian!E20="","",IF(LEFT(Ujian!E20,1)=SEKOR!E$2,1,0))</f>
        <v>1</v>
      </c>
      <c r="F13" s="125">
        <f>IF(Ujian!F20="","",IF(LEFT(Ujian!F20,1)=SEKOR!F$2,1,0))</f>
        <v>1</v>
      </c>
      <c r="G13" s="125">
        <f>IF(Ujian!G20="","",IF(LEFT(Ujian!G20,1)=SEKOR!G$2,1,0))</f>
        <v>1</v>
      </c>
      <c r="H13" s="125">
        <f>IF(Ujian!H20="","",IF(LEFT(Ujian!H20,1)=SEKOR!H$2,1,0))</f>
        <v>1</v>
      </c>
      <c r="I13" s="125">
        <f>IF(Ujian!I20="","",IF(LEFT(Ujian!I20,1)=SEKOR!I$2,1,0))</f>
        <v>1</v>
      </c>
      <c r="J13" s="125">
        <f>IF(Ujian!J20="","",IF(LEFT(Ujian!J20,1)=SEKOR!J$2,1,0))</f>
        <v>1</v>
      </c>
      <c r="K13" s="125">
        <f>IF(Ujian!K20="","",IF(LEFT(Ujian!K20,1)=SEKOR!K$2,1,0))</f>
        <v>0</v>
      </c>
      <c r="L13" s="125">
        <f>IF(Ujian!L20="","",IF(LEFT(Ujian!L20,1)=SEKOR!L$2,1,0))</f>
        <v>1</v>
      </c>
      <c r="M13" s="125">
        <f>IF(Ujian!M20="","",IF(LEFT(Ujian!M20,1)=SEKOR!M$2,1,0))</f>
        <v>1</v>
      </c>
      <c r="N13" s="125">
        <f>IF(Ujian!N20="","",IF(LEFT(Ujian!N20,1)=SEKOR!N$2,1,0))</f>
        <v>0</v>
      </c>
      <c r="O13" s="125">
        <f>IF(Ujian!O20="","",IF(LEFT(Ujian!O20,1)=SEKOR!O$2,1,0))</f>
        <v>1</v>
      </c>
      <c r="P13" s="125">
        <f>IF(Ujian!P20="","",IF(LEFT(Ujian!P20,1)=SEKOR!P$2,1,0))</f>
        <v>0</v>
      </c>
      <c r="Q13" s="125" t="str">
        <f>IF(Ujian!Q20="","",IF(LEFT(Ujian!Q20,1)=SEKOR!Q$2,1,0))</f>
        <v/>
      </c>
      <c r="R13" s="125">
        <f>IF(Ujian!R20="","",IF(LEFT(Ujian!R20,1)=SEKOR!R$2,1,0))</f>
        <v>0</v>
      </c>
      <c r="S13" s="125">
        <f>IF(Ujian!S20="","",IF(LEFT(Ujian!S20,1)=SEKOR!S$2,1,0))</f>
        <v>1</v>
      </c>
      <c r="T13" s="125">
        <f>IF(Ujian!T20="","",IF(LEFT(Ujian!T20,1)=SEKOR!T$2,1,0))</f>
        <v>1</v>
      </c>
      <c r="U13" s="125" t="str">
        <f>IF(Ujian!U20="","",IF(LEFT(Ujian!U20,1)=SEKOR!U$2,1,0))</f>
        <v/>
      </c>
      <c r="V13" s="125">
        <f>IF(Ujian!V20="","",IF(LEFT(Ujian!V20,1)=SEKOR!V$2,1,0))</f>
        <v>1</v>
      </c>
      <c r="W13" s="125">
        <f>IF(Ujian!W20="","",IF(LEFT(Ujian!W20,1)=SEKOR!W$2,1,0))</f>
        <v>1</v>
      </c>
      <c r="X13" s="125">
        <f>IF(Ujian!X20="","",IF(LEFT(Ujian!X20,1)=SEKOR!X$2,1,0))</f>
        <v>1</v>
      </c>
      <c r="Y13" s="125">
        <f>IF(Ujian!Y20="","",IF(LEFT(Ujian!Y20,1)=SEKOR!Y$2,1,0))</f>
        <v>0</v>
      </c>
      <c r="Z13" s="125">
        <f>IF(Ujian!Z20="","",IF(LEFT(Ujian!Z20,1)=SEKOR!Z$2,1,0))</f>
        <v>0</v>
      </c>
      <c r="AA13" s="125">
        <f>IF(Ujian!AA20="","",IF(LEFT(Ujian!AA20,1)=SEKOR!AA$2,1,0))</f>
        <v>1</v>
      </c>
      <c r="AB13" s="125">
        <f>IF(Ujian!AB20="","",IF(LEFT(Ujian!AB20,1)=SEKOR!AB$2,1,0))</f>
        <v>1</v>
      </c>
      <c r="AC13" s="125">
        <f>IF(Ujian!AC20="","",IF(LEFT(Ujian!AC20,1)=SEKOR!AC$2,1,0))</f>
        <v>1</v>
      </c>
      <c r="AD13" s="125" t="str">
        <f>IF(Ujian!AD20="","",IF(LEFT(Ujian!AD20,1)=SEKOR!AD$2,1,0))</f>
        <v/>
      </c>
      <c r="AE13" s="125">
        <f>IF(Ujian!AE20="","",IF(LEFT(Ujian!AE20,1)=SEKOR!AE$2,1,0))</f>
        <v>1</v>
      </c>
      <c r="AF13" s="125">
        <f>IF(Ujian!AF20="","",IF(LEFT(Ujian!AF20,1)=SEKOR!AF$2,1,0))</f>
        <v>1</v>
      </c>
      <c r="AG13" s="125">
        <f>IF(Ujian!AG20="","",IF(LEFT(Ujian!AG20,1)=SEKOR!AG$2,1,0))</f>
        <v>1</v>
      </c>
      <c r="AH13" s="125">
        <f>IF(Ujian!AH20="","",IF(LEFT(Ujian!AH20,1)=SEKOR!AH$2,1,0))</f>
        <v>0</v>
      </c>
      <c r="AI13" s="125">
        <f>IF(Ujian!AI20="","",IF(LEFT(Ujian!AI20,1)=SEKOR!AI$2,1,0))</f>
        <v>1</v>
      </c>
      <c r="AJ13" s="125">
        <f>IF(Ujian!AJ20="","",IF(LEFT(Ujian!AJ20,1)=SEKOR!AJ$2,1,0))</f>
        <v>1</v>
      </c>
      <c r="AK13" s="125">
        <f>IF(Ujian!AK20="","",IF(LEFT(Ujian!AK20,1)=SEKOR!AK$2,1,0))</f>
        <v>1</v>
      </c>
      <c r="AL13" s="125">
        <f>IF(Ujian!AL20="","",IF(LEFT(Ujian!AL20,1)=SEKOR!AL$2,1,0))</f>
        <v>1</v>
      </c>
      <c r="AM13" s="125">
        <f>IF(Ujian!AM20="","",IF(LEFT(Ujian!AM20,1)=SEKOR!AM$2,1,0))</f>
        <v>1</v>
      </c>
      <c r="AN13" s="125">
        <f>IF(Ujian!AN20="","",IF(LEFT(Ujian!AN20,1)=SEKOR!AN$2,1,0))</f>
        <v>1</v>
      </c>
      <c r="AO13" s="125">
        <f>IF(Ujian!AO20="","",IF(LEFT(Ujian!AO20,1)=SEKOR!AO$2,1,0))</f>
        <v>0</v>
      </c>
      <c r="AP13" s="125">
        <f>IF(Ujian!AP20="","",IF(LEFT(Ujian!AP20,1)=SEKOR!AP$2,1,0))</f>
        <v>0</v>
      </c>
      <c r="AQ13" s="125" t="str">
        <f>IF(Ujian!AQ20="","",IF(LEFT(Ujian!AQ20,1)=SEKOR!AQ$2,1,0))</f>
        <v/>
      </c>
      <c r="AR13" s="125">
        <f>IF(Ujian!AR20="","",IF(LEFT(Ujian!AR20,1)=SEKOR!AR$2,1,0))</f>
        <v>1</v>
      </c>
      <c r="AS13" s="125" t="str">
        <f>IF(Ujian!AS20="","",IF(LEFT(Ujian!AS20,1)=SEKOR!AS$2,1,0))</f>
        <v/>
      </c>
      <c r="AT13" s="125">
        <f>IF(Ujian!AT20="","",IF(LEFT(Ujian!AT20,1)=SEKOR!AT$2,1,0))</f>
        <v>0</v>
      </c>
      <c r="AU13" s="125">
        <f>IF(Ujian!AU20="","",IF(LEFT(Ujian!AU20,1)=SEKOR!AU$2,1,0))</f>
        <v>1</v>
      </c>
      <c r="AV13" s="125">
        <f>IF(Ujian!AV20="","",IF(LEFT(Ujian!AV20,1)=SEKOR!AV$2,1,0))</f>
        <v>1</v>
      </c>
      <c r="AW13" s="125" t="str">
        <f>IF(Ujian!AW20="","",IF(LEFT(Ujian!AW20,1)=SEKOR!AW$2,1,0))</f>
        <v/>
      </c>
      <c r="AX13" s="125" t="str">
        <f>IF(Ujian!AX20="","",IF(LEFT(Ujian!AX20,1)=SEKOR!AX$2,1,0))</f>
        <v/>
      </c>
      <c r="AY13" s="125" t="str">
        <f>IF(Ujian!AY20="","",IF(LEFT(Ujian!AY20,1)=SEKOR!AY$2,1,0))</f>
        <v/>
      </c>
      <c r="AZ13" s="125" t="str">
        <f>IF(Ujian!AZ20="","",IF(LEFT(Ujian!AZ20,1)=SEKOR!AZ$2,1,0))</f>
        <v/>
      </c>
      <c r="BA13" s="125" t="str">
        <f>IF(Ujian!BA20="","",IF(LEFT(Ujian!BA20,1)=SEKOR!BA$2,1,0))</f>
        <v/>
      </c>
      <c r="BB13" s="125" t="str">
        <f>IF(Ujian!BB20="","",IF(LEFT(Ujian!BB20,1)=SEKOR!BB$2,1,0))</f>
        <v/>
      </c>
      <c r="BC13" s="125" t="str">
        <f>IF(Ujian!BC20="","",IF(LEFT(Ujian!BC20,1)=SEKOR!BC$2,1,0))</f>
        <v/>
      </c>
      <c r="BD13" s="125" t="str">
        <f>IF(Ujian!BD20="","",IF(LEFT(Ujian!BD20,1)=SEKOR!BD$2,1,0))</f>
        <v/>
      </c>
      <c r="BE13" s="125" t="str">
        <f>IF(Ujian!BE20="","",IF(LEFT(Ujian!BE20,1)=SEKOR!BE$2,1,0))</f>
        <v/>
      </c>
      <c r="BF13" s="125" t="str">
        <f>IF(Ujian!BF20="","",IF(LEFT(Ujian!BF20,1)=SEKOR!BF$2,1,0))</f>
        <v/>
      </c>
      <c r="BG13" s="125" t="str">
        <f>IF(Ujian!BG20="","",IF(LEFT(Ujian!BG20,1)=SEKOR!BG$2,1,0))</f>
        <v/>
      </c>
      <c r="BH13" s="125" t="str">
        <f>IF(Ujian!BH20="","",IF(LEFT(Ujian!BH20,1)=SEKOR!BH$2,1,0))</f>
        <v/>
      </c>
      <c r="BI13" s="125" t="str">
        <f>IF(Ujian!BI20="","",IF(LEFT(Ujian!BI20,1)=SEKOR!BI$2,1,0))</f>
        <v/>
      </c>
      <c r="BJ13" s="125" t="str">
        <f>IF(Ujian!BJ20="","",IF(LEFT(Ujian!BJ20,1)=SEKOR!BJ$2,1,0))</f>
        <v/>
      </c>
      <c r="BK13" s="125" t="str">
        <f>IF(Ujian!BK20="","",IF(LEFT(Ujian!BK20,1)=SEKOR!BK$2,1,0))</f>
        <v/>
      </c>
      <c r="BL13" s="18">
        <f t="shared" si="0"/>
        <v>40</v>
      </c>
      <c r="BM13" s="18">
        <f>COUNTIF($D13:$BK13,"")+DATA!$F$14-DATA!$F$12</f>
        <v>20</v>
      </c>
      <c r="BN13" s="17">
        <f>IF(COUNTIF($D13:$BK13,1)&gt;DATA!$F$14,DATA!$F$14,COUNTIF($D13:$BK13,1))</f>
        <v>30</v>
      </c>
      <c r="BO13" s="17">
        <f>IF((BN13+COUNTIF($D13:$BK13,0))&lt;=DATA!$F$14,COUNTIF($D13:$BK13,0),DATA!$F$14-SEKOR!BN13)</f>
        <v>10</v>
      </c>
      <c r="BP13" s="4">
        <f>IF(BL13=0,"",BN13/DATA!$F$14*100)</f>
        <v>75</v>
      </c>
      <c r="BQ13" s="121">
        <f t="shared" si="1"/>
        <v>96.774193548387103</v>
      </c>
      <c r="BR13" s="2">
        <f>IF(Praktik!$E13=0,"",Praktik!$E13)</f>
        <v>90</v>
      </c>
      <c r="BS13" s="2">
        <f>IF(BR13="","",(BP13*DATAINFO!$O$4)+(SEKOR!BR13*DATAINFO!$O$5)/(DATAINFO!$O$4+DATAINFO!$O$5))</f>
        <v>105</v>
      </c>
      <c r="BT13" s="2">
        <f>IF(BL13=0,"",IF(DATA!$F$18="TIDAK",ROUNDUP((IF!$L$8*SEKOR!$BP13)+IF!$L$9,0),IF($BR13="","",ROUNDUP((IF!$L$20*$BS13)+IF!$L$21,0))))</f>
        <v>89</v>
      </c>
      <c r="BU13" s="47">
        <f>IF(BP13="","",IF(SEKOR!BP13&gt;=DATA!$J$12,1,0))</f>
        <v>1</v>
      </c>
      <c r="BV13" s="47">
        <f>IF(BQ13="","",IF(SEKOR!BQ13&gt;=DATA!$J$12,1,0))</f>
        <v>1</v>
      </c>
      <c r="BW13" s="47">
        <f>IF(BR13="","",IF(SEKOR!BR13&gt;=DATA!$J$12,1,0))</f>
        <v>1</v>
      </c>
      <c r="BX13" s="47">
        <f>IF(BT13="","",IF(DATA!$J$14="",IF(SEKOR!BT13&gt;=DATA!$J$12,1,0),IF(SEKOR!BT13&gt;=DATA!$J$14,1,0)))</f>
        <v>1</v>
      </c>
    </row>
    <row r="14" spans="1:81" x14ac:dyDescent="0.25">
      <c r="A14" s="20" t="s">
        <v>41</v>
      </c>
      <c r="B14" s="21" t="str">
        <f>IF(Ujian!B21="","",Ujian!B21)</f>
        <v>  234661</v>
      </c>
      <c r="C14" s="57" t="str">
        <f>IF(Ujian!C21="","",Ujian!C21)</f>
        <v>  Muhammad Jamil</v>
      </c>
      <c r="D14" s="125" t="str">
        <f>IF(Ujian!D21="","",IF(LEFT(Ujian!D21,1)=SEKOR!D$2,1,0))</f>
        <v/>
      </c>
      <c r="E14" s="125">
        <f>IF(Ujian!E21="","",IF(LEFT(Ujian!E21,1)=SEKOR!E$2,1,0))</f>
        <v>1</v>
      </c>
      <c r="F14" s="125">
        <f>IF(Ujian!F21="","",IF(LEFT(Ujian!F21,1)=SEKOR!F$2,1,0))</f>
        <v>0</v>
      </c>
      <c r="G14" s="125">
        <f>IF(Ujian!G21="","",IF(LEFT(Ujian!G21,1)=SEKOR!G$2,1,0))</f>
        <v>1</v>
      </c>
      <c r="H14" s="125">
        <f>IF(Ujian!H21="","",IF(LEFT(Ujian!H21,1)=SEKOR!H$2,1,0))</f>
        <v>1</v>
      </c>
      <c r="I14" s="125">
        <f>IF(Ujian!I21="","",IF(LEFT(Ujian!I21,1)=SEKOR!I$2,1,0))</f>
        <v>0</v>
      </c>
      <c r="J14" s="125">
        <f>IF(Ujian!J21="","",IF(LEFT(Ujian!J21,1)=SEKOR!J$2,1,0))</f>
        <v>1</v>
      </c>
      <c r="K14" s="125">
        <f>IF(Ujian!K21="","",IF(LEFT(Ujian!K21,1)=SEKOR!K$2,1,0))</f>
        <v>1</v>
      </c>
      <c r="L14" s="125">
        <f>IF(Ujian!L21="","",IF(LEFT(Ujian!L21,1)=SEKOR!L$2,1,0))</f>
        <v>1</v>
      </c>
      <c r="M14" s="125">
        <f>IF(Ujian!M21="","",IF(LEFT(Ujian!M21,1)=SEKOR!M$2,1,0))</f>
        <v>1</v>
      </c>
      <c r="N14" s="125" t="str">
        <f>IF(Ujian!N21="","",IF(LEFT(Ujian!N21,1)=SEKOR!N$2,1,0))</f>
        <v/>
      </c>
      <c r="O14" s="125">
        <f>IF(Ujian!O21="","",IF(LEFT(Ujian!O21,1)=SEKOR!O$2,1,0))</f>
        <v>0</v>
      </c>
      <c r="P14" s="125">
        <f>IF(Ujian!P21="","",IF(LEFT(Ujian!P21,1)=SEKOR!P$2,1,0))</f>
        <v>0</v>
      </c>
      <c r="Q14" s="125">
        <f>IF(Ujian!Q21="","",IF(LEFT(Ujian!Q21,1)=SEKOR!Q$2,1,0))</f>
        <v>0</v>
      </c>
      <c r="R14" s="125">
        <f>IF(Ujian!R21="","",IF(LEFT(Ujian!R21,1)=SEKOR!R$2,1,0))</f>
        <v>0</v>
      </c>
      <c r="S14" s="125" t="str">
        <f>IF(Ujian!S21="","",IF(LEFT(Ujian!S21,1)=SEKOR!S$2,1,0))</f>
        <v/>
      </c>
      <c r="T14" s="125">
        <f>IF(Ujian!T21="","",IF(LEFT(Ujian!T21,1)=SEKOR!T$2,1,0))</f>
        <v>1</v>
      </c>
      <c r="U14" s="125">
        <f>IF(Ujian!U21="","",IF(LEFT(Ujian!U21,1)=SEKOR!U$2,1,0))</f>
        <v>1</v>
      </c>
      <c r="V14" s="125">
        <f>IF(Ujian!V21="","",IF(LEFT(Ujian!V21,1)=SEKOR!V$2,1,0))</f>
        <v>1</v>
      </c>
      <c r="W14" s="125">
        <f>IF(Ujian!W21="","",IF(LEFT(Ujian!W21,1)=SEKOR!W$2,1,0))</f>
        <v>0</v>
      </c>
      <c r="X14" s="125">
        <f>IF(Ujian!X21="","",IF(LEFT(Ujian!X21,1)=SEKOR!X$2,1,0))</f>
        <v>0</v>
      </c>
      <c r="Y14" s="125">
        <f>IF(Ujian!Y21="","",IF(LEFT(Ujian!Y21,1)=SEKOR!Y$2,1,0))</f>
        <v>0</v>
      </c>
      <c r="Z14" s="125">
        <f>IF(Ujian!Z21="","",IF(LEFT(Ujian!Z21,1)=SEKOR!Z$2,1,0))</f>
        <v>1</v>
      </c>
      <c r="AA14" s="125">
        <f>IF(Ujian!AA21="","",IF(LEFT(Ujian!AA21,1)=SEKOR!AA$2,1,0))</f>
        <v>0</v>
      </c>
      <c r="AB14" s="125">
        <f>IF(Ujian!AB21="","",IF(LEFT(Ujian!AB21,1)=SEKOR!AB$2,1,0))</f>
        <v>0</v>
      </c>
      <c r="AC14" s="125">
        <f>IF(Ujian!AC21="","",IF(LEFT(Ujian!AC21,1)=SEKOR!AC$2,1,0))</f>
        <v>0</v>
      </c>
      <c r="AD14" s="125">
        <f>IF(Ujian!AD21="","",IF(LEFT(Ujian!AD21,1)=SEKOR!AD$2,1,0))</f>
        <v>1</v>
      </c>
      <c r="AE14" s="125">
        <f>IF(Ujian!AE21="","",IF(LEFT(Ujian!AE21,1)=SEKOR!AE$2,1,0))</f>
        <v>0</v>
      </c>
      <c r="AF14" s="125">
        <f>IF(Ujian!AF21="","",IF(LEFT(Ujian!AF21,1)=SEKOR!AF$2,1,0))</f>
        <v>0</v>
      </c>
      <c r="AG14" s="125">
        <f>IF(Ujian!AG21="","",IF(LEFT(Ujian!AG21,1)=SEKOR!AG$2,1,0))</f>
        <v>0</v>
      </c>
      <c r="AH14" s="125">
        <f>IF(Ujian!AH21="","",IF(LEFT(Ujian!AH21,1)=SEKOR!AH$2,1,0))</f>
        <v>0</v>
      </c>
      <c r="AI14" s="125">
        <f>IF(Ujian!AI21="","",IF(LEFT(Ujian!AI21,1)=SEKOR!AI$2,1,0))</f>
        <v>1</v>
      </c>
      <c r="AJ14" s="125">
        <f>IF(Ujian!AJ21="","",IF(LEFT(Ujian!AJ21,1)=SEKOR!AJ$2,1,0))</f>
        <v>0</v>
      </c>
      <c r="AK14" s="125">
        <f>IF(Ujian!AK21="","",IF(LEFT(Ujian!AK21,1)=SEKOR!AK$2,1,0))</f>
        <v>0</v>
      </c>
      <c r="AL14" s="125" t="str">
        <f>IF(Ujian!AL21="","",IF(LEFT(Ujian!AL21,1)=SEKOR!AL$2,1,0))</f>
        <v/>
      </c>
      <c r="AM14" s="125">
        <f>IF(Ujian!AM21="","",IF(LEFT(Ujian!AM21,1)=SEKOR!AM$2,1,0))</f>
        <v>1</v>
      </c>
      <c r="AN14" s="125">
        <f>IF(Ujian!AN21="","",IF(LEFT(Ujian!AN21,1)=SEKOR!AN$2,1,0))</f>
        <v>1</v>
      </c>
      <c r="AO14" s="125">
        <f>IF(Ujian!AO21="","",IF(LEFT(Ujian!AO21,1)=SEKOR!AO$2,1,0))</f>
        <v>0</v>
      </c>
      <c r="AP14" s="125">
        <f>IF(Ujian!AP21="","",IF(LEFT(Ujian!AP21,1)=SEKOR!AP$2,1,0))</f>
        <v>0</v>
      </c>
      <c r="AQ14" s="125">
        <f>IF(Ujian!AQ21="","",IF(LEFT(Ujian!AQ21,1)=SEKOR!AQ$2,1,0))</f>
        <v>1</v>
      </c>
      <c r="AR14" s="125">
        <f>IF(Ujian!AR21="","",IF(LEFT(Ujian!AR21,1)=SEKOR!AR$2,1,0))</f>
        <v>1</v>
      </c>
      <c r="AS14" s="125">
        <f>IF(Ujian!AS21="","",IF(LEFT(Ujian!AS21,1)=SEKOR!AS$2,1,0))</f>
        <v>1</v>
      </c>
      <c r="AT14" s="125" t="str">
        <f>IF(Ujian!AT21="","",IF(LEFT(Ujian!AT21,1)=SEKOR!AT$2,1,0))</f>
        <v/>
      </c>
      <c r="AU14" s="125">
        <f>IF(Ujian!AU21="","",IF(LEFT(Ujian!AU21,1)=SEKOR!AU$2,1,0))</f>
        <v>0</v>
      </c>
      <c r="AV14" s="125">
        <f>IF(Ujian!AV21="","",IF(LEFT(Ujian!AV21,1)=SEKOR!AV$2,1,0))</f>
        <v>0</v>
      </c>
      <c r="AW14" s="125" t="str">
        <f>IF(Ujian!AW21="","",IF(LEFT(Ujian!AW21,1)=SEKOR!AW$2,1,0))</f>
        <v/>
      </c>
      <c r="AX14" s="125" t="str">
        <f>IF(Ujian!AX21="","",IF(LEFT(Ujian!AX21,1)=SEKOR!AX$2,1,0))</f>
        <v/>
      </c>
      <c r="AY14" s="125" t="str">
        <f>IF(Ujian!AY21="","",IF(LEFT(Ujian!AY21,1)=SEKOR!AY$2,1,0))</f>
        <v/>
      </c>
      <c r="AZ14" s="125" t="str">
        <f>IF(Ujian!AZ21="","",IF(LEFT(Ujian!AZ21,1)=SEKOR!AZ$2,1,0))</f>
        <v/>
      </c>
      <c r="BA14" s="125" t="str">
        <f>IF(Ujian!BA21="","",IF(LEFT(Ujian!BA21,1)=SEKOR!BA$2,1,0))</f>
        <v/>
      </c>
      <c r="BB14" s="125" t="str">
        <f>IF(Ujian!BB21="","",IF(LEFT(Ujian!BB21,1)=SEKOR!BB$2,1,0))</f>
        <v/>
      </c>
      <c r="BC14" s="125" t="str">
        <f>IF(Ujian!BC21="","",IF(LEFT(Ujian!BC21,1)=SEKOR!BC$2,1,0))</f>
        <v/>
      </c>
      <c r="BD14" s="125" t="str">
        <f>IF(Ujian!BD21="","",IF(LEFT(Ujian!BD21,1)=SEKOR!BD$2,1,0))</f>
        <v/>
      </c>
      <c r="BE14" s="125" t="str">
        <f>IF(Ujian!BE21="","",IF(LEFT(Ujian!BE21,1)=SEKOR!BE$2,1,0))</f>
        <v/>
      </c>
      <c r="BF14" s="125" t="str">
        <f>IF(Ujian!BF21="","",IF(LEFT(Ujian!BF21,1)=SEKOR!BF$2,1,0))</f>
        <v/>
      </c>
      <c r="BG14" s="125" t="str">
        <f>IF(Ujian!BG21="","",IF(LEFT(Ujian!BG21,1)=SEKOR!BG$2,1,0))</f>
        <v/>
      </c>
      <c r="BH14" s="125" t="str">
        <f>IF(Ujian!BH21="","",IF(LEFT(Ujian!BH21,1)=SEKOR!BH$2,1,0))</f>
        <v/>
      </c>
      <c r="BI14" s="125" t="str">
        <f>IF(Ujian!BI21="","",IF(LEFT(Ujian!BI21,1)=SEKOR!BI$2,1,0))</f>
        <v/>
      </c>
      <c r="BJ14" s="125" t="str">
        <f>IF(Ujian!BJ21="","",IF(LEFT(Ujian!BJ21,1)=SEKOR!BJ$2,1,0))</f>
        <v/>
      </c>
      <c r="BK14" s="125" t="str">
        <f>IF(Ujian!BK21="","",IF(LEFT(Ujian!BK21,1)=SEKOR!BK$2,1,0))</f>
        <v/>
      </c>
      <c r="BL14" s="18">
        <f t="shared" si="0"/>
        <v>40</v>
      </c>
      <c r="BM14" s="18">
        <f>COUNTIF($D14:$BK14,"")+DATA!$F$14-DATA!$F$12</f>
        <v>20</v>
      </c>
      <c r="BN14" s="17">
        <f>IF(COUNTIF($D14:$BK14,1)&gt;DATA!$F$14,DATA!$F$14,COUNTIF($D14:$BK14,1))</f>
        <v>18</v>
      </c>
      <c r="BO14" s="17">
        <f>IF((BN14+COUNTIF($D14:$BK14,0))&lt;=DATA!$F$14,COUNTIF($D14:$BK14,0),DATA!$F$14-SEKOR!BN14)</f>
        <v>22</v>
      </c>
      <c r="BP14" s="4">
        <f>IF(BL14=0,"",BN14/DATA!$F$14*100)</f>
        <v>45</v>
      </c>
      <c r="BQ14" s="121">
        <f t="shared" si="1"/>
        <v>58.064516129032263</v>
      </c>
      <c r="BR14" s="2">
        <f>IF(Praktik!$E14=0,"",Praktik!$E14)</f>
        <v>90</v>
      </c>
      <c r="BS14" s="2">
        <f>IF(BR14="","",(BP14*DATAINFO!$O$4)+(SEKOR!BR14*DATAINFO!$O$5)/(DATAINFO!$O$4+DATAINFO!$O$5))</f>
        <v>75</v>
      </c>
      <c r="BT14" s="2">
        <f>IF(BL14=0,"",IF(DATA!$F$18="TIDAK",ROUNDUP((IF!$L$8*SEKOR!$BP14)+IF!$L$9,0),IF($BR14="","",ROUNDUP((IF!$L$20*$BS14)+IF!$L$21,0))))</f>
        <v>69</v>
      </c>
      <c r="BU14" s="47">
        <f>IF(BP14="","",IF(SEKOR!BP14&gt;=DATA!$J$12,1,0))</f>
        <v>0</v>
      </c>
      <c r="BV14" s="47">
        <f>IF(BQ14="","",IF(SEKOR!BQ14&gt;=DATA!$J$12,1,0))</f>
        <v>0</v>
      </c>
      <c r="BW14" s="47">
        <f>IF(BR14="","",IF(SEKOR!BR14&gt;=DATA!$J$12,1,0))</f>
        <v>1</v>
      </c>
      <c r="BX14" s="47">
        <f>IF(BT14="","",IF(DATA!$J$14="",IF(SEKOR!BT14&gt;=DATA!$J$12,1,0),IF(SEKOR!BT14&gt;=DATA!$J$14,1,0)))</f>
        <v>1</v>
      </c>
    </row>
    <row r="15" spans="1:81" x14ac:dyDescent="0.25">
      <c r="A15" s="20" t="s">
        <v>42</v>
      </c>
      <c r="B15" s="21" t="str">
        <f>IF(Ujian!B22="","",Ujian!B22)</f>
        <v>  234662</v>
      </c>
      <c r="C15" s="57" t="str">
        <f>IF(Ujian!C22="","",Ujian!C22)</f>
        <v>  Muhammad Mubaraq</v>
      </c>
      <c r="D15" s="125">
        <f>IF(Ujian!D22="","",IF(LEFT(Ujian!D22,1)=SEKOR!D$2,1,0))</f>
        <v>0</v>
      </c>
      <c r="E15" s="125" t="str">
        <f>IF(Ujian!E22="","",IF(LEFT(Ujian!E22,1)=SEKOR!E$2,1,0))</f>
        <v/>
      </c>
      <c r="F15" s="125">
        <f>IF(Ujian!F22="","",IF(LEFT(Ujian!F22,1)=SEKOR!F$2,1,0))</f>
        <v>1</v>
      </c>
      <c r="G15" s="125">
        <f>IF(Ujian!G22="","",IF(LEFT(Ujian!G22,1)=SEKOR!G$2,1,0))</f>
        <v>1</v>
      </c>
      <c r="H15" s="125">
        <f>IF(Ujian!H22="","",IF(LEFT(Ujian!H22,1)=SEKOR!H$2,1,0))</f>
        <v>0</v>
      </c>
      <c r="I15" s="125">
        <f>IF(Ujian!I22="","",IF(LEFT(Ujian!I22,1)=SEKOR!I$2,1,0))</f>
        <v>1</v>
      </c>
      <c r="J15" s="125">
        <f>IF(Ujian!J22="","",IF(LEFT(Ujian!J22,1)=SEKOR!J$2,1,0))</f>
        <v>1</v>
      </c>
      <c r="K15" s="125">
        <f>IF(Ujian!K22="","",IF(LEFT(Ujian!K22,1)=SEKOR!K$2,1,0))</f>
        <v>0</v>
      </c>
      <c r="L15" s="125">
        <f>IF(Ujian!L22="","",IF(LEFT(Ujian!L22,1)=SEKOR!L$2,1,0))</f>
        <v>1</v>
      </c>
      <c r="M15" s="125">
        <f>IF(Ujian!M22="","",IF(LEFT(Ujian!M22,1)=SEKOR!M$2,1,0))</f>
        <v>0</v>
      </c>
      <c r="N15" s="125" t="str">
        <f>IF(Ujian!N22="","",IF(LEFT(Ujian!N22,1)=SEKOR!N$2,1,0))</f>
        <v/>
      </c>
      <c r="O15" s="125">
        <f>IF(Ujian!O22="","",IF(LEFT(Ujian!O22,1)=SEKOR!O$2,1,0))</f>
        <v>1</v>
      </c>
      <c r="P15" s="125">
        <f>IF(Ujian!P22="","",IF(LEFT(Ujian!P22,1)=SEKOR!P$2,1,0))</f>
        <v>0</v>
      </c>
      <c r="Q15" s="125">
        <f>IF(Ujian!Q22="","",IF(LEFT(Ujian!Q22,1)=SEKOR!Q$2,1,0))</f>
        <v>1</v>
      </c>
      <c r="R15" s="125">
        <f>IF(Ujian!R22="","",IF(LEFT(Ujian!R22,1)=SEKOR!R$2,1,0))</f>
        <v>0</v>
      </c>
      <c r="S15" s="125">
        <f>IF(Ujian!S22="","",IF(LEFT(Ujian!S22,1)=SEKOR!S$2,1,0))</f>
        <v>1</v>
      </c>
      <c r="T15" s="125">
        <f>IF(Ujian!T22="","",IF(LEFT(Ujian!T22,1)=SEKOR!T$2,1,0))</f>
        <v>1</v>
      </c>
      <c r="U15" s="125">
        <f>IF(Ujian!U22="","",IF(LEFT(Ujian!U22,1)=SEKOR!U$2,1,0))</f>
        <v>0</v>
      </c>
      <c r="V15" s="125">
        <f>IF(Ujian!V22="","",IF(LEFT(Ujian!V22,1)=SEKOR!V$2,1,0))</f>
        <v>1</v>
      </c>
      <c r="W15" s="125">
        <f>IF(Ujian!W22="","",IF(LEFT(Ujian!W22,1)=SEKOR!W$2,1,0))</f>
        <v>1</v>
      </c>
      <c r="X15" s="125" t="str">
        <f>IF(Ujian!X22="","",IF(LEFT(Ujian!X22,1)=SEKOR!X$2,1,0))</f>
        <v/>
      </c>
      <c r="Y15" s="125">
        <f>IF(Ujian!Y22="","",IF(LEFT(Ujian!Y22,1)=SEKOR!Y$2,1,0))</f>
        <v>1</v>
      </c>
      <c r="Z15" s="125">
        <f>IF(Ujian!Z22="","",IF(LEFT(Ujian!Z22,1)=SEKOR!Z$2,1,0))</f>
        <v>1</v>
      </c>
      <c r="AA15" s="125">
        <f>IF(Ujian!AA22="","",IF(LEFT(Ujian!AA22,1)=SEKOR!AA$2,1,0))</f>
        <v>1</v>
      </c>
      <c r="AB15" s="125">
        <f>IF(Ujian!AB22="","",IF(LEFT(Ujian!AB22,1)=SEKOR!AB$2,1,0))</f>
        <v>1</v>
      </c>
      <c r="AC15" s="125" t="str">
        <f>IF(Ujian!AC22="","",IF(LEFT(Ujian!AC22,1)=SEKOR!AC$2,1,0))</f>
        <v/>
      </c>
      <c r="AD15" s="125">
        <f>IF(Ujian!AD22="","",IF(LEFT(Ujian!AD22,1)=SEKOR!AD$2,1,0))</f>
        <v>0</v>
      </c>
      <c r="AE15" s="125">
        <f>IF(Ujian!AE22="","",IF(LEFT(Ujian!AE22,1)=SEKOR!AE$2,1,0))</f>
        <v>0</v>
      </c>
      <c r="AF15" s="125">
        <f>IF(Ujian!AF22="","",IF(LEFT(Ujian!AF22,1)=SEKOR!AF$2,1,0))</f>
        <v>1</v>
      </c>
      <c r="AG15" s="125">
        <f>IF(Ujian!AG22="","",IF(LEFT(Ujian!AG22,1)=SEKOR!AG$2,1,0))</f>
        <v>0</v>
      </c>
      <c r="AH15" s="125">
        <f>IF(Ujian!AH22="","",IF(LEFT(Ujian!AH22,1)=SEKOR!AH$2,1,0))</f>
        <v>0</v>
      </c>
      <c r="AI15" s="125">
        <f>IF(Ujian!AI22="","",IF(LEFT(Ujian!AI22,1)=SEKOR!AI$2,1,0))</f>
        <v>1</v>
      </c>
      <c r="AJ15" s="125">
        <f>IF(Ujian!AJ22="","",IF(LEFT(Ujian!AJ22,1)=SEKOR!AJ$2,1,0))</f>
        <v>1</v>
      </c>
      <c r="AK15" s="125">
        <f>IF(Ujian!AK22="","",IF(LEFT(Ujian!AK22,1)=SEKOR!AK$2,1,0))</f>
        <v>1</v>
      </c>
      <c r="AL15" s="125">
        <f>IF(Ujian!AL22="","",IF(LEFT(Ujian!AL22,1)=SEKOR!AL$2,1,0))</f>
        <v>1</v>
      </c>
      <c r="AM15" s="125">
        <f>IF(Ujian!AM22="","",IF(LEFT(Ujian!AM22,1)=SEKOR!AM$2,1,0))</f>
        <v>1</v>
      </c>
      <c r="AN15" s="125">
        <f>IF(Ujian!AN22="","",IF(LEFT(Ujian!AN22,1)=SEKOR!AN$2,1,0))</f>
        <v>1</v>
      </c>
      <c r="AO15" s="125">
        <f>IF(Ujian!AO22="","",IF(LEFT(Ujian!AO22,1)=SEKOR!AO$2,1,0))</f>
        <v>0</v>
      </c>
      <c r="AP15" s="125">
        <f>IF(Ujian!AP22="","",IF(LEFT(Ujian!AP22,1)=SEKOR!AP$2,1,0))</f>
        <v>0</v>
      </c>
      <c r="AQ15" s="125" t="str">
        <f>IF(Ujian!AQ22="","",IF(LEFT(Ujian!AQ22,1)=SEKOR!AQ$2,1,0))</f>
        <v/>
      </c>
      <c r="AR15" s="125">
        <f>IF(Ujian!AR22="","",IF(LEFT(Ujian!AR22,1)=SEKOR!AR$2,1,0))</f>
        <v>1</v>
      </c>
      <c r="AS15" s="125">
        <f>IF(Ujian!AS22="","",IF(LEFT(Ujian!AS22,1)=SEKOR!AS$2,1,0))</f>
        <v>1</v>
      </c>
      <c r="AT15" s="125">
        <f>IF(Ujian!AT22="","",IF(LEFT(Ujian!AT22,1)=SEKOR!AT$2,1,0))</f>
        <v>0</v>
      </c>
      <c r="AU15" s="125">
        <f>IF(Ujian!AU22="","",IF(LEFT(Ujian!AU22,1)=SEKOR!AU$2,1,0))</f>
        <v>1</v>
      </c>
      <c r="AV15" s="125">
        <f>IF(Ujian!AV22="","",IF(LEFT(Ujian!AV22,1)=SEKOR!AV$2,1,0))</f>
        <v>1</v>
      </c>
      <c r="AW15" s="125" t="str">
        <f>IF(Ujian!AW22="","",IF(LEFT(Ujian!AW22,1)=SEKOR!AW$2,1,0))</f>
        <v/>
      </c>
      <c r="AX15" s="125" t="str">
        <f>IF(Ujian!AX22="","",IF(LEFT(Ujian!AX22,1)=SEKOR!AX$2,1,0))</f>
        <v/>
      </c>
      <c r="AY15" s="125" t="str">
        <f>IF(Ujian!AY22="","",IF(LEFT(Ujian!AY22,1)=SEKOR!AY$2,1,0))</f>
        <v/>
      </c>
      <c r="AZ15" s="125" t="str">
        <f>IF(Ujian!AZ22="","",IF(LEFT(Ujian!AZ22,1)=SEKOR!AZ$2,1,0))</f>
        <v/>
      </c>
      <c r="BA15" s="125" t="str">
        <f>IF(Ujian!BA22="","",IF(LEFT(Ujian!BA22,1)=SEKOR!BA$2,1,0))</f>
        <v/>
      </c>
      <c r="BB15" s="125" t="str">
        <f>IF(Ujian!BB22="","",IF(LEFT(Ujian!BB22,1)=SEKOR!BB$2,1,0))</f>
        <v/>
      </c>
      <c r="BC15" s="125" t="str">
        <f>IF(Ujian!BC22="","",IF(LEFT(Ujian!BC22,1)=SEKOR!BC$2,1,0))</f>
        <v/>
      </c>
      <c r="BD15" s="125" t="str">
        <f>IF(Ujian!BD22="","",IF(LEFT(Ujian!BD22,1)=SEKOR!BD$2,1,0))</f>
        <v/>
      </c>
      <c r="BE15" s="125" t="str">
        <f>IF(Ujian!BE22="","",IF(LEFT(Ujian!BE22,1)=SEKOR!BE$2,1,0))</f>
        <v/>
      </c>
      <c r="BF15" s="125" t="str">
        <f>IF(Ujian!BF22="","",IF(LEFT(Ujian!BF22,1)=SEKOR!BF$2,1,0))</f>
        <v/>
      </c>
      <c r="BG15" s="125" t="str">
        <f>IF(Ujian!BG22="","",IF(LEFT(Ujian!BG22,1)=SEKOR!BG$2,1,0))</f>
        <v/>
      </c>
      <c r="BH15" s="125" t="str">
        <f>IF(Ujian!BH22="","",IF(LEFT(Ujian!BH22,1)=SEKOR!BH$2,1,0))</f>
        <v/>
      </c>
      <c r="BI15" s="125" t="str">
        <f>IF(Ujian!BI22="","",IF(LEFT(Ujian!BI22,1)=SEKOR!BI$2,1,0))</f>
        <v/>
      </c>
      <c r="BJ15" s="125" t="str">
        <f>IF(Ujian!BJ22="","",IF(LEFT(Ujian!BJ22,1)=SEKOR!BJ$2,1,0))</f>
        <v/>
      </c>
      <c r="BK15" s="125" t="str">
        <f>IF(Ujian!BK22="","",IF(LEFT(Ujian!BK22,1)=SEKOR!BK$2,1,0))</f>
        <v/>
      </c>
      <c r="BL15" s="18">
        <f t="shared" si="0"/>
        <v>40</v>
      </c>
      <c r="BM15" s="18">
        <f>COUNTIF($D15:$BK15,"")+DATA!$F$14-DATA!$F$12</f>
        <v>20</v>
      </c>
      <c r="BN15" s="17">
        <f>IF(COUNTIF($D15:$BK15,1)&gt;DATA!$F$14,DATA!$F$14,COUNTIF($D15:$BK15,1))</f>
        <v>26</v>
      </c>
      <c r="BO15" s="17">
        <f>IF((BN15+COUNTIF($D15:$BK15,0))&lt;=DATA!$F$14,COUNTIF($D15:$BK15,0),DATA!$F$14-SEKOR!BN15)</f>
        <v>14</v>
      </c>
      <c r="BP15" s="4">
        <f>IF(BL15=0,"",BN15/DATA!$F$14*100)</f>
        <v>65</v>
      </c>
      <c r="BQ15" s="121">
        <f t="shared" si="1"/>
        <v>83.870967741935488</v>
      </c>
      <c r="BR15" s="2">
        <f>IF(Praktik!$E15=0,"",Praktik!$E15)</f>
        <v>90</v>
      </c>
      <c r="BS15" s="2">
        <f>IF(BR15="","",(BP15*DATAINFO!$O$4)+(SEKOR!BR15*DATAINFO!$O$5)/(DATAINFO!$O$4+DATAINFO!$O$5))</f>
        <v>95</v>
      </c>
      <c r="BT15" s="2">
        <f>IF(BL15=0,"",IF(DATA!$F$18="TIDAK",ROUNDUP((IF!$L$8*SEKOR!$BP15)+IF!$L$9,0),IF($BR15="","",ROUNDUP((IF!$L$20*$BS15)+IF!$L$21,0))))</f>
        <v>82</v>
      </c>
      <c r="BU15" s="47">
        <f>IF(BP15="","",IF(SEKOR!BP15&gt;=DATA!$J$12,1,0))</f>
        <v>0</v>
      </c>
      <c r="BV15" s="47">
        <f>IF(BQ15="","",IF(SEKOR!BQ15&gt;=DATA!$J$12,1,0))</f>
        <v>1</v>
      </c>
      <c r="BW15" s="47">
        <f>IF(BR15="","",IF(SEKOR!BR15&gt;=DATA!$J$12,1,0))</f>
        <v>1</v>
      </c>
      <c r="BX15" s="47">
        <f>IF(BT15="","",IF(DATA!$J$14="",IF(SEKOR!BT15&gt;=DATA!$J$12,1,0),IF(SEKOR!BT15&gt;=DATA!$J$14,1,0)))</f>
        <v>1</v>
      </c>
    </row>
    <row r="16" spans="1:81" x14ac:dyDescent="0.25">
      <c r="A16" s="20" t="s">
        <v>43</v>
      </c>
      <c r="B16" s="21" t="str">
        <f>IF(Ujian!B23="","",Ujian!B23)</f>
        <v>  234632</v>
      </c>
      <c r="C16" s="57" t="str">
        <f>IF(Ujian!C23="","",Ujian!C23)</f>
        <v>  Muhammad Nazril Ilmi</v>
      </c>
      <c r="D16" s="125">
        <f>IF(Ujian!D23="","",IF(LEFT(Ujian!D23,1)=SEKOR!D$2,1,0))</f>
        <v>0</v>
      </c>
      <c r="E16" s="125">
        <f>IF(Ujian!E23="","",IF(LEFT(Ujian!E23,1)=SEKOR!E$2,1,0))</f>
        <v>1</v>
      </c>
      <c r="F16" s="125">
        <f>IF(Ujian!F23="","",IF(LEFT(Ujian!F23,1)=SEKOR!F$2,1,0))</f>
        <v>1</v>
      </c>
      <c r="G16" s="125">
        <f>IF(Ujian!G23="","",IF(LEFT(Ujian!G23,1)=SEKOR!G$2,1,0))</f>
        <v>0</v>
      </c>
      <c r="H16" s="125">
        <f>IF(Ujian!H23="","",IF(LEFT(Ujian!H23,1)=SEKOR!H$2,1,0))</f>
        <v>0</v>
      </c>
      <c r="I16" s="125">
        <f>IF(Ujian!I23="","",IF(LEFT(Ujian!I23,1)=SEKOR!I$2,1,0))</f>
        <v>1</v>
      </c>
      <c r="J16" s="125">
        <f>IF(Ujian!J23="","",IF(LEFT(Ujian!J23,1)=SEKOR!J$2,1,0))</f>
        <v>0</v>
      </c>
      <c r="K16" s="125">
        <f>IF(Ujian!K23="","",IF(LEFT(Ujian!K23,1)=SEKOR!K$2,1,0))</f>
        <v>0</v>
      </c>
      <c r="L16" s="125">
        <f>IF(Ujian!L23="","",IF(LEFT(Ujian!L23,1)=SEKOR!L$2,1,0))</f>
        <v>0</v>
      </c>
      <c r="M16" s="125">
        <f>IF(Ujian!M23="","",IF(LEFT(Ujian!M23,1)=SEKOR!M$2,1,0))</f>
        <v>0</v>
      </c>
      <c r="N16" s="125">
        <f>IF(Ujian!N23="","",IF(LEFT(Ujian!N23,1)=SEKOR!N$2,1,0))</f>
        <v>1</v>
      </c>
      <c r="O16" s="125">
        <f>IF(Ujian!O23="","",IF(LEFT(Ujian!O23,1)=SEKOR!O$2,1,0))</f>
        <v>1</v>
      </c>
      <c r="P16" s="125">
        <f>IF(Ujian!P23="","",IF(LEFT(Ujian!P23,1)=SEKOR!P$2,1,0))</f>
        <v>0</v>
      </c>
      <c r="Q16" s="125" t="str">
        <f>IF(Ujian!Q23="","",IF(LEFT(Ujian!Q23,1)=SEKOR!Q$2,1,0))</f>
        <v/>
      </c>
      <c r="R16" s="125">
        <f>IF(Ujian!R23="","",IF(LEFT(Ujian!R23,1)=SEKOR!R$2,1,0))</f>
        <v>0</v>
      </c>
      <c r="S16" s="125">
        <f>IF(Ujian!S23="","",IF(LEFT(Ujian!S23,1)=SEKOR!S$2,1,0))</f>
        <v>1</v>
      </c>
      <c r="T16" s="125">
        <f>IF(Ujian!T23="","",IF(LEFT(Ujian!T23,1)=SEKOR!T$2,1,0))</f>
        <v>1</v>
      </c>
      <c r="U16" s="125">
        <f>IF(Ujian!U23="","",IF(LEFT(Ujian!U23,1)=SEKOR!U$2,1,0))</f>
        <v>0</v>
      </c>
      <c r="V16" s="125" t="str">
        <f>IF(Ujian!V23="","",IF(LEFT(Ujian!V23,1)=SEKOR!V$2,1,0))</f>
        <v/>
      </c>
      <c r="W16" s="125">
        <f>IF(Ujian!W23="","",IF(LEFT(Ujian!W23,1)=SEKOR!W$2,1,0))</f>
        <v>0</v>
      </c>
      <c r="X16" s="125">
        <f>IF(Ujian!X23="","",IF(LEFT(Ujian!X23,1)=SEKOR!X$2,1,0))</f>
        <v>0</v>
      </c>
      <c r="Y16" s="125">
        <f>IF(Ujian!Y23="","",IF(LEFT(Ujian!Y23,1)=SEKOR!Y$2,1,0))</f>
        <v>1</v>
      </c>
      <c r="Z16" s="125" t="str">
        <f>IF(Ujian!Z23="","",IF(LEFT(Ujian!Z23,1)=SEKOR!Z$2,1,0))</f>
        <v/>
      </c>
      <c r="AA16" s="125">
        <f>IF(Ujian!AA23="","",IF(LEFT(Ujian!AA23,1)=SEKOR!AA$2,1,0))</f>
        <v>0</v>
      </c>
      <c r="AB16" s="125">
        <f>IF(Ujian!AB23="","",IF(LEFT(Ujian!AB23,1)=SEKOR!AB$2,1,0))</f>
        <v>0</v>
      </c>
      <c r="AC16" s="125" t="str">
        <f>IF(Ujian!AC23="","",IF(LEFT(Ujian!AC23,1)=SEKOR!AC$2,1,0))</f>
        <v/>
      </c>
      <c r="AD16" s="125">
        <f>IF(Ujian!AD23="","",IF(LEFT(Ujian!AD23,1)=SEKOR!AD$2,1,0))</f>
        <v>0</v>
      </c>
      <c r="AE16" s="125" t="str">
        <f>IF(Ujian!AE23="","",IF(LEFT(Ujian!AE23,1)=SEKOR!AE$2,1,0))</f>
        <v/>
      </c>
      <c r="AF16" s="125">
        <f>IF(Ujian!AF23="","",IF(LEFT(Ujian!AF23,1)=SEKOR!AF$2,1,0))</f>
        <v>0</v>
      </c>
      <c r="AG16" s="125">
        <f>IF(Ujian!AG23="","",IF(LEFT(Ujian!AG23,1)=SEKOR!AG$2,1,0))</f>
        <v>0</v>
      </c>
      <c r="AH16" s="125">
        <f>IF(Ujian!AH23="","",IF(LEFT(Ujian!AH23,1)=SEKOR!AH$2,1,0))</f>
        <v>0</v>
      </c>
      <c r="AI16" s="125">
        <f>IF(Ujian!AI23="","",IF(LEFT(Ujian!AI23,1)=SEKOR!AI$2,1,0))</f>
        <v>0</v>
      </c>
      <c r="AJ16" s="125">
        <f>IF(Ujian!AJ23="","",IF(LEFT(Ujian!AJ23,1)=SEKOR!AJ$2,1,0))</f>
        <v>1</v>
      </c>
      <c r="AK16" s="125">
        <f>IF(Ujian!AK23="","",IF(LEFT(Ujian!AK23,1)=SEKOR!AK$2,1,0))</f>
        <v>0</v>
      </c>
      <c r="AL16" s="125">
        <f>IF(Ujian!AL23="","",IF(LEFT(Ujian!AL23,1)=SEKOR!AL$2,1,0))</f>
        <v>1</v>
      </c>
      <c r="AM16" s="125">
        <f>IF(Ujian!AM23="","",IF(LEFT(Ujian!AM23,1)=SEKOR!AM$2,1,0))</f>
        <v>0</v>
      </c>
      <c r="AN16" s="125">
        <f>IF(Ujian!AN23="","",IF(LEFT(Ujian!AN23,1)=SEKOR!AN$2,1,0))</f>
        <v>1</v>
      </c>
      <c r="AO16" s="125">
        <f>IF(Ujian!AO23="","",IF(LEFT(Ujian!AO23,1)=SEKOR!AO$2,1,0))</f>
        <v>1</v>
      </c>
      <c r="AP16" s="125" t="str">
        <f>IF(Ujian!AP23="","",IF(LEFT(Ujian!AP23,1)=SEKOR!AP$2,1,0))</f>
        <v/>
      </c>
      <c r="AQ16" s="125">
        <f>IF(Ujian!AQ23="","",IF(LEFT(Ujian!AQ23,1)=SEKOR!AQ$2,1,0))</f>
        <v>0</v>
      </c>
      <c r="AR16" s="125">
        <f>IF(Ujian!AR23="","",IF(LEFT(Ujian!AR23,1)=SEKOR!AR$2,1,0))</f>
        <v>1</v>
      </c>
      <c r="AS16" s="125">
        <f>IF(Ujian!AS23="","",IF(LEFT(Ujian!AS23,1)=SEKOR!AS$2,1,0))</f>
        <v>0</v>
      </c>
      <c r="AT16" s="125">
        <f>IF(Ujian!AT23="","",IF(LEFT(Ujian!AT23,1)=SEKOR!AT$2,1,0))</f>
        <v>0</v>
      </c>
      <c r="AU16" s="125">
        <f>IF(Ujian!AU23="","",IF(LEFT(Ujian!AU23,1)=SEKOR!AU$2,1,0))</f>
        <v>0</v>
      </c>
      <c r="AV16" s="125">
        <f>IF(Ujian!AV23="","",IF(LEFT(Ujian!AV23,1)=SEKOR!AV$2,1,0))</f>
        <v>1</v>
      </c>
      <c r="AW16" s="125" t="str">
        <f>IF(Ujian!AW23="","",IF(LEFT(Ujian!AW23,1)=SEKOR!AW$2,1,0))</f>
        <v/>
      </c>
      <c r="AX16" s="125" t="str">
        <f>IF(Ujian!AX23="","",IF(LEFT(Ujian!AX23,1)=SEKOR!AX$2,1,0))</f>
        <v/>
      </c>
      <c r="AY16" s="125" t="str">
        <f>IF(Ujian!AY23="","",IF(LEFT(Ujian!AY23,1)=SEKOR!AY$2,1,0))</f>
        <v/>
      </c>
      <c r="AZ16" s="125" t="str">
        <f>IF(Ujian!AZ23="","",IF(LEFT(Ujian!AZ23,1)=SEKOR!AZ$2,1,0))</f>
        <v/>
      </c>
      <c r="BA16" s="125" t="str">
        <f>IF(Ujian!BA23="","",IF(LEFT(Ujian!BA23,1)=SEKOR!BA$2,1,0))</f>
        <v/>
      </c>
      <c r="BB16" s="125" t="str">
        <f>IF(Ujian!BB23="","",IF(LEFT(Ujian!BB23,1)=SEKOR!BB$2,1,0))</f>
        <v/>
      </c>
      <c r="BC16" s="125" t="str">
        <f>IF(Ujian!BC23="","",IF(LEFT(Ujian!BC23,1)=SEKOR!BC$2,1,0))</f>
        <v/>
      </c>
      <c r="BD16" s="125" t="str">
        <f>IF(Ujian!BD23="","",IF(LEFT(Ujian!BD23,1)=SEKOR!BD$2,1,0))</f>
        <v/>
      </c>
      <c r="BE16" s="125" t="str">
        <f>IF(Ujian!BE23="","",IF(LEFT(Ujian!BE23,1)=SEKOR!BE$2,1,0))</f>
        <v/>
      </c>
      <c r="BF16" s="125" t="str">
        <f>IF(Ujian!BF23="","",IF(LEFT(Ujian!BF23,1)=SEKOR!BF$2,1,0))</f>
        <v/>
      </c>
      <c r="BG16" s="125" t="str">
        <f>IF(Ujian!BG23="","",IF(LEFT(Ujian!BG23,1)=SEKOR!BG$2,1,0))</f>
        <v/>
      </c>
      <c r="BH16" s="125" t="str">
        <f>IF(Ujian!BH23="","",IF(LEFT(Ujian!BH23,1)=SEKOR!BH$2,1,0))</f>
        <v/>
      </c>
      <c r="BI16" s="125" t="str">
        <f>IF(Ujian!BI23="","",IF(LEFT(Ujian!BI23,1)=SEKOR!BI$2,1,0))</f>
        <v/>
      </c>
      <c r="BJ16" s="125" t="str">
        <f>IF(Ujian!BJ23="","",IF(LEFT(Ujian!BJ23,1)=SEKOR!BJ$2,1,0))</f>
        <v/>
      </c>
      <c r="BK16" s="125" t="str">
        <f>IF(Ujian!BK23="","",IF(LEFT(Ujian!BK23,1)=SEKOR!BK$2,1,0))</f>
        <v/>
      </c>
      <c r="BL16" s="18">
        <f t="shared" si="0"/>
        <v>39</v>
      </c>
      <c r="BM16" s="18">
        <f>COUNTIF($D16:$BK16,"")+DATA!$F$14-DATA!$F$12</f>
        <v>21</v>
      </c>
      <c r="BN16" s="17">
        <f>IF(COUNTIF($D16:$BK16,1)&gt;DATA!$F$14,DATA!$F$14,COUNTIF($D16:$BK16,1))</f>
        <v>14</v>
      </c>
      <c r="BO16" s="17">
        <f>IF((BN16+COUNTIF($D16:$BK16,0))&lt;=DATA!$F$14,COUNTIF($D16:$BK16,0),DATA!$F$14-SEKOR!BN16)</f>
        <v>25</v>
      </c>
      <c r="BP16" s="4">
        <f>IF(BL16=0,"",BN16/DATA!$F$14*100)</f>
        <v>35</v>
      </c>
      <c r="BQ16" s="121">
        <f t="shared" si="1"/>
        <v>45.161290322580641</v>
      </c>
      <c r="BR16" s="2">
        <f>IF(Praktik!$E16=0,"",Praktik!$E16)</f>
        <v>90</v>
      </c>
      <c r="BS16" s="2">
        <f>IF(BR16="","",(BP16*DATAINFO!$O$4)+(SEKOR!BR16*DATAINFO!$O$5)/(DATAINFO!$O$4+DATAINFO!$O$5))</f>
        <v>65</v>
      </c>
      <c r="BT16" s="2">
        <f>IF(BL16=0,"",IF(DATA!$F$18="TIDAK",ROUNDUP((IF!$L$8*SEKOR!$BP16)+IF!$L$9,0),IF($BR16="","",ROUNDUP((IF!$L$20*$BS16)+IF!$L$21,0))))</f>
        <v>62</v>
      </c>
      <c r="BU16" s="47">
        <f>IF(BP16="","",IF(SEKOR!BP16&gt;=DATA!$J$12,1,0))</f>
        <v>0</v>
      </c>
      <c r="BV16" s="47">
        <f>IF(BQ16="","",IF(SEKOR!BQ16&gt;=DATA!$J$12,1,0))</f>
        <v>0</v>
      </c>
      <c r="BW16" s="47">
        <f>IF(BR16="","",IF(SEKOR!BR16&gt;=DATA!$J$12,1,0))</f>
        <v>1</v>
      </c>
      <c r="BX16" s="47">
        <f>IF(BT16="","",IF(DATA!$J$14="",IF(SEKOR!BT16&gt;=DATA!$J$12,1,0),IF(SEKOR!BT16&gt;=DATA!$J$14,1,0)))</f>
        <v>0</v>
      </c>
    </row>
    <row r="17" spans="1:76" x14ac:dyDescent="0.25">
      <c r="A17" s="20" t="s">
        <v>44</v>
      </c>
      <c r="B17" s="21" t="str">
        <f>IF(Ujian!B24="","",Ujian!B24)</f>
        <v>  234678</v>
      </c>
      <c r="C17" s="57" t="str">
        <f>IF(Ujian!C24="","",Ujian!C24)</f>
        <v>  Muthia Rima Putri</v>
      </c>
      <c r="D17" s="125">
        <f>IF(Ujian!D24="","",IF(LEFT(Ujian!D24,1)=SEKOR!D$2,1,0))</f>
        <v>0</v>
      </c>
      <c r="E17" s="125">
        <f>IF(Ujian!E24="","",IF(LEFT(Ujian!E24,1)=SEKOR!E$2,1,0))</f>
        <v>1</v>
      </c>
      <c r="F17" s="125">
        <f>IF(Ujian!F24="","",IF(LEFT(Ujian!F24,1)=SEKOR!F$2,1,0))</f>
        <v>1</v>
      </c>
      <c r="G17" s="125">
        <f>IF(Ujian!G24="","",IF(LEFT(Ujian!G24,1)=SEKOR!G$2,1,0))</f>
        <v>1</v>
      </c>
      <c r="H17" s="125">
        <f>IF(Ujian!H24="","",IF(LEFT(Ujian!H24,1)=SEKOR!H$2,1,0))</f>
        <v>0</v>
      </c>
      <c r="I17" s="125">
        <f>IF(Ujian!I24="","",IF(LEFT(Ujian!I24,1)=SEKOR!I$2,1,0))</f>
        <v>1</v>
      </c>
      <c r="J17" s="125">
        <f>IF(Ujian!J24="","",IF(LEFT(Ujian!J24,1)=SEKOR!J$2,1,0))</f>
        <v>1</v>
      </c>
      <c r="K17" s="125">
        <f>IF(Ujian!K24="","",IF(LEFT(Ujian!K24,1)=SEKOR!K$2,1,0))</f>
        <v>0</v>
      </c>
      <c r="L17" s="125">
        <f>IF(Ujian!L24="","",IF(LEFT(Ujian!L24,1)=SEKOR!L$2,1,0))</f>
        <v>0</v>
      </c>
      <c r="M17" s="125" t="str">
        <f>IF(Ujian!M24="","",IF(LEFT(Ujian!M24,1)=SEKOR!M$2,1,0))</f>
        <v/>
      </c>
      <c r="N17" s="125">
        <f>IF(Ujian!N24="","",IF(LEFT(Ujian!N24,1)=SEKOR!N$2,1,0))</f>
        <v>1</v>
      </c>
      <c r="O17" s="125">
        <f>IF(Ujian!O24="","",IF(LEFT(Ujian!O24,1)=SEKOR!O$2,1,0))</f>
        <v>0</v>
      </c>
      <c r="P17" s="125">
        <f>IF(Ujian!P24="","",IF(LEFT(Ujian!P24,1)=SEKOR!P$2,1,0))</f>
        <v>0</v>
      </c>
      <c r="Q17" s="125">
        <f>IF(Ujian!Q24="","",IF(LEFT(Ujian!Q24,1)=SEKOR!Q$2,1,0))</f>
        <v>1</v>
      </c>
      <c r="R17" s="125">
        <f>IF(Ujian!R24="","",IF(LEFT(Ujian!R24,1)=SEKOR!R$2,1,0))</f>
        <v>0</v>
      </c>
      <c r="S17" s="125" t="str">
        <f>IF(Ujian!S24="","",IF(LEFT(Ujian!S24,1)=SEKOR!S$2,1,0))</f>
        <v/>
      </c>
      <c r="T17" s="125">
        <f>IF(Ujian!T24="","",IF(LEFT(Ujian!T24,1)=SEKOR!T$2,1,0))</f>
        <v>1</v>
      </c>
      <c r="U17" s="125">
        <f>IF(Ujian!U24="","",IF(LEFT(Ujian!U24,1)=SEKOR!U$2,1,0))</f>
        <v>1</v>
      </c>
      <c r="V17" s="125">
        <f>IF(Ujian!V24="","",IF(LEFT(Ujian!V24,1)=SEKOR!V$2,1,0))</f>
        <v>1</v>
      </c>
      <c r="W17" s="125">
        <f>IF(Ujian!W24="","",IF(LEFT(Ujian!W24,1)=SEKOR!W$2,1,0))</f>
        <v>1</v>
      </c>
      <c r="X17" s="125">
        <f>IF(Ujian!X24="","",IF(LEFT(Ujian!X24,1)=SEKOR!X$2,1,0))</f>
        <v>0</v>
      </c>
      <c r="Y17" s="125">
        <f>IF(Ujian!Y24="","",IF(LEFT(Ujian!Y24,1)=SEKOR!Y$2,1,0))</f>
        <v>1</v>
      </c>
      <c r="Z17" s="125">
        <f>IF(Ujian!Z24="","",IF(LEFT(Ujian!Z24,1)=SEKOR!Z$2,1,0))</f>
        <v>1</v>
      </c>
      <c r="AA17" s="125" t="str">
        <f>IF(Ujian!AA24="","",IF(LEFT(Ujian!AA24,1)=SEKOR!AA$2,1,0))</f>
        <v/>
      </c>
      <c r="AB17" s="125">
        <f>IF(Ujian!AB24="","",IF(LEFT(Ujian!AB24,1)=SEKOR!AB$2,1,0))</f>
        <v>0</v>
      </c>
      <c r="AC17" s="125">
        <f>IF(Ujian!AC24="","",IF(LEFT(Ujian!AC24,1)=SEKOR!AC$2,1,0))</f>
        <v>1</v>
      </c>
      <c r="AD17" s="125">
        <f>IF(Ujian!AD24="","",IF(LEFT(Ujian!AD24,1)=SEKOR!AD$2,1,0))</f>
        <v>1</v>
      </c>
      <c r="AE17" s="125">
        <f>IF(Ujian!AE24="","",IF(LEFT(Ujian!AE24,1)=SEKOR!AE$2,1,0))</f>
        <v>1</v>
      </c>
      <c r="AF17" s="125">
        <f>IF(Ujian!AF24="","",IF(LEFT(Ujian!AF24,1)=SEKOR!AF$2,1,0))</f>
        <v>1</v>
      </c>
      <c r="AG17" s="125">
        <f>IF(Ujian!AG24="","",IF(LEFT(Ujian!AG24,1)=SEKOR!AG$2,1,0))</f>
        <v>1</v>
      </c>
      <c r="AH17" s="125">
        <f>IF(Ujian!AH24="","",IF(LEFT(Ujian!AH24,1)=SEKOR!AH$2,1,0))</f>
        <v>1</v>
      </c>
      <c r="AI17" s="125">
        <f>IF(Ujian!AI24="","",IF(LEFT(Ujian!AI24,1)=SEKOR!AI$2,1,0))</f>
        <v>1</v>
      </c>
      <c r="AJ17" s="125" t="str">
        <f>IF(Ujian!AJ24="","",IF(LEFT(Ujian!AJ24,1)=SEKOR!AJ$2,1,0))</f>
        <v/>
      </c>
      <c r="AK17" s="125">
        <f>IF(Ujian!AK24="","",IF(LEFT(Ujian!AK24,1)=SEKOR!AK$2,1,0))</f>
        <v>1</v>
      </c>
      <c r="AL17" s="125">
        <f>IF(Ujian!AL24="","",IF(LEFT(Ujian!AL24,1)=SEKOR!AL$2,1,0))</f>
        <v>1</v>
      </c>
      <c r="AM17" s="125">
        <f>IF(Ujian!AM24="","",IF(LEFT(Ujian!AM24,1)=SEKOR!AM$2,1,0))</f>
        <v>1</v>
      </c>
      <c r="AN17" s="125">
        <f>IF(Ujian!AN24="","",IF(LEFT(Ujian!AN24,1)=SEKOR!AN$2,1,0))</f>
        <v>1</v>
      </c>
      <c r="AO17" s="125" t="str">
        <f>IF(Ujian!AO24="","",IF(LEFT(Ujian!AO24,1)=SEKOR!AO$2,1,0))</f>
        <v/>
      </c>
      <c r="AP17" s="125">
        <f>IF(Ujian!AP24="","",IF(LEFT(Ujian!AP24,1)=SEKOR!AP$2,1,0))</f>
        <v>1</v>
      </c>
      <c r="AQ17" s="125">
        <f>IF(Ujian!AQ24="","",IF(LEFT(Ujian!AQ24,1)=SEKOR!AQ$2,1,0))</f>
        <v>0</v>
      </c>
      <c r="AR17" s="125">
        <f>IF(Ujian!AR24="","",IF(LEFT(Ujian!AR24,1)=SEKOR!AR$2,1,0))</f>
        <v>1</v>
      </c>
      <c r="AS17" s="125">
        <f>IF(Ujian!AS24="","",IF(LEFT(Ujian!AS24,1)=SEKOR!AS$2,1,0))</f>
        <v>0</v>
      </c>
      <c r="AT17" s="125">
        <f>IF(Ujian!AT24="","",IF(LEFT(Ujian!AT24,1)=SEKOR!AT$2,1,0))</f>
        <v>0</v>
      </c>
      <c r="AU17" s="125">
        <f>IF(Ujian!AU24="","",IF(LEFT(Ujian!AU24,1)=SEKOR!AU$2,1,0))</f>
        <v>0</v>
      </c>
      <c r="AV17" s="125">
        <f>IF(Ujian!AV24="","",IF(LEFT(Ujian!AV24,1)=SEKOR!AV$2,1,0))</f>
        <v>0</v>
      </c>
      <c r="AW17" s="125" t="str">
        <f>IF(Ujian!AW24="","",IF(LEFT(Ujian!AW24,1)=SEKOR!AW$2,1,0))</f>
        <v/>
      </c>
      <c r="AX17" s="125" t="str">
        <f>IF(Ujian!AX24="","",IF(LEFT(Ujian!AX24,1)=SEKOR!AX$2,1,0))</f>
        <v/>
      </c>
      <c r="AY17" s="125" t="str">
        <f>IF(Ujian!AY24="","",IF(LEFT(Ujian!AY24,1)=SEKOR!AY$2,1,0))</f>
        <v/>
      </c>
      <c r="AZ17" s="125" t="str">
        <f>IF(Ujian!AZ24="","",IF(LEFT(Ujian!AZ24,1)=SEKOR!AZ$2,1,0))</f>
        <v/>
      </c>
      <c r="BA17" s="125" t="str">
        <f>IF(Ujian!BA24="","",IF(LEFT(Ujian!BA24,1)=SEKOR!BA$2,1,0))</f>
        <v/>
      </c>
      <c r="BB17" s="125" t="str">
        <f>IF(Ujian!BB24="","",IF(LEFT(Ujian!BB24,1)=SEKOR!BB$2,1,0))</f>
        <v/>
      </c>
      <c r="BC17" s="125" t="str">
        <f>IF(Ujian!BC24="","",IF(LEFT(Ujian!BC24,1)=SEKOR!BC$2,1,0))</f>
        <v/>
      </c>
      <c r="BD17" s="125" t="str">
        <f>IF(Ujian!BD24="","",IF(LEFT(Ujian!BD24,1)=SEKOR!BD$2,1,0))</f>
        <v/>
      </c>
      <c r="BE17" s="125" t="str">
        <f>IF(Ujian!BE24="","",IF(LEFT(Ujian!BE24,1)=SEKOR!BE$2,1,0))</f>
        <v/>
      </c>
      <c r="BF17" s="125" t="str">
        <f>IF(Ujian!BF24="","",IF(LEFT(Ujian!BF24,1)=SEKOR!BF$2,1,0))</f>
        <v/>
      </c>
      <c r="BG17" s="125" t="str">
        <f>IF(Ujian!BG24="","",IF(LEFT(Ujian!BG24,1)=SEKOR!BG$2,1,0))</f>
        <v/>
      </c>
      <c r="BH17" s="125" t="str">
        <f>IF(Ujian!BH24="","",IF(LEFT(Ujian!BH24,1)=SEKOR!BH$2,1,0))</f>
        <v/>
      </c>
      <c r="BI17" s="125" t="str">
        <f>IF(Ujian!BI24="","",IF(LEFT(Ujian!BI24,1)=SEKOR!BI$2,1,0))</f>
        <v/>
      </c>
      <c r="BJ17" s="125" t="str">
        <f>IF(Ujian!BJ24="","",IF(LEFT(Ujian!BJ24,1)=SEKOR!BJ$2,1,0))</f>
        <v/>
      </c>
      <c r="BK17" s="125" t="str">
        <f>IF(Ujian!BK24="","",IF(LEFT(Ujian!BK24,1)=SEKOR!BK$2,1,0))</f>
        <v/>
      </c>
      <c r="BL17" s="18">
        <f t="shared" si="0"/>
        <v>40</v>
      </c>
      <c r="BM17" s="18">
        <f>COUNTIF($D17:$BK17,"")+DATA!$F$14-DATA!$F$12</f>
        <v>20</v>
      </c>
      <c r="BN17" s="17">
        <f>IF(COUNTIF($D17:$BK17,1)&gt;DATA!$F$14,DATA!$F$14,COUNTIF($D17:$BK17,1))</f>
        <v>26</v>
      </c>
      <c r="BO17" s="17">
        <f>IF((BN17+COUNTIF($D17:$BK17,0))&lt;=DATA!$F$14,COUNTIF($D17:$BK17,0),DATA!$F$14-SEKOR!BN17)</f>
        <v>14</v>
      </c>
      <c r="BP17" s="4">
        <f>IF(BL17=0,"",BN17/DATA!$F$14*100)</f>
        <v>65</v>
      </c>
      <c r="BQ17" s="121">
        <f t="shared" si="1"/>
        <v>83.870967741935488</v>
      </c>
      <c r="BR17" s="2">
        <f>IF(Praktik!$E17=0,"",Praktik!$E17)</f>
        <v>90</v>
      </c>
      <c r="BS17" s="2">
        <f>IF(BR17="","",(BP17*DATAINFO!$O$4)+(SEKOR!BR17*DATAINFO!$O$5)/(DATAINFO!$O$4+DATAINFO!$O$5))</f>
        <v>95</v>
      </c>
      <c r="BT17" s="2">
        <f>IF(BL17=0,"",IF(DATA!$F$18="TIDAK",ROUNDUP((IF!$L$8*SEKOR!$BP17)+IF!$L$9,0),IF($BR17="","",ROUNDUP((IF!$L$20*$BS17)+IF!$L$21,0))))</f>
        <v>82</v>
      </c>
      <c r="BU17" s="47">
        <f>IF(BP17="","",IF(SEKOR!BP17&gt;=DATA!$J$12,1,0))</f>
        <v>0</v>
      </c>
      <c r="BV17" s="47">
        <f>IF(BQ17="","",IF(SEKOR!BQ17&gt;=DATA!$J$12,1,0))</f>
        <v>1</v>
      </c>
      <c r="BW17" s="47">
        <f>IF(BR17="","",IF(SEKOR!BR17&gt;=DATA!$J$12,1,0))</f>
        <v>1</v>
      </c>
      <c r="BX17" s="47">
        <f>IF(BT17="","",IF(DATA!$J$14="",IF(SEKOR!BT17&gt;=DATA!$J$12,1,0),IF(SEKOR!BT17&gt;=DATA!$J$14,1,0)))</f>
        <v>1</v>
      </c>
    </row>
    <row r="18" spans="1:76" x14ac:dyDescent="0.25">
      <c r="A18" s="20" t="s">
        <v>45</v>
      </c>
      <c r="B18" s="21" t="str">
        <f>IF(Ujian!B25="","",Ujian!B25)</f>
        <v>  234680</v>
      </c>
      <c r="C18" s="57" t="str">
        <f>IF(Ujian!C25="","",Ujian!C25)</f>
        <v>  Nanda Mujlina Putri</v>
      </c>
      <c r="D18" s="125">
        <f>IF(Ujian!D25="","",IF(LEFT(Ujian!D25,1)=SEKOR!D$2,1,0))</f>
        <v>0</v>
      </c>
      <c r="E18" s="125">
        <f>IF(Ujian!E25="","",IF(LEFT(Ujian!E25,1)=SEKOR!E$2,1,0))</f>
        <v>1</v>
      </c>
      <c r="F18" s="125">
        <f>IF(Ujian!F25="","",IF(LEFT(Ujian!F25,1)=SEKOR!F$2,1,0))</f>
        <v>1</v>
      </c>
      <c r="G18" s="125" t="str">
        <f>IF(Ujian!G25="","",IF(LEFT(Ujian!G25,1)=SEKOR!G$2,1,0))</f>
        <v/>
      </c>
      <c r="H18" s="125">
        <f>IF(Ujian!H25="","",IF(LEFT(Ujian!H25,1)=SEKOR!H$2,1,0))</f>
        <v>0</v>
      </c>
      <c r="I18" s="125">
        <f>IF(Ujian!I25="","",IF(LEFT(Ujian!I25,1)=SEKOR!I$2,1,0))</f>
        <v>1</v>
      </c>
      <c r="J18" s="125">
        <f>IF(Ujian!J25="","",IF(LEFT(Ujian!J25,1)=SEKOR!J$2,1,0))</f>
        <v>1</v>
      </c>
      <c r="K18" s="125">
        <f>IF(Ujian!K25="","",IF(LEFT(Ujian!K25,1)=SEKOR!K$2,1,0))</f>
        <v>0</v>
      </c>
      <c r="L18" s="125">
        <f>IF(Ujian!L25="","",IF(LEFT(Ujian!L25,1)=SEKOR!L$2,1,0))</f>
        <v>1</v>
      </c>
      <c r="M18" s="125">
        <f>IF(Ujian!M25="","",IF(LEFT(Ujian!M25,1)=SEKOR!M$2,1,0))</f>
        <v>1</v>
      </c>
      <c r="N18" s="125">
        <f>IF(Ujian!N25="","",IF(LEFT(Ujian!N25,1)=SEKOR!N$2,1,0))</f>
        <v>0</v>
      </c>
      <c r="O18" s="125">
        <f>IF(Ujian!O25="","",IF(LEFT(Ujian!O25,1)=SEKOR!O$2,1,0))</f>
        <v>1</v>
      </c>
      <c r="P18" s="125">
        <f>IF(Ujian!P25="","",IF(LEFT(Ujian!P25,1)=SEKOR!P$2,1,0))</f>
        <v>0</v>
      </c>
      <c r="Q18" s="125">
        <f>IF(Ujian!Q25="","",IF(LEFT(Ujian!Q25,1)=SEKOR!Q$2,1,0))</f>
        <v>1</v>
      </c>
      <c r="R18" s="125">
        <f>IF(Ujian!R25="","",IF(LEFT(Ujian!R25,1)=SEKOR!R$2,1,0))</f>
        <v>0</v>
      </c>
      <c r="S18" s="125">
        <f>IF(Ujian!S25="","",IF(LEFT(Ujian!S25,1)=SEKOR!S$2,1,0))</f>
        <v>1</v>
      </c>
      <c r="T18" s="125">
        <f>IF(Ujian!T25="","",IF(LEFT(Ujian!T25,1)=SEKOR!T$2,1,0))</f>
        <v>1</v>
      </c>
      <c r="U18" s="125" t="str">
        <f>IF(Ujian!U25="","",IF(LEFT(Ujian!U25,1)=SEKOR!U$2,1,0))</f>
        <v/>
      </c>
      <c r="V18" s="125">
        <f>IF(Ujian!V25="","",IF(LEFT(Ujian!V25,1)=SEKOR!V$2,1,0))</f>
        <v>1</v>
      </c>
      <c r="W18" s="125">
        <f>IF(Ujian!W25="","",IF(LEFT(Ujian!W25,1)=SEKOR!W$2,1,0))</f>
        <v>0</v>
      </c>
      <c r="X18" s="125">
        <f>IF(Ujian!X25="","",IF(LEFT(Ujian!X25,1)=SEKOR!X$2,1,0))</f>
        <v>0</v>
      </c>
      <c r="Y18" s="125">
        <f>IF(Ujian!Y25="","",IF(LEFT(Ujian!Y25,1)=SEKOR!Y$2,1,0))</f>
        <v>1</v>
      </c>
      <c r="Z18" s="125">
        <f>IF(Ujian!Z25="","",IF(LEFT(Ujian!Z25,1)=SEKOR!Z$2,1,0))</f>
        <v>0</v>
      </c>
      <c r="AA18" s="125">
        <f>IF(Ujian!AA25="","",IF(LEFT(Ujian!AA25,1)=SEKOR!AA$2,1,0))</f>
        <v>0</v>
      </c>
      <c r="AB18" s="125">
        <f>IF(Ujian!AB25="","",IF(LEFT(Ujian!AB25,1)=SEKOR!AB$2,1,0))</f>
        <v>0</v>
      </c>
      <c r="AC18" s="125">
        <f>IF(Ujian!AC25="","",IF(LEFT(Ujian!AC25,1)=SEKOR!AC$2,1,0))</f>
        <v>1</v>
      </c>
      <c r="AD18" s="125">
        <f>IF(Ujian!AD25="","",IF(LEFT(Ujian!AD25,1)=SEKOR!AD$2,1,0))</f>
        <v>1</v>
      </c>
      <c r="AE18" s="125">
        <f>IF(Ujian!AE25="","",IF(LEFT(Ujian!AE25,1)=SEKOR!AE$2,1,0))</f>
        <v>1</v>
      </c>
      <c r="AF18" s="125">
        <f>IF(Ujian!AF25="","",IF(LEFT(Ujian!AF25,1)=SEKOR!AF$2,1,0))</f>
        <v>0</v>
      </c>
      <c r="AG18" s="125">
        <f>IF(Ujian!AG25="","",IF(LEFT(Ujian!AG25,1)=SEKOR!AG$2,1,0))</f>
        <v>0</v>
      </c>
      <c r="AH18" s="125">
        <f>IF(Ujian!AH25="","",IF(LEFT(Ujian!AH25,1)=SEKOR!AH$2,1,0))</f>
        <v>1</v>
      </c>
      <c r="AI18" s="125">
        <f>IF(Ujian!AI25="","",IF(LEFT(Ujian!AI25,1)=SEKOR!AI$2,1,0))</f>
        <v>0</v>
      </c>
      <c r="AJ18" s="125">
        <f>IF(Ujian!AJ25="","",IF(LEFT(Ujian!AJ25,1)=SEKOR!AJ$2,1,0))</f>
        <v>1</v>
      </c>
      <c r="AK18" s="125">
        <f>IF(Ujian!AK25="","",IF(LEFT(Ujian!AK25,1)=SEKOR!AK$2,1,0))</f>
        <v>0</v>
      </c>
      <c r="AL18" s="125">
        <f>IF(Ujian!AL25="","",IF(LEFT(Ujian!AL25,1)=SEKOR!AL$2,1,0))</f>
        <v>0</v>
      </c>
      <c r="AM18" s="125">
        <f>IF(Ujian!AM25="","",IF(LEFT(Ujian!AM25,1)=SEKOR!AM$2,1,0))</f>
        <v>0</v>
      </c>
      <c r="AN18" s="125">
        <f>IF(Ujian!AN25="","",IF(LEFT(Ujian!AN25,1)=SEKOR!AN$2,1,0))</f>
        <v>0</v>
      </c>
      <c r="AO18" s="125">
        <f>IF(Ujian!AO25="","",IF(LEFT(Ujian!AO25,1)=SEKOR!AO$2,1,0))</f>
        <v>1</v>
      </c>
      <c r="AP18" s="125">
        <f>IF(Ujian!AP25="","",IF(LEFT(Ujian!AP25,1)=SEKOR!AP$2,1,0))</f>
        <v>1</v>
      </c>
      <c r="AQ18" s="125">
        <f>IF(Ujian!AQ25="","",IF(LEFT(Ujian!AQ25,1)=SEKOR!AQ$2,1,0))</f>
        <v>1</v>
      </c>
      <c r="AR18" s="125">
        <f>IF(Ujian!AR25="","",IF(LEFT(Ujian!AR25,1)=SEKOR!AR$2,1,0))</f>
        <v>1</v>
      </c>
      <c r="AS18" s="125">
        <f>IF(Ujian!AS25="","",IF(LEFT(Ujian!AS25,1)=SEKOR!AS$2,1,0))</f>
        <v>0</v>
      </c>
      <c r="AT18" s="125">
        <f>IF(Ujian!AT25="","",IF(LEFT(Ujian!AT25,1)=SEKOR!AT$2,1,0))</f>
        <v>1</v>
      </c>
      <c r="AU18" s="125">
        <f>IF(Ujian!AU25="","",IF(LEFT(Ujian!AU25,1)=SEKOR!AU$2,1,0))</f>
        <v>1</v>
      </c>
      <c r="AV18" s="125">
        <f>IF(Ujian!AV25="","",IF(LEFT(Ujian!AV25,1)=SEKOR!AV$2,1,0))</f>
        <v>0</v>
      </c>
      <c r="AW18" s="125" t="str">
        <f>IF(Ujian!AW25="","",IF(LEFT(Ujian!AW25,1)=SEKOR!AW$2,1,0))</f>
        <v/>
      </c>
      <c r="AX18" s="125" t="str">
        <f>IF(Ujian!AX25="","",IF(LEFT(Ujian!AX25,1)=SEKOR!AX$2,1,0))</f>
        <v/>
      </c>
      <c r="AY18" s="125" t="str">
        <f>IF(Ujian!AY25="","",IF(LEFT(Ujian!AY25,1)=SEKOR!AY$2,1,0))</f>
        <v/>
      </c>
      <c r="AZ18" s="125" t="str">
        <f>IF(Ujian!AZ25="","",IF(LEFT(Ujian!AZ25,1)=SEKOR!AZ$2,1,0))</f>
        <v/>
      </c>
      <c r="BA18" s="125" t="str">
        <f>IF(Ujian!BA25="","",IF(LEFT(Ujian!BA25,1)=SEKOR!BA$2,1,0))</f>
        <v/>
      </c>
      <c r="BB18" s="125" t="str">
        <f>IF(Ujian!BB25="","",IF(LEFT(Ujian!BB25,1)=SEKOR!BB$2,1,0))</f>
        <v/>
      </c>
      <c r="BC18" s="125" t="str">
        <f>IF(Ujian!BC25="","",IF(LEFT(Ujian!BC25,1)=SEKOR!BC$2,1,0))</f>
        <v/>
      </c>
      <c r="BD18" s="125" t="str">
        <f>IF(Ujian!BD25="","",IF(LEFT(Ujian!BD25,1)=SEKOR!BD$2,1,0))</f>
        <v/>
      </c>
      <c r="BE18" s="125" t="str">
        <f>IF(Ujian!BE25="","",IF(LEFT(Ujian!BE25,1)=SEKOR!BE$2,1,0))</f>
        <v/>
      </c>
      <c r="BF18" s="125" t="str">
        <f>IF(Ujian!BF25="","",IF(LEFT(Ujian!BF25,1)=SEKOR!BF$2,1,0))</f>
        <v/>
      </c>
      <c r="BG18" s="125" t="str">
        <f>IF(Ujian!BG25="","",IF(LEFT(Ujian!BG25,1)=SEKOR!BG$2,1,0))</f>
        <v/>
      </c>
      <c r="BH18" s="125" t="str">
        <f>IF(Ujian!BH25="","",IF(LEFT(Ujian!BH25,1)=SEKOR!BH$2,1,0))</f>
        <v/>
      </c>
      <c r="BI18" s="125" t="str">
        <f>IF(Ujian!BI25="","",IF(LEFT(Ujian!BI25,1)=SEKOR!BI$2,1,0))</f>
        <v/>
      </c>
      <c r="BJ18" s="125" t="str">
        <f>IF(Ujian!BJ25="","",IF(LEFT(Ujian!BJ25,1)=SEKOR!BJ$2,1,0))</f>
        <v/>
      </c>
      <c r="BK18" s="125" t="str">
        <f>IF(Ujian!BK25="","",IF(LEFT(Ujian!BK25,1)=SEKOR!BK$2,1,0))</f>
        <v/>
      </c>
      <c r="BL18" s="18">
        <f t="shared" si="0"/>
        <v>43</v>
      </c>
      <c r="BM18" s="18">
        <f>COUNTIF($D18:$BK18,"")+DATA!$F$14-DATA!$F$12</f>
        <v>17</v>
      </c>
      <c r="BN18" s="17">
        <f>IF(COUNTIF($D18:$BK18,1)&gt;DATA!$F$14,DATA!$F$14,COUNTIF($D18:$BK18,1))</f>
        <v>23</v>
      </c>
      <c r="BO18" s="17">
        <f>IF((BN18+COUNTIF($D18:$BK18,0))&lt;=DATA!$F$14,COUNTIF($D18:$BK18,0),DATA!$F$14-SEKOR!BN18)</f>
        <v>17</v>
      </c>
      <c r="BP18" s="4">
        <f>IF(BL18=0,"",BN18/DATA!$F$14*100)</f>
        <v>57.499999999999993</v>
      </c>
      <c r="BQ18" s="121">
        <f t="shared" si="1"/>
        <v>74.193548387096769</v>
      </c>
      <c r="BR18" s="2">
        <f>IF(Praktik!$E18=0,"",Praktik!$E18)</f>
        <v>90</v>
      </c>
      <c r="BS18" s="2">
        <f>IF(BR18="","",(BP18*DATAINFO!$O$4)+(SEKOR!BR18*DATAINFO!$O$5)/(DATAINFO!$O$4+DATAINFO!$O$5))</f>
        <v>87.5</v>
      </c>
      <c r="BT18" s="2">
        <f>IF(BL18=0,"",IF(DATA!$F$18="TIDAK",ROUNDUP((IF!$L$8*SEKOR!$BP18)+IF!$L$9,0),IF($BR18="","",ROUNDUP((IF!$L$20*$BS18)+IF!$L$21,0))))</f>
        <v>77</v>
      </c>
      <c r="BU18" s="47">
        <f>IF(BP18="","",IF(SEKOR!BP18&gt;=DATA!$J$12,1,0))</f>
        <v>0</v>
      </c>
      <c r="BV18" s="47">
        <f>IF(BQ18="","",IF(SEKOR!BQ18&gt;=DATA!$J$12,1,0))</f>
        <v>1</v>
      </c>
      <c r="BW18" s="47">
        <f>IF(BR18="","",IF(SEKOR!BR18&gt;=DATA!$J$12,1,0))</f>
        <v>1</v>
      </c>
      <c r="BX18" s="47">
        <f>IF(BT18="","",IF(DATA!$J$14="",IF(SEKOR!BT18&gt;=DATA!$J$12,1,0),IF(SEKOR!BT18&gt;=DATA!$J$14,1,0)))</f>
        <v>1</v>
      </c>
    </row>
    <row r="19" spans="1:76" x14ac:dyDescent="0.25">
      <c r="A19" s="20" t="s">
        <v>46</v>
      </c>
      <c r="B19" s="21" t="str">
        <f>IF(Ujian!B26="","",Ujian!B26)</f>
        <v>  234685</v>
      </c>
      <c r="C19" s="57" t="str">
        <f>IF(Ujian!C26="","",Ujian!C26)</f>
        <v>  Noor Andini</v>
      </c>
      <c r="D19" s="125" t="str">
        <f>IF(Ujian!D26="","",IF(LEFT(Ujian!D26,1)=SEKOR!D$2,1,0))</f>
        <v/>
      </c>
      <c r="E19" s="125">
        <f>IF(Ujian!E26="","",IF(LEFT(Ujian!E26,1)=SEKOR!E$2,1,0))</f>
        <v>1</v>
      </c>
      <c r="F19" s="125">
        <f>IF(Ujian!F26="","",IF(LEFT(Ujian!F26,1)=SEKOR!F$2,1,0))</f>
        <v>0</v>
      </c>
      <c r="G19" s="125">
        <f>IF(Ujian!G26="","",IF(LEFT(Ujian!G26,1)=SEKOR!G$2,1,0))</f>
        <v>0</v>
      </c>
      <c r="H19" s="125">
        <f>IF(Ujian!H26="","",IF(LEFT(Ujian!H26,1)=SEKOR!H$2,1,0))</f>
        <v>0</v>
      </c>
      <c r="I19" s="125">
        <f>IF(Ujian!I26="","",IF(LEFT(Ujian!I26,1)=SEKOR!I$2,1,0))</f>
        <v>0</v>
      </c>
      <c r="J19" s="125">
        <f>IF(Ujian!J26="","",IF(LEFT(Ujian!J26,1)=SEKOR!J$2,1,0))</f>
        <v>1</v>
      </c>
      <c r="K19" s="125">
        <f>IF(Ujian!K26="","",IF(LEFT(Ujian!K26,1)=SEKOR!K$2,1,0))</f>
        <v>0</v>
      </c>
      <c r="L19" s="125">
        <f>IF(Ujian!L26="","",IF(LEFT(Ujian!L26,1)=SEKOR!L$2,1,0))</f>
        <v>0</v>
      </c>
      <c r="M19" s="125">
        <f>IF(Ujian!M26="","",IF(LEFT(Ujian!M26,1)=SEKOR!M$2,1,0))</f>
        <v>1</v>
      </c>
      <c r="N19" s="125">
        <f>IF(Ujian!N26="","",IF(LEFT(Ujian!N26,1)=SEKOR!N$2,1,0))</f>
        <v>0</v>
      </c>
      <c r="O19" s="125" t="str">
        <f>IF(Ujian!O26="","",IF(LEFT(Ujian!O26,1)=SEKOR!O$2,1,0))</f>
        <v/>
      </c>
      <c r="P19" s="125">
        <f>IF(Ujian!P26="","",IF(LEFT(Ujian!P26,1)=SEKOR!P$2,1,0))</f>
        <v>0</v>
      </c>
      <c r="Q19" s="125">
        <f>IF(Ujian!Q26="","",IF(LEFT(Ujian!Q26,1)=SEKOR!Q$2,1,0))</f>
        <v>1</v>
      </c>
      <c r="R19" s="125">
        <f>IF(Ujian!R26="","",IF(LEFT(Ujian!R26,1)=SEKOR!R$2,1,0))</f>
        <v>0</v>
      </c>
      <c r="S19" s="125">
        <f>IF(Ujian!S26="","",IF(LEFT(Ujian!S26,1)=SEKOR!S$2,1,0))</f>
        <v>1</v>
      </c>
      <c r="T19" s="125">
        <f>IF(Ujian!T26="","",IF(LEFT(Ujian!T26,1)=SEKOR!T$2,1,0))</f>
        <v>1</v>
      </c>
      <c r="U19" s="125">
        <f>IF(Ujian!U26="","",IF(LEFT(Ujian!U26,1)=SEKOR!U$2,1,0))</f>
        <v>1</v>
      </c>
      <c r="V19" s="125">
        <f>IF(Ujian!V26="","",IF(LEFT(Ujian!V26,1)=SEKOR!V$2,1,0))</f>
        <v>1</v>
      </c>
      <c r="W19" s="125" t="str">
        <f>IF(Ujian!W26="","",IF(LEFT(Ujian!W26,1)=SEKOR!W$2,1,0))</f>
        <v/>
      </c>
      <c r="X19" s="125">
        <f>IF(Ujian!X26="","",IF(LEFT(Ujian!X26,1)=SEKOR!X$2,1,0))</f>
        <v>1</v>
      </c>
      <c r="Y19" s="125">
        <f>IF(Ujian!Y26="","",IF(LEFT(Ujian!Y26,1)=SEKOR!Y$2,1,0))</f>
        <v>1</v>
      </c>
      <c r="Z19" s="125">
        <f>IF(Ujian!Z26="","",IF(LEFT(Ujian!Z26,1)=SEKOR!Z$2,1,0))</f>
        <v>0</v>
      </c>
      <c r="AA19" s="125">
        <f>IF(Ujian!AA26="","",IF(LEFT(Ujian!AA26,1)=SEKOR!AA$2,1,0))</f>
        <v>0</v>
      </c>
      <c r="AB19" s="125">
        <f>IF(Ujian!AB26="","",IF(LEFT(Ujian!AB26,1)=SEKOR!AB$2,1,0))</f>
        <v>0</v>
      </c>
      <c r="AC19" s="125">
        <f>IF(Ujian!AC26="","",IF(LEFT(Ujian!AC26,1)=SEKOR!AC$2,1,0))</f>
        <v>1</v>
      </c>
      <c r="AD19" s="125">
        <f>IF(Ujian!AD26="","",IF(LEFT(Ujian!AD26,1)=SEKOR!AD$2,1,0))</f>
        <v>0</v>
      </c>
      <c r="AE19" s="125">
        <f>IF(Ujian!AE26="","",IF(LEFT(Ujian!AE26,1)=SEKOR!AE$2,1,0))</f>
        <v>1</v>
      </c>
      <c r="AF19" s="125" t="str">
        <f>IF(Ujian!AF26="","",IF(LEFT(Ujian!AF26,1)=SEKOR!AF$2,1,0))</f>
        <v/>
      </c>
      <c r="AG19" s="125">
        <f>IF(Ujian!AG26="","",IF(LEFT(Ujian!AG26,1)=SEKOR!AG$2,1,0))</f>
        <v>1</v>
      </c>
      <c r="AH19" s="125">
        <f>IF(Ujian!AH26="","",IF(LEFT(Ujian!AH26,1)=SEKOR!AH$2,1,0))</f>
        <v>0</v>
      </c>
      <c r="AI19" s="125">
        <f>IF(Ujian!AI26="","",IF(LEFT(Ujian!AI26,1)=SEKOR!AI$2,1,0))</f>
        <v>1</v>
      </c>
      <c r="AJ19" s="125">
        <f>IF(Ujian!AJ26="","",IF(LEFT(Ujian!AJ26,1)=SEKOR!AJ$2,1,0))</f>
        <v>0</v>
      </c>
      <c r="AK19" s="125" t="str">
        <f>IF(Ujian!AK26="","",IF(LEFT(Ujian!AK26,1)=SEKOR!AK$2,1,0))</f>
        <v/>
      </c>
      <c r="AL19" s="125">
        <f>IF(Ujian!AL26="","",IF(LEFT(Ujian!AL26,1)=SEKOR!AL$2,1,0))</f>
        <v>1</v>
      </c>
      <c r="AM19" s="125">
        <f>IF(Ujian!AM26="","",IF(LEFT(Ujian!AM26,1)=SEKOR!AM$2,1,0))</f>
        <v>0</v>
      </c>
      <c r="AN19" s="125">
        <f>IF(Ujian!AN26="","",IF(LEFT(Ujian!AN26,1)=SEKOR!AN$2,1,0))</f>
        <v>0</v>
      </c>
      <c r="AO19" s="125">
        <f>IF(Ujian!AO26="","",IF(LEFT(Ujian!AO26,1)=SEKOR!AO$2,1,0))</f>
        <v>0</v>
      </c>
      <c r="AP19" s="125">
        <f>IF(Ujian!AP26="","",IF(LEFT(Ujian!AP26,1)=SEKOR!AP$2,1,0))</f>
        <v>0</v>
      </c>
      <c r="AQ19" s="125">
        <f>IF(Ujian!AQ26="","",IF(LEFT(Ujian!AQ26,1)=SEKOR!AQ$2,1,0))</f>
        <v>0</v>
      </c>
      <c r="AR19" s="125">
        <f>IF(Ujian!AR26="","",IF(LEFT(Ujian!AR26,1)=SEKOR!AR$2,1,0))</f>
        <v>1</v>
      </c>
      <c r="AS19" s="125">
        <f>IF(Ujian!AS26="","",IF(LEFT(Ujian!AS26,1)=SEKOR!AS$2,1,0))</f>
        <v>1</v>
      </c>
      <c r="AT19" s="125">
        <f>IF(Ujian!AT26="","",IF(LEFT(Ujian!AT26,1)=SEKOR!AT$2,1,0))</f>
        <v>1</v>
      </c>
      <c r="AU19" s="125">
        <f>IF(Ujian!AU26="","",IF(LEFT(Ujian!AU26,1)=SEKOR!AU$2,1,0))</f>
        <v>0</v>
      </c>
      <c r="AV19" s="125">
        <f>IF(Ujian!AV26="","",IF(LEFT(Ujian!AV26,1)=SEKOR!AV$2,1,0))</f>
        <v>1</v>
      </c>
      <c r="AW19" s="125" t="str">
        <f>IF(Ujian!AW26="","",IF(LEFT(Ujian!AW26,1)=SEKOR!AW$2,1,0))</f>
        <v/>
      </c>
      <c r="AX19" s="125" t="str">
        <f>IF(Ujian!AX26="","",IF(LEFT(Ujian!AX26,1)=SEKOR!AX$2,1,0))</f>
        <v/>
      </c>
      <c r="AY19" s="125" t="str">
        <f>IF(Ujian!AY26="","",IF(LEFT(Ujian!AY26,1)=SEKOR!AY$2,1,0))</f>
        <v/>
      </c>
      <c r="AZ19" s="125" t="str">
        <f>IF(Ujian!AZ26="","",IF(LEFT(Ujian!AZ26,1)=SEKOR!AZ$2,1,0))</f>
        <v/>
      </c>
      <c r="BA19" s="125" t="str">
        <f>IF(Ujian!BA26="","",IF(LEFT(Ujian!BA26,1)=SEKOR!BA$2,1,0))</f>
        <v/>
      </c>
      <c r="BB19" s="125" t="str">
        <f>IF(Ujian!BB26="","",IF(LEFT(Ujian!BB26,1)=SEKOR!BB$2,1,0))</f>
        <v/>
      </c>
      <c r="BC19" s="125" t="str">
        <f>IF(Ujian!BC26="","",IF(LEFT(Ujian!BC26,1)=SEKOR!BC$2,1,0))</f>
        <v/>
      </c>
      <c r="BD19" s="125" t="str">
        <f>IF(Ujian!BD26="","",IF(LEFT(Ujian!BD26,1)=SEKOR!BD$2,1,0))</f>
        <v/>
      </c>
      <c r="BE19" s="125" t="str">
        <f>IF(Ujian!BE26="","",IF(LEFT(Ujian!BE26,1)=SEKOR!BE$2,1,0))</f>
        <v/>
      </c>
      <c r="BF19" s="125" t="str">
        <f>IF(Ujian!BF26="","",IF(LEFT(Ujian!BF26,1)=SEKOR!BF$2,1,0))</f>
        <v/>
      </c>
      <c r="BG19" s="125" t="str">
        <f>IF(Ujian!BG26="","",IF(LEFT(Ujian!BG26,1)=SEKOR!BG$2,1,0))</f>
        <v/>
      </c>
      <c r="BH19" s="125" t="str">
        <f>IF(Ujian!BH26="","",IF(LEFT(Ujian!BH26,1)=SEKOR!BH$2,1,0))</f>
        <v/>
      </c>
      <c r="BI19" s="125" t="str">
        <f>IF(Ujian!BI26="","",IF(LEFT(Ujian!BI26,1)=SEKOR!BI$2,1,0))</f>
        <v/>
      </c>
      <c r="BJ19" s="125" t="str">
        <f>IF(Ujian!BJ26="","",IF(LEFT(Ujian!BJ26,1)=SEKOR!BJ$2,1,0))</f>
        <v/>
      </c>
      <c r="BK19" s="125" t="str">
        <f>IF(Ujian!BK26="","",IF(LEFT(Ujian!BK26,1)=SEKOR!BK$2,1,0))</f>
        <v/>
      </c>
      <c r="BL19" s="18">
        <f t="shared" si="0"/>
        <v>40</v>
      </c>
      <c r="BM19" s="18">
        <f>COUNTIF($D19:$BK19,"")+DATA!$F$14-DATA!$F$12</f>
        <v>20</v>
      </c>
      <c r="BN19" s="17">
        <f>IF(COUNTIF($D19:$BK19,1)&gt;DATA!$F$14,DATA!$F$14,COUNTIF($D19:$BK19,1))</f>
        <v>19</v>
      </c>
      <c r="BO19" s="17">
        <f>IF((BN19+COUNTIF($D19:$BK19,0))&lt;=DATA!$F$14,COUNTIF($D19:$BK19,0),DATA!$F$14-SEKOR!BN19)</f>
        <v>21</v>
      </c>
      <c r="BP19" s="4">
        <f>IF(BL19=0,"",BN19/DATA!$F$14*100)</f>
        <v>47.5</v>
      </c>
      <c r="BQ19" s="121">
        <f t="shared" si="1"/>
        <v>61.29032258064516</v>
      </c>
      <c r="BR19" s="2">
        <f>IF(Praktik!$E19=0,"",Praktik!$E19)</f>
        <v>90</v>
      </c>
      <c r="BS19" s="2">
        <f>IF(BR19="","",(BP19*DATAINFO!$O$4)+(SEKOR!BR19*DATAINFO!$O$5)/(DATAINFO!$O$4+DATAINFO!$O$5))</f>
        <v>77.5</v>
      </c>
      <c r="BT19" s="2">
        <f>IF(BL19=0,"",IF(DATA!$F$18="TIDAK",ROUNDUP((IF!$L$8*SEKOR!$BP19)+IF!$L$9,0),IF($BR19="","",ROUNDUP((IF!$L$20*$BS19)+IF!$L$21,0))))</f>
        <v>70</v>
      </c>
      <c r="BU19" s="47">
        <f>IF(BP19="","",IF(SEKOR!BP19&gt;=DATA!$J$12,1,0))</f>
        <v>0</v>
      </c>
      <c r="BV19" s="47">
        <f>IF(BQ19="","",IF(SEKOR!BQ19&gt;=DATA!$J$12,1,0))</f>
        <v>0</v>
      </c>
      <c r="BW19" s="47">
        <f>IF(BR19="","",IF(SEKOR!BR19&gt;=DATA!$J$12,1,0))</f>
        <v>1</v>
      </c>
      <c r="BX19" s="47">
        <f>IF(BT19="","",IF(DATA!$J$14="",IF(SEKOR!BT19&gt;=DATA!$J$12,1,0),IF(SEKOR!BT19&gt;=DATA!$J$14,1,0)))</f>
        <v>1</v>
      </c>
    </row>
    <row r="20" spans="1:76" x14ac:dyDescent="0.25">
      <c r="A20" s="20" t="s">
        <v>47</v>
      </c>
      <c r="B20" s="21" t="str">
        <f>IF(Ujian!B27="","",Ujian!B27)</f>
        <v>  234695</v>
      </c>
      <c r="C20" s="57" t="str">
        <f>IF(Ujian!C27="","",Ujian!C27)</f>
        <v>  Nurhayanti</v>
      </c>
      <c r="D20" s="125">
        <f>IF(Ujian!D27="","",IF(LEFT(Ujian!D27,1)=SEKOR!D$2,1,0))</f>
        <v>1</v>
      </c>
      <c r="E20" s="125">
        <f>IF(Ujian!E27="","",IF(LEFT(Ujian!E27,1)=SEKOR!E$2,1,0))</f>
        <v>1</v>
      </c>
      <c r="F20" s="125">
        <f>IF(Ujian!F27="","",IF(LEFT(Ujian!F27,1)=SEKOR!F$2,1,0))</f>
        <v>1</v>
      </c>
      <c r="G20" s="125">
        <f>IF(Ujian!G27="","",IF(LEFT(Ujian!G27,1)=SEKOR!G$2,1,0))</f>
        <v>1</v>
      </c>
      <c r="H20" s="125">
        <f>IF(Ujian!H27="","",IF(LEFT(Ujian!H27,1)=SEKOR!H$2,1,0))</f>
        <v>1</v>
      </c>
      <c r="I20" s="125">
        <f>IF(Ujian!I27="","",IF(LEFT(Ujian!I27,1)=SEKOR!I$2,1,0))</f>
        <v>1</v>
      </c>
      <c r="J20" s="125">
        <f>IF(Ujian!J27="","",IF(LEFT(Ujian!J27,1)=SEKOR!J$2,1,0))</f>
        <v>1</v>
      </c>
      <c r="K20" s="125">
        <f>IF(Ujian!K27="","",IF(LEFT(Ujian!K27,1)=SEKOR!K$2,1,0))</f>
        <v>0</v>
      </c>
      <c r="L20" s="125">
        <f>IF(Ujian!L27="","",IF(LEFT(Ujian!L27,1)=SEKOR!L$2,1,0))</f>
        <v>1</v>
      </c>
      <c r="M20" s="125">
        <f>IF(Ujian!M27="","",IF(LEFT(Ujian!M27,1)=SEKOR!M$2,1,0))</f>
        <v>1</v>
      </c>
      <c r="N20" s="125">
        <f>IF(Ujian!N27="","",IF(LEFT(Ujian!N27,1)=SEKOR!N$2,1,0))</f>
        <v>1</v>
      </c>
      <c r="O20" s="125">
        <f>IF(Ujian!O27="","",IF(LEFT(Ujian!O27,1)=SEKOR!O$2,1,0))</f>
        <v>1</v>
      </c>
      <c r="P20" s="125">
        <f>IF(Ujian!P27="","",IF(LEFT(Ujian!P27,1)=SEKOR!P$2,1,0))</f>
        <v>0</v>
      </c>
      <c r="Q20" s="125" t="str">
        <f>IF(Ujian!Q27="","",IF(LEFT(Ujian!Q27,1)=SEKOR!Q$2,1,0))</f>
        <v/>
      </c>
      <c r="R20" s="125">
        <f>IF(Ujian!R27="","",IF(LEFT(Ujian!R27,1)=SEKOR!R$2,1,0))</f>
        <v>0</v>
      </c>
      <c r="S20" s="125">
        <f>IF(Ujian!S27="","",IF(LEFT(Ujian!S27,1)=SEKOR!S$2,1,0))</f>
        <v>1</v>
      </c>
      <c r="T20" s="125">
        <f>IF(Ujian!T27="","",IF(LEFT(Ujian!T27,1)=SEKOR!T$2,1,0))</f>
        <v>1</v>
      </c>
      <c r="U20" s="125" t="str">
        <f>IF(Ujian!U27="","",IF(LEFT(Ujian!U27,1)=SEKOR!U$2,1,0))</f>
        <v/>
      </c>
      <c r="V20" s="125" t="str">
        <f>IF(Ujian!V27="","",IF(LEFT(Ujian!V27,1)=SEKOR!V$2,1,0))</f>
        <v/>
      </c>
      <c r="W20" s="125">
        <f>IF(Ujian!W27="","",IF(LEFT(Ujian!W27,1)=SEKOR!W$2,1,0))</f>
        <v>1</v>
      </c>
      <c r="X20" s="125">
        <f>IF(Ujian!X27="","",IF(LEFT(Ujian!X27,1)=SEKOR!X$2,1,0))</f>
        <v>1</v>
      </c>
      <c r="Y20" s="125">
        <f>IF(Ujian!Y27="","",IF(LEFT(Ujian!Y27,1)=SEKOR!Y$2,1,0))</f>
        <v>0</v>
      </c>
      <c r="Z20" s="125">
        <f>IF(Ujian!Z27="","",IF(LEFT(Ujian!Z27,1)=SEKOR!Z$2,1,0))</f>
        <v>1</v>
      </c>
      <c r="AA20" s="125">
        <f>IF(Ujian!AA27="","",IF(LEFT(Ujian!AA27,1)=SEKOR!AA$2,1,0))</f>
        <v>0</v>
      </c>
      <c r="AB20" s="125">
        <f>IF(Ujian!AB27="","",IF(LEFT(Ujian!AB27,1)=SEKOR!AB$2,1,0))</f>
        <v>0</v>
      </c>
      <c r="AC20" s="125">
        <f>IF(Ujian!AC27="","",IF(LEFT(Ujian!AC27,1)=SEKOR!AC$2,1,0))</f>
        <v>1</v>
      </c>
      <c r="AD20" s="125">
        <f>IF(Ujian!AD27="","",IF(LEFT(Ujian!AD27,1)=SEKOR!AD$2,1,0))</f>
        <v>1</v>
      </c>
      <c r="AE20" s="125">
        <f>IF(Ujian!AE27="","",IF(LEFT(Ujian!AE27,1)=SEKOR!AE$2,1,0))</f>
        <v>1</v>
      </c>
      <c r="AF20" s="125">
        <f>IF(Ujian!AF27="","",IF(LEFT(Ujian!AF27,1)=SEKOR!AF$2,1,0))</f>
        <v>1</v>
      </c>
      <c r="AG20" s="125">
        <f>IF(Ujian!AG27="","",IF(LEFT(Ujian!AG27,1)=SEKOR!AG$2,1,0))</f>
        <v>1</v>
      </c>
      <c r="AH20" s="125">
        <f>IF(Ujian!AH27="","",IF(LEFT(Ujian!AH27,1)=SEKOR!AH$2,1,0))</f>
        <v>1</v>
      </c>
      <c r="AI20" s="125">
        <f>IF(Ujian!AI27="","",IF(LEFT(Ujian!AI27,1)=SEKOR!AI$2,1,0))</f>
        <v>1</v>
      </c>
      <c r="AJ20" s="125">
        <f>IF(Ujian!AJ27="","",IF(LEFT(Ujian!AJ27,1)=SEKOR!AJ$2,1,0))</f>
        <v>1</v>
      </c>
      <c r="AK20" s="125">
        <f>IF(Ujian!AK27="","",IF(LEFT(Ujian!AK27,1)=SEKOR!AK$2,1,0))</f>
        <v>1</v>
      </c>
      <c r="AL20" s="125">
        <f>IF(Ujian!AL27="","",IF(LEFT(Ujian!AL27,1)=SEKOR!AL$2,1,0))</f>
        <v>1</v>
      </c>
      <c r="AM20" s="125">
        <f>IF(Ujian!AM27="","",IF(LEFT(Ujian!AM27,1)=SEKOR!AM$2,1,0))</f>
        <v>1</v>
      </c>
      <c r="AN20" s="125">
        <f>IF(Ujian!AN27="","",IF(LEFT(Ujian!AN27,1)=SEKOR!AN$2,1,0))</f>
        <v>1</v>
      </c>
      <c r="AO20" s="125">
        <f>IF(Ujian!AO27="","",IF(LEFT(Ujian!AO27,1)=SEKOR!AO$2,1,0))</f>
        <v>0</v>
      </c>
      <c r="AP20" s="125">
        <f>IF(Ujian!AP27="","",IF(LEFT(Ujian!AP27,1)=SEKOR!AP$2,1,0))</f>
        <v>1</v>
      </c>
      <c r="AQ20" s="125" t="str">
        <f>IF(Ujian!AQ27="","",IF(LEFT(Ujian!AQ27,1)=SEKOR!AQ$2,1,0))</f>
        <v/>
      </c>
      <c r="AR20" s="125">
        <f>IF(Ujian!AR27="","",IF(LEFT(Ujian!AR27,1)=SEKOR!AR$2,1,0))</f>
        <v>1</v>
      </c>
      <c r="AS20" s="125">
        <f>IF(Ujian!AS27="","",IF(LEFT(Ujian!AS27,1)=SEKOR!AS$2,1,0))</f>
        <v>0</v>
      </c>
      <c r="AT20" s="125" t="str">
        <f>IF(Ujian!AT27="","",IF(LEFT(Ujian!AT27,1)=SEKOR!AT$2,1,0))</f>
        <v/>
      </c>
      <c r="AU20" s="125">
        <f>IF(Ujian!AU27="","",IF(LEFT(Ujian!AU27,1)=SEKOR!AU$2,1,0))</f>
        <v>1</v>
      </c>
      <c r="AV20" s="125">
        <f>IF(Ujian!AV27="","",IF(LEFT(Ujian!AV27,1)=SEKOR!AV$2,1,0))</f>
        <v>0</v>
      </c>
      <c r="AW20" s="125" t="str">
        <f>IF(Ujian!AW27="","",IF(LEFT(Ujian!AW27,1)=SEKOR!AW$2,1,0))</f>
        <v/>
      </c>
      <c r="AX20" s="125" t="str">
        <f>IF(Ujian!AX27="","",IF(LEFT(Ujian!AX27,1)=SEKOR!AX$2,1,0))</f>
        <v/>
      </c>
      <c r="AY20" s="125" t="str">
        <f>IF(Ujian!AY27="","",IF(LEFT(Ujian!AY27,1)=SEKOR!AY$2,1,0))</f>
        <v/>
      </c>
      <c r="AZ20" s="125" t="str">
        <f>IF(Ujian!AZ27="","",IF(LEFT(Ujian!AZ27,1)=SEKOR!AZ$2,1,0))</f>
        <v/>
      </c>
      <c r="BA20" s="125" t="str">
        <f>IF(Ujian!BA27="","",IF(LEFT(Ujian!BA27,1)=SEKOR!BA$2,1,0))</f>
        <v/>
      </c>
      <c r="BB20" s="125" t="str">
        <f>IF(Ujian!BB27="","",IF(LEFT(Ujian!BB27,1)=SEKOR!BB$2,1,0))</f>
        <v/>
      </c>
      <c r="BC20" s="125" t="str">
        <f>IF(Ujian!BC27="","",IF(LEFT(Ujian!BC27,1)=SEKOR!BC$2,1,0))</f>
        <v/>
      </c>
      <c r="BD20" s="125" t="str">
        <f>IF(Ujian!BD27="","",IF(LEFT(Ujian!BD27,1)=SEKOR!BD$2,1,0))</f>
        <v/>
      </c>
      <c r="BE20" s="125" t="str">
        <f>IF(Ujian!BE27="","",IF(LEFT(Ujian!BE27,1)=SEKOR!BE$2,1,0))</f>
        <v/>
      </c>
      <c r="BF20" s="125" t="str">
        <f>IF(Ujian!BF27="","",IF(LEFT(Ujian!BF27,1)=SEKOR!BF$2,1,0))</f>
        <v/>
      </c>
      <c r="BG20" s="125" t="str">
        <f>IF(Ujian!BG27="","",IF(LEFT(Ujian!BG27,1)=SEKOR!BG$2,1,0))</f>
        <v/>
      </c>
      <c r="BH20" s="125" t="str">
        <f>IF(Ujian!BH27="","",IF(LEFT(Ujian!BH27,1)=SEKOR!BH$2,1,0))</f>
        <v/>
      </c>
      <c r="BI20" s="125" t="str">
        <f>IF(Ujian!BI27="","",IF(LEFT(Ujian!BI27,1)=SEKOR!BI$2,1,0))</f>
        <v/>
      </c>
      <c r="BJ20" s="125" t="str">
        <f>IF(Ujian!BJ27="","",IF(LEFT(Ujian!BJ27,1)=SEKOR!BJ$2,1,0))</f>
        <v/>
      </c>
      <c r="BK20" s="125" t="str">
        <f>IF(Ujian!BK27="","",IF(LEFT(Ujian!BK27,1)=SEKOR!BK$2,1,0))</f>
        <v/>
      </c>
      <c r="BL20" s="18">
        <f t="shared" si="0"/>
        <v>40</v>
      </c>
      <c r="BM20" s="18">
        <f>COUNTIF($D20:$BK20,"")+DATA!$F$14-DATA!$F$12</f>
        <v>20</v>
      </c>
      <c r="BN20" s="17">
        <f>IF(COUNTIF($D20:$BK20,1)&gt;DATA!$F$14,DATA!$F$14,COUNTIF($D20:$BK20,1))</f>
        <v>31</v>
      </c>
      <c r="BO20" s="17">
        <f>IF((BN20+COUNTIF($D20:$BK20,0))&lt;=DATA!$F$14,COUNTIF($D20:$BK20,0),DATA!$F$14-SEKOR!BN20)</f>
        <v>9</v>
      </c>
      <c r="BP20" s="4">
        <f>IF(BL20=0,"",BN20/DATA!$F$14*100)</f>
        <v>77.5</v>
      </c>
      <c r="BQ20" s="121">
        <f t="shared" si="1"/>
        <v>100</v>
      </c>
      <c r="BR20" s="2">
        <f>IF(Praktik!$E20=0,"",Praktik!$E20)</f>
        <v>90</v>
      </c>
      <c r="BS20" s="2">
        <f>IF(BR20="","",(BP20*DATAINFO!$O$4)+(SEKOR!BR20*DATAINFO!$O$5)/(DATAINFO!$O$4+DATAINFO!$O$5))</f>
        <v>107.5</v>
      </c>
      <c r="BT20" s="2">
        <f>IF(BL20=0,"",IF(DATA!$F$18="TIDAK",ROUNDUP((IF!$L$8*SEKOR!$BP20)+IF!$L$9,0),IF($BR20="","",ROUNDUP((IF!$L$20*$BS20)+IF!$L$21,0))))</f>
        <v>90</v>
      </c>
      <c r="BU20" s="47">
        <f>IF(BP20="","",IF(SEKOR!BP20&gt;=DATA!$J$12,1,0))</f>
        <v>1</v>
      </c>
      <c r="BV20" s="47">
        <f>IF(BQ20="","",IF(SEKOR!BQ20&gt;=DATA!$J$12,1,0))</f>
        <v>1</v>
      </c>
      <c r="BW20" s="47">
        <f>IF(BR20="","",IF(SEKOR!BR20&gt;=DATA!$J$12,1,0))</f>
        <v>1</v>
      </c>
      <c r="BX20" s="47">
        <f>IF(BT20="","",IF(DATA!$J$14="",IF(SEKOR!BT20&gt;=DATA!$J$12,1,0),IF(SEKOR!BT20&gt;=DATA!$J$14,1,0)))</f>
        <v>1</v>
      </c>
    </row>
    <row r="21" spans="1:76" x14ac:dyDescent="0.25">
      <c r="A21" s="20" t="s">
        <v>48</v>
      </c>
      <c r="B21" s="21" t="str">
        <f>IF(Ujian!B28="","",Ujian!B28)</f>
        <v>  234709</v>
      </c>
      <c r="C21" s="57" t="str">
        <f>IF(Ujian!C28="","",Ujian!C28)</f>
        <v>  Raisol</v>
      </c>
      <c r="D21" s="125" t="str">
        <f>IF(Ujian!D28="","",IF(LEFT(Ujian!D28,1)=SEKOR!D$2,1,0))</f>
        <v/>
      </c>
      <c r="E21" s="125">
        <f>IF(Ujian!E28="","",IF(LEFT(Ujian!E28,1)=SEKOR!E$2,1,0))</f>
        <v>1</v>
      </c>
      <c r="F21" s="125">
        <f>IF(Ujian!F28="","",IF(LEFT(Ujian!F28,1)=SEKOR!F$2,1,0))</f>
        <v>0</v>
      </c>
      <c r="G21" s="125">
        <f>IF(Ujian!G28="","",IF(LEFT(Ujian!G28,1)=SEKOR!G$2,1,0))</f>
        <v>0</v>
      </c>
      <c r="H21" s="125">
        <f>IF(Ujian!H28="","",IF(LEFT(Ujian!H28,1)=SEKOR!H$2,1,0))</f>
        <v>0</v>
      </c>
      <c r="I21" s="125">
        <f>IF(Ujian!I28="","",IF(LEFT(Ujian!I28,1)=SEKOR!I$2,1,0))</f>
        <v>0</v>
      </c>
      <c r="J21" s="125">
        <f>IF(Ujian!J28="","",IF(LEFT(Ujian!J28,1)=SEKOR!J$2,1,0))</f>
        <v>0</v>
      </c>
      <c r="K21" s="125">
        <f>IF(Ujian!K28="","",IF(LEFT(Ujian!K28,1)=SEKOR!K$2,1,0))</f>
        <v>1</v>
      </c>
      <c r="L21" s="125">
        <f>IF(Ujian!L28="","",IF(LEFT(Ujian!L28,1)=SEKOR!L$2,1,0))</f>
        <v>0</v>
      </c>
      <c r="M21" s="125">
        <f>IF(Ujian!M28="","",IF(LEFT(Ujian!M28,1)=SEKOR!M$2,1,0))</f>
        <v>0</v>
      </c>
      <c r="N21" s="125">
        <f>IF(Ujian!N28="","",IF(LEFT(Ujian!N28,1)=SEKOR!N$2,1,0))</f>
        <v>0</v>
      </c>
      <c r="O21" s="125" t="str">
        <f>IF(Ujian!O28="","",IF(LEFT(Ujian!O28,1)=SEKOR!O$2,1,0))</f>
        <v/>
      </c>
      <c r="P21" s="125">
        <f>IF(Ujian!P28="","",IF(LEFT(Ujian!P28,1)=SEKOR!P$2,1,0))</f>
        <v>0</v>
      </c>
      <c r="Q21" s="125" t="str">
        <f>IF(Ujian!Q28="","",IF(LEFT(Ujian!Q28,1)=SEKOR!Q$2,1,0))</f>
        <v/>
      </c>
      <c r="R21" s="125">
        <f>IF(Ujian!R28="","",IF(LEFT(Ujian!R28,1)=SEKOR!R$2,1,0))</f>
        <v>0</v>
      </c>
      <c r="S21" s="125">
        <f>IF(Ujian!S28="","",IF(LEFT(Ujian!S28,1)=SEKOR!S$2,1,0))</f>
        <v>1</v>
      </c>
      <c r="T21" s="125">
        <f>IF(Ujian!T28="","",IF(LEFT(Ujian!T28,1)=SEKOR!T$2,1,0))</f>
        <v>1</v>
      </c>
      <c r="U21" s="125">
        <f>IF(Ujian!U28="","",IF(LEFT(Ujian!U28,1)=SEKOR!U$2,1,0))</f>
        <v>0</v>
      </c>
      <c r="V21" s="125">
        <f>IF(Ujian!V28="","",IF(LEFT(Ujian!V28,1)=SEKOR!V$2,1,0))</f>
        <v>0</v>
      </c>
      <c r="W21" s="125">
        <f>IF(Ujian!W28="","",IF(LEFT(Ujian!W28,1)=SEKOR!W$2,1,0))</f>
        <v>0</v>
      </c>
      <c r="X21" s="125">
        <f>IF(Ujian!X28="","",IF(LEFT(Ujian!X28,1)=SEKOR!X$2,1,0))</f>
        <v>0</v>
      </c>
      <c r="Y21" s="125">
        <f>IF(Ujian!Y28="","",IF(LEFT(Ujian!Y28,1)=SEKOR!Y$2,1,0))</f>
        <v>1</v>
      </c>
      <c r="Z21" s="125">
        <f>IF(Ujian!Z28="","",IF(LEFT(Ujian!Z28,1)=SEKOR!Z$2,1,0))</f>
        <v>0</v>
      </c>
      <c r="AA21" s="125">
        <f>IF(Ujian!AA28="","",IF(LEFT(Ujian!AA28,1)=SEKOR!AA$2,1,0))</f>
        <v>0</v>
      </c>
      <c r="AB21" s="125">
        <f>IF(Ujian!AB28="","",IF(LEFT(Ujian!AB28,1)=SEKOR!AB$2,1,0))</f>
        <v>0</v>
      </c>
      <c r="AC21" s="125" t="str">
        <f>IF(Ujian!AC28="","",IF(LEFT(Ujian!AC28,1)=SEKOR!AC$2,1,0))</f>
        <v/>
      </c>
      <c r="AD21" s="125">
        <f>IF(Ujian!AD28="","",IF(LEFT(Ujian!AD28,1)=SEKOR!AD$2,1,0))</f>
        <v>0</v>
      </c>
      <c r="AE21" s="125">
        <f>IF(Ujian!AE28="","",IF(LEFT(Ujian!AE28,1)=SEKOR!AE$2,1,0))</f>
        <v>0</v>
      </c>
      <c r="AF21" s="125">
        <f>IF(Ujian!AF28="","",IF(LEFT(Ujian!AF28,1)=SEKOR!AF$2,1,0))</f>
        <v>0</v>
      </c>
      <c r="AG21" s="125">
        <f>IF(Ujian!AG28="","",IF(LEFT(Ujian!AG28,1)=SEKOR!AG$2,1,0))</f>
        <v>0</v>
      </c>
      <c r="AH21" s="125">
        <f>IF(Ujian!AH28="","",IF(LEFT(Ujian!AH28,1)=SEKOR!AH$2,1,0))</f>
        <v>0</v>
      </c>
      <c r="AI21" s="125">
        <f>IF(Ujian!AI28="","",IF(LEFT(Ujian!AI28,1)=SEKOR!AI$2,1,0))</f>
        <v>1</v>
      </c>
      <c r="AJ21" s="125">
        <f>IF(Ujian!AJ28="","",IF(LEFT(Ujian!AJ28,1)=SEKOR!AJ$2,1,0))</f>
        <v>0</v>
      </c>
      <c r="AK21" s="125">
        <f>IF(Ujian!AK28="","",IF(LEFT(Ujian!AK28,1)=SEKOR!AK$2,1,0))</f>
        <v>0</v>
      </c>
      <c r="AL21" s="125">
        <f>IF(Ujian!AL28="","",IF(LEFT(Ujian!AL28,1)=SEKOR!AL$2,1,0))</f>
        <v>0</v>
      </c>
      <c r="AM21" s="125">
        <f>IF(Ujian!AM28="","",IF(LEFT(Ujian!AM28,1)=SEKOR!AM$2,1,0))</f>
        <v>0</v>
      </c>
      <c r="AN21" s="125">
        <f>IF(Ujian!AN28="","",IF(LEFT(Ujian!AN28,1)=SEKOR!AN$2,1,0))</f>
        <v>1</v>
      </c>
      <c r="AO21" s="125">
        <f>IF(Ujian!AO28="","",IF(LEFT(Ujian!AO28,1)=SEKOR!AO$2,1,0))</f>
        <v>0</v>
      </c>
      <c r="AP21" s="125">
        <f>IF(Ujian!AP28="","",IF(LEFT(Ujian!AP28,1)=SEKOR!AP$2,1,0))</f>
        <v>0</v>
      </c>
      <c r="AQ21" s="125">
        <f>IF(Ujian!AQ28="","",IF(LEFT(Ujian!AQ28,1)=SEKOR!AQ$2,1,0))</f>
        <v>0</v>
      </c>
      <c r="AR21" s="125">
        <f>IF(Ujian!AR28="","",IF(LEFT(Ujian!AR28,1)=SEKOR!AR$2,1,0))</f>
        <v>0</v>
      </c>
      <c r="AS21" s="125">
        <f>IF(Ujian!AS28="","",IF(LEFT(Ujian!AS28,1)=SEKOR!AS$2,1,0))</f>
        <v>0</v>
      </c>
      <c r="AT21" s="125" t="str">
        <f>IF(Ujian!AT28="","",IF(LEFT(Ujian!AT28,1)=SEKOR!AT$2,1,0))</f>
        <v/>
      </c>
      <c r="AU21" s="125">
        <f>IF(Ujian!AU28="","",IF(LEFT(Ujian!AU28,1)=SEKOR!AU$2,1,0))</f>
        <v>0</v>
      </c>
      <c r="AV21" s="125">
        <f>IF(Ujian!AV28="","",IF(LEFT(Ujian!AV28,1)=SEKOR!AV$2,1,0))</f>
        <v>0</v>
      </c>
      <c r="AW21" s="125" t="str">
        <f>IF(Ujian!AW28="","",IF(LEFT(Ujian!AW28,1)=SEKOR!AW$2,1,0))</f>
        <v/>
      </c>
      <c r="AX21" s="125" t="str">
        <f>IF(Ujian!AX28="","",IF(LEFT(Ujian!AX28,1)=SEKOR!AX$2,1,0))</f>
        <v/>
      </c>
      <c r="AY21" s="125" t="str">
        <f>IF(Ujian!AY28="","",IF(LEFT(Ujian!AY28,1)=SEKOR!AY$2,1,0))</f>
        <v/>
      </c>
      <c r="AZ21" s="125" t="str">
        <f>IF(Ujian!AZ28="","",IF(LEFT(Ujian!AZ28,1)=SEKOR!AZ$2,1,0))</f>
        <v/>
      </c>
      <c r="BA21" s="125" t="str">
        <f>IF(Ujian!BA28="","",IF(LEFT(Ujian!BA28,1)=SEKOR!BA$2,1,0))</f>
        <v/>
      </c>
      <c r="BB21" s="125" t="str">
        <f>IF(Ujian!BB28="","",IF(LEFT(Ujian!BB28,1)=SEKOR!BB$2,1,0))</f>
        <v/>
      </c>
      <c r="BC21" s="125" t="str">
        <f>IF(Ujian!BC28="","",IF(LEFT(Ujian!BC28,1)=SEKOR!BC$2,1,0))</f>
        <v/>
      </c>
      <c r="BD21" s="125" t="str">
        <f>IF(Ujian!BD28="","",IF(LEFT(Ujian!BD28,1)=SEKOR!BD$2,1,0))</f>
        <v/>
      </c>
      <c r="BE21" s="125" t="str">
        <f>IF(Ujian!BE28="","",IF(LEFT(Ujian!BE28,1)=SEKOR!BE$2,1,0))</f>
        <v/>
      </c>
      <c r="BF21" s="125" t="str">
        <f>IF(Ujian!BF28="","",IF(LEFT(Ujian!BF28,1)=SEKOR!BF$2,1,0))</f>
        <v/>
      </c>
      <c r="BG21" s="125" t="str">
        <f>IF(Ujian!BG28="","",IF(LEFT(Ujian!BG28,1)=SEKOR!BG$2,1,0))</f>
        <v/>
      </c>
      <c r="BH21" s="125" t="str">
        <f>IF(Ujian!BH28="","",IF(LEFT(Ujian!BH28,1)=SEKOR!BH$2,1,0))</f>
        <v/>
      </c>
      <c r="BI21" s="125" t="str">
        <f>IF(Ujian!BI28="","",IF(LEFT(Ujian!BI28,1)=SEKOR!BI$2,1,0))</f>
        <v/>
      </c>
      <c r="BJ21" s="125" t="str">
        <f>IF(Ujian!BJ28="","",IF(LEFT(Ujian!BJ28,1)=SEKOR!BJ$2,1,0))</f>
        <v/>
      </c>
      <c r="BK21" s="125" t="str">
        <f>IF(Ujian!BK28="","",IF(LEFT(Ujian!BK28,1)=SEKOR!BK$2,1,0))</f>
        <v/>
      </c>
      <c r="BL21" s="18">
        <f t="shared" si="0"/>
        <v>40</v>
      </c>
      <c r="BM21" s="18">
        <f>COUNTIF($D21:$BK21,"")+DATA!$F$14-DATA!$F$12</f>
        <v>20</v>
      </c>
      <c r="BN21" s="17">
        <f>IF(COUNTIF($D21:$BK21,1)&gt;DATA!$F$14,DATA!$F$14,COUNTIF($D21:$BK21,1))</f>
        <v>7</v>
      </c>
      <c r="BO21" s="17">
        <f>IF((BN21+COUNTIF($D21:$BK21,0))&lt;=DATA!$F$14,COUNTIF($D21:$BK21,0),DATA!$F$14-SEKOR!BN21)</f>
        <v>33</v>
      </c>
      <c r="BP21" s="4">
        <f>IF(BL21=0,"",BN21/DATA!$F$14*100)</f>
        <v>17.5</v>
      </c>
      <c r="BQ21" s="121">
        <f t="shared" si="1"/>
        <v>22.58064516129032</v>
      </c>
      <c r="BR21" s="2">
        <f>IF(Praktik!$E21=0,"",Praktik!$E21)</f>
        <v>90</v>
      </c>
      <c r="BS21" s="2">
        <f>IF(BR21="","",(BP21*DATAINFO!$O$4)+(SEKOR!BR21*DATAINFO!$O$5)/(DATAINFO!$O$4+DATAINFO!$O$5))</f>
        <v>47.5</v>
      </c>
      <c r="BT21" s="2">
        <f>IF(BL21=0,"",IF(DATA!$F$18="TIDAK",ROUNDUP((IF!$L$8*SEKOR!$BP21)+IF!$L$9,0),IF($BR21="","",ROUNDUP((IF!$L$20*$BS21)+IF!$L$21,0))))</f>
        <v>50</v>
      </c>
      <c r="BU21" s="47">
        <f>IF(BP21="","",IF(SEKOR!BP21&gt;=DATA!$J$12,1,0))</f>
        <v>0</v>
      </c>
      <c r="BV21" s="47">
        <f>IF(BQ21="","",IF(SEKOR!BQ21&gt;=DATA!$J$12,1,0))</f>
        <v>0</v>
      </c>
      <c r="BW21" s="47">
        <f>IF(BR21="","",IF(SEKOR!BR21&gt;=DATA!$J$12,1,0))</f>
        <v>1</v>
      </c>
      <c r="BX21" s="47">
        <f>IF(BT21="","",IF(DATA!$J$14="",IF(SEKOR!BT21&gt;=DATA!$J$12,1,0),IF(SEKOR!BT21&gt;=DATA!$J$14,1,0)))</f>
        <v>0</v>
      </c>
    </row>
    <row r="22" spans="1:76" x14ac:dyDescent="0.25">
      <c r="A22" s="20" t="s">
        <v>49</v>
      </c>
      <c r="B22" s="21" t="str">
        <f>IF(Ujian!B29="","",Ujian!B29)</f>
        <v>  234708</v>
      </c>
      <c r="C22" s="57" t="str">
        <f>IF(Ujian!C29="","",Ujian!C29)</f>
        <v>  Rayshar Andhika Pratama</v>
      </c>
      <c r="D22" s="125">
        <f>IF(Ujian!D29="","",IF(LEFT(Ujian!D29,1)=SEKOR!D$2,1,0))</f>
        <v>0</v>
      </c>
      <c r="E22" s="125">
        <f>IF(Ujian!E29="","",IF(LEFT(Ujian!E29,1)=SEKOR!E$2,1,0))</f>
        <v>0</v>
      </c>
      <c r="F22" s="125">
        <f>IF(Ujian!F29="","",IF(LEFT(Ujian!F29,1)=SEKOR!F$2,1,0))</f>
        <v>0</v>
      </c>
      <c r="G22" s="125">
        <f>IF(Ujian!G29="","",IF(LEFT(Ujian!G29,1)=SEKOR!G$2,1,0))</f>
        <v>0</v>
      </c>
      <c r="H22" s="125">
        <f>IF(Ujian!H29="","",IF(LEFT(Ujian!H29,1)=SEKOR!H$2,1,0))</f>
        <v>0</v>
      </c>
      <c r="I22" s="125">
        <f>IF(Ujian!I29="","",IF(LEFT(Ujian!I29,1)=SEKOR!I$2,1,0))</f>
        <v>0</v>
      </c>
      <c r="J22" s="125">
        <f>IF(Ujian!J29="","",IF(LEFT(Ujian!J29,1)=SEKOR!J$2,1,0))</f>
        <v>0</v>
      </c>
      <c r="K22" s="125" t="str">
        <f>IF(Ujian!K29="","",IF(LEFT(Ujian!K29,1)=SEKOR!K$2,1,0))</f>
        <v/>
      </c>
      <c r="L22" s="125">
        <f>IF(Ujian!L29="","",IF(LEFT(Ujian!L29,1)=SEKOR!L$2,1,0))</f>
        <v>0</v>
      </c>
      <c r="M22" s="125">
        <f>IF(Ujian!M29="","",IF(LEFT(Ujian!M29,1)=SEKOR!M$2,1,0))</f>
        <v>0</v>
      </c>
      <c r="N22" s="125">
        <f>IF(Ujian!N29="","",IF(LEFT(Ujian!N29,1)=SEKOR!N$2,1,0))</f>
        <v>0</v>
      </c>
      <c r="O22" s="125">
        <f>IF(Ujian!O29="","",IF(LEFT(Ujian!O29,1)=SEKOR!O$2,1,0))</f>
        <v>1</v>
      </c>
      <c r="P22" s="125" t="str">
        <f>IF(Ujian!P29="","",IF(LEFT(Ujian!P29,1)=SEKOR!P$2,1,0))</f>
        <v/>
      </c>
      <c r="Q22" s="125">
        <f>IF(Ujian!Q29="","",IF(LEFT(Ujian!Q29,1)=SEKOR!Q$2,1,0))</f>
        <v>1</v>
      </c>
      <c r="R22" s="125">
        <f>IF(Ujian!R29="","",IF(LEFT(Ujian!R29,1)=SEKOR!R$2,1,0))</f>
        <v>0</v>
      </c>
      <c r="S22" s="125">
        <f>IF(Ujian!S29="","",IF(LEFT(Ujian!S29,1)=SEKOR!S$2,1,0))</f>
        <v>0</v>
      </c>
      <c r="T22" s="125">
        <f>IF(Ujian!T29="","",IF(LEFT(Ujian!T29,1)=SEKOR!T$2,1,0))</f>
        <v>1</v>
      </c>
      <c r="U22" s="125">
        <f>IF(Ujian!U29="","",IF(LEFT(Ujian!U29,1)=SEKOR!U$2,1,0))</f>
        <v>0</v>
      </c>
      <c r="V22" s="125" t="str">
        <f>IF(Ujian!V29="","",IF(LEFT(Ujian!V29,1)=SEKOR!V$2,1,0))</f>
        <v/>
      </c>
      <c r="W22" s="125">
        <f>IF(Ujian!W29="","",IF(LEFT(Ujian!W29,1)=SEKOR!W$2,1,0))</f>
        <v>0</v>
      </c>
      <c r="X22" s="125" t="str">
        <f>IF(Ujian!X29="","",IF(LEFT(Ujian!X29,1)=SEKOR!X$2,1,0))</f>
        <v/>
      </c>
      <c r="Y22" s="125">
        <f>IF(Ujian!Y29="","",IF(LEFT(Ujian!Y29,1)=SEKOR!Y$2,1,0))</f>
        <v>0</v>
      </c>
      <c r="Z22" s="125">
        <f>IF(Ujian!Z29="","",IF(LEFT(Ujian!Z29,1)=SEKOR!Z$2,1,0))</f>
        <v>0</v>
      </c>
      <c r="AA22" s="125">
        <f>IF(Ujian!AA29="","",IF(LEFT(Ujian!AA29,1)=SEKOR!AA$2,1,0))</f>
        <v>0</v>
      </c>
      <c r="AB22" s="125">
        <f>IF(Ujian!AB29="","",IF(LEFT(Ujian!AB29,1)=SEKOR!AB$2,1,0))</f>
        <v>0</v>
      </c>
      <c r="AC22" s="125">
        <f>IF(Ujian!AC29="","",IF(LEFT(Ujian!AC29,1)=SEKOR!AC$2,1,0))</f>
        <v>0</v>
      </c>
      <c r="AD22" s="125">
        <f>IF(Ujian!AD29="","",IF(LEFT(Ujian!AD29,1)=SEKOR!AD$2,1,0))</f>
        <v>0</v>
      </c>
      <c r="AE22" s="125">
        <f>IF(Ujian!AE29="","",IF(LEFT(Ujian!AE29,1)=SEKOR!AE$2,1,0))</f>
        <v>0</v>
      </c>
      <c r="AF22" s="125">
        <f>IF(Ujian!AF29="","",IF(LEFT(Ujian!AF29,1)=SEKOR!AF$2,1,0))</f>
        <v>0</v>
      </c>
      <c r="AG22" s="125">
        <f>IF(Ujian!AG29="","",IF(LEFT(Ujian!AG29,1)=SEKOR!AG$2,1,0))</f>
        <v>1</v>
      </c>
      <c r="AH22" s="125">
        <f>IF(Ujian!AH29="","",IF(LEFT(Ujian!AH29,1)=SEKOR!AH$2,1,0))</f>
        <v>1</v>
      </c>
      <c r="AI22" s="125">
        <f>IF(Ujian!AI29="","",IF(LEFT(Ujian!AI29,1)=SEKOR!AI$2,1,0))</f>
        <v>1</v>
      </c>
      <c r="AJ22" s="125">
        <f>IF(Ujian!AJ29="","",IF(LEFT(Ujian!AJ29,1)=SEKOR!AJ$2,1,0))</f>
        <v>1</v>
      </c>
      <c r="AK22" s="125">
        <f>IF(Ujian!AK29="","",IF(LEFT(Ujian!AK29,1)=SEKOR!AK$2,1,0))</f>
        <v>1</v>
      </c>
      <c r="AL22" s="125">
        <f>IF(Ujian!AL29="","",IF(LEFT(Ujian!AL29,1)=SEKOR!AL$2,1,0))</f>
        <v>0</v>
      </c>
      <c r="AM22" s="125">
        <f>IF(Ujian!AM29="","",IF(LEFT(Ujian!AM29,1)=SEKOR!AM$2,1,0))</f>
        <v>0</v>
      </c>
      <c r="AN22" s="125">
        <f>IF(Ujian!AN29="","",IF(LEFT(Ujian!AN29,1)=SEKOR!AN$2,1,0))</f>
        <v>1</v>
      </c>
      <c r="AO22" s="125">
        <f>IF(Ujian!AO29="","",IF(LEFT(Ujian!AO29,1)=SEKOR!AO$2,1,0))</f>
        <v>0</v>
      </c>
      <c r="AP22" s="125">
        <f>IF(Ujian!AP29="","",IF(LEFT(Ujian!AP29,1)=SEKOR!AP$2,1,0))</f>
        <v>0</v>
      </c>
      <c r="AQ22" s="125" t="str">
        <f>IF(Ujian!AQ29="","",IF(LEFT(Ujian!AQ29,1)=SEKOR!AQ$2,1,0))</f>
        <v/>
      </c>
      <c r="AR22" s="125">
        <f>IF(Ujian!AR29="","",IF(LEFT(Ujian!AR29,1)=SEKOR!AR$2,1,0))</f>
        <v>1</v>
      </c>
      <c r="AS22" s="125" t="str">
        <f>IF(Ujian!AS29="","",IF(LEFT(Ujian!AS29,1)=SEKOR!AS$2,1,0))</f>
        <v/>
      </c>
      <c r="AT22" s="125">
        <f>IF(Ujian!AT29="","",IF(LEFT(Ujian!AT29,1)=SEKOR!AT$2,1,0))</f>
        <v>0</v>
      </c>
      <c r="AU22" s="125">
        <f>IF(Ujian!AU29="","",IF(LEFT(Ujian!AU29,1)=SEKOR!AU$2,1,0))</f>
        <v>0</v>
      </c>
      <c r="AV22" s="125">
        <f>IF(Ujian!AV29="","",IF(LEFT(Ujian!AV29,1)=SEKOR!AV$2,1,0))</f>
        <v>0</v>
      </c>
      <c r="AW22" s="125" t="str">
        <f>IF(Ujian!AW29="","",IF(LEFT(Ujian!AW29,1)=SEKOR!AW$2,1,0))</f>
        <v/>
      </c>
      <c r="AX22" s="125" t="str">
        <f>IF(Ujian!AX29="","",IF(LEFT(Ujian!AX29,1)=SEKOR!AX$2,1,0))</f>
        <v/>
      </c>
      <c r="AY22" s="125" t="str">
        <f>IF(Ujian!AY29="","",IF(LEFT(Ujian!AY29,1)=SEKOR!AY$2,1,0))</f>
        <v/>
      </c>
      <c r="AZ22" s="125" t="str">
        <f>IF(Ujian!AZ29="","",IF(LEFT(Ujian!AZ29,1)=SEKOR!AZ$2,1,0))</f>
        <v/>
      </c>
      <c r="BA22" s="125" t="str">
        <f>IF(Ujian!BA29="","",IF(LEFT(Ujian!BA29,1)=SEKOR!BA$2,1,0))</f>
        <v/>
      </c>
      <c r="BB22" s="125" t="str">
        <f>IF(Ujian!BB29="","",IF(LEFT(Ujian!BB29,1)=SEKOR!BB$2,1,0))</f>
        <v/>
      </c>
      <c r="BC22" s="125" t="str">
        <f>IF(Ujian!BC29="","",IF(LEFT(Ujian!BC29,1)=SEKOR!BC$2,1,0))</f>
        <v/>
      </c>
      <c r="BD22" s="125" t="str">
        <f>IF(Ujian!BD29="","",IF(LEFT(Ujian!BD29,1)=SEKOR!BD$2,1,0))</f>
        <v/>
      </c>
      <c r="BE22" s="125" t="str">
        <f>IF(Ujian!BE29="","",IF(LEFT(Ujian!BE29,1)=SEKOR!BE$2,1,0))</f>
        <v/>
      </c>
      <c r="BF22" s="125" t="str">
        <f>IF(Ujian!BF29="","",IF(LEFT(Ujian!BF29,1)=SEKOR!BF$2,1,0))</f>
        <v/>
      </c>
      <c r="BG22" s="125" t="str">
        <f>IF(Ujian!BG29="","",IF(LEFT(Ujian!BG29,1)=SEKOR!BG$2,1,0))</f>
        <v/>
      </c>
      <c r="BH22" s="125" t="str">
        <f>IF(Ujian!BH29="","",IF(LEFT(Ujian!BH29,1)=SEKOR!BH$2,1,0))</f>
        <v/>
      </c>
      <c r="BI22" s="125" t="str">
        <f>IF(Ujian!BI29="","",IF(LEFT(Ujian!BI29,1)=SEKOR!BI$2,1,0))</f>
        <v/>
      </c>
      <c r="BJ22" s="125" t="str">
        <f>IF(Ujian!BJ29="","",IF(LEFT(Ujian!BJ29,1)=SEKOR!BJ$2,1,0))</f>
        <v/>
      </c>
      <c r="BK22" s="125" t="str">
        <f>IF(Ujian!BK29="","",IF(LEFT(Ujian!BK29,1)=SEKOR!BK$2,1,0))</f>
        <v/>
      </c>
      <c r="BL22" s="18">
        <f t="shared" si="0"/>
        <v>39</v>
      </c>
      <c r="BM22" s="18">
        <f>COUNTIF($D22:$BK22,"")+DATA!$F$14-DATA!$F$12</f>
        <v>21</v>
      </c>
      <c r="BN22" s="17">
        <f>IF(COUNTIF($D22:$BK22,1)&gt;DATA!$F$14,DATA!$F$14,COUNTIF($D22:$BK22,1))</f>
        <v>10</v>
      </c>
      <c r="BO22" s="17">
        <f>IF((BN22+COUNTIF($D22:$BK22,0))&lt;=DATA!$F$14,COUNTIF($D22:$BK22,0),DATA!$F$14-SEKOR!BN22)</f>
        <v>29</v>
      </c>
      <c r="BP22" s="4">
        <f>IF(BL22=0,"",BN22/DATA!$F$14*100)</f>
        <v>25</v>
      </c>
      <c r="BQ22" s="121">
        <f t="shared" si="1"/>
        <v>32.258064516129032</v>
      </c>
      <c r="BR22" s="2">
        <f>IF(Praktik!$E22=0,"",Praktik!$E22)</f>
        <v>90</v>
      </c>
      <c r="BS22" s="2">
        <f>IF(BR22="","",(BP22*DATAINFO!$O$4)+(SEKOR!BR22*DATAINFO!$O$5)/(DATAINFO!$O$4+DATAINFO!$O$5))</f>
        <v>55</v>
      </c>
      <c r="BT22" s="2">
        <f>IF(BL22=0,"",IF(DATA!$F$18="TIDAK",ROUNDUP((IF!$L$8*SEKOR!$BP22)+IF!$L$9,0),IF($BR22="","",ROUNDUP((IF!$L$20*$BS22)+IF!$L$21,0))))</f>
        <v>55</v>
      </c>
      <c r="BU22" s="47">
        <f>IF(BP22="","",IF(SEKOR!BP22&gt;=DATA!$J$12,1,0))</f>
        <v>0</v>
      </c>
      <c r="BV22" s="47">
        <f>IF(BQ22="","",IF(SEKOR!BQ22&gt;=DATA!$J$12,1,0))</f>
        <v>0</v>
      </c>
      <c r="BW22" s="47">
        <f>IF(BR22="","",IF(SEKOR!BR22&gt;=DATA!$J$12,1,0))</f>
        <v>1</v>
      </c>
      <c r="BX22" s="47">
        <f>IF(BT22="","",IF(DATA!$J$14="",IF(SEKOR!BT22&gt;=DATA!$J$12,1,0),IF(SEKOR!BT22&gt;=DATA!$J$14,1,0)))</f>
        <v>0</v>
      </c>
    </row>
    <row r="23" spans="1:76" x14ac:dyDescent="0.25">
      <c r="A23" s="20" t="s">
        <v>50</v>
      </c>
      <c r="B23" s="21" t="str">
        <f>IF(Ujian!B30="","",Ujian!B30)</f>
        <v>  234711</v>
      </c>
      <c r="C23" s="57" t="str">
        <f>IF(Ujian!C30="","",Ujian!C30)</f>
        <v>  Rino Fiansyah</v>
      </c>
      <c r="D23" s="125">
        <f>IF(Ujian!D30="","",IF(LEFT(Ujian!D30,1)=SEKOR!D$2,1,0))</f>
        <v>1</v>
      </c>
      <c r="E23" s="125">
        <f>IF(Ujian!E30="","",IF(LEFT(Ujian!E30,1)=SEKOR!E$2,1,0))</f>
        <v>1</v>
      </c>
      <c r="F23" s="125">
        <f>IF(Ujian!F30="","",IF(LEFT(Ujian!F30,1)=SEKOR!F$2,1,0))</f>
        <v>1</v>
      </c>
      <c r="G23" s="125">
        <f>IF(Ujian!G30="","",IF(LEFT(Ujian!G30,1)=SEKOR!G$2,1,0))</f>
        <v>1</v>
      </c>
      <c r="H23" s="125">
        <f>IF(Ujian!H30="","",IF(LEFT(Ujian!H30,1)=SEKOR!H$2,1,0))</f>
        <v>0</v>
      </c>
      <c r="I23" s="125">
        <f>IF(Ujian!I30="","",IF(LEFT(Ujian!I30,1)=SEKOR!I$2,1,0))</f>
        <v>0</v>
      </c>
      <c r="J23" s="125">
        <f>IF(Ujian!J30="","",IF(LEFT(Ujian!J30,1)=SEKOR!J$2,1,0))</f>
        <v>1</v>
      </c>
      <c r="K23" s="125">
        <f>IF(Ujian!K30="","",IF(LEFT(Ujian!K30,1)=SEKOR!K$2,1,0))</f>
        <v>0</v>
      </c>
      <c r="L23" s="125">
        <f>IF(Ujian!L30="","",IF(LEFT(Ujian!L30,1)=SEKOR!L$2,1,0))</f>
        <v>0</v>
      </c>
      <c r="M23" s="125" t="str">
        <f>IF(Ujian!M30="","",IF(LEFT(Ujian!M30,1)=SEKOR!M$2,1,0))</f>
        <v/>
      </c>
      <c r="N23" s="125">
        <f>IF(Ujian!N30="","",IF(LEFT(Ujian!N30,1)=SEKOR!N$2,1,0))</f>
        <v>0</v>
      </c>
      <c r="O23" s="125">
        <f>IF(Ujian!O30="","",IF(LEFT(Ujian!O30,1)=SEKOR!O$2,1,0))</f>
        <v>0</v>
      </c>
      <c r="P23" s="125">
        <f>IF(Ujian!P30="","",IF(LEFT(Ujian!P30,1)=SEKOR!P$2,1,0))</f>
        <v>1</v>
      </c>
      <c r="Q23" s="125">
        <f>IF(Ujian!Q30="","",IF(LEFT(Ujian!Q30,1)=SEKOR!Q$2,1,0))</f>
        <v>1</v>
      </c>
      <c r="R23" s="125">
        <f>IF(Ujian!R30="","",IF(LEFT(Ujian!R30,1)=SEKOR!R$2,1,0))</f>
        <v>0</v>
      </c>
      <c r="S23" s="125">
        <f>IF(Ujian!S30="","",IF(LEFT(Ujian!S30,1)=SEKOR!S$2,1,0))</f>
        <v>0</v>
      </c>
      <c r="T23" s="125" t="str">
        <f>IF(Ujian!T30="","",IF(LEFT(Ujian!T30,1)=SEKOR!T$2,1,0))</f>
        <v/>
      </c>
      <c r="U23" s="125" t="str">
        <f>IF(Ujian!U30="","",IF(LEFT(Ujian!U30,1)=SEKOR!U$2,1,0))</f>
        <v/>
      </c>
      <c r="V23" s="125">
        <f>IF(Ujian!V30="","",IF(LEFT(Ujian!V30,1)=SEKOR!V$2,1,0))</f>
        <v>0</v>
      </c>
      <c r="W23" s="125">
        <f>IF(Ujian!W30="","",IF(LEFT(Ujian!W30,1)=SEKOR!W$2,1,0))</f>
        <v>0</v>
      </c>
      <c r="X23" s="125">
        <f>IF(Ujian!X30="","",IF(LEFT(Ujian!X30,1)=SEKOR!X$2,1,0))</f>
        <v>0</v>
      </c>
      <c r="Y23" s="125">
        <f>IF(Ujian!Y30="","",IF(LEFT(Ujian!Y30,1)=SEKOR!Y$2,1,0))</f>
        <v>1</v>
      </c>
      <c r="Z23" s="125">
        <f>IF(Ujian!Z30="","",IF(LEFT(Ujian!Z30,1)=SEKOR!Z$2,1,0))</f>
        <v>0</v>
      </c>
      <c r="AA23" s="125" t="str">
        <f>IF(Ujian!AA30="","",IF(LEFT(Ujian!AA30,1)=SEKOR!AA$2,1,0))</f>
        <v/>
      </c>
      <c r="AB23" s="125">
        <f>IF(Ujian!AB30="","",IF(LEFT(Ujian!AB30,1)=SEKOR!AB$2,1,0))</f>
        <v>0</v>
      </c>
      <c r="AC23" s="125">
        <f>IF(Ujian!AC30="","",IF(LEFT(Ujian!AC30,1)=SEKOR!AC$2,1,0))</f>
        <v>0</v>
      </c>
      <c r="AD23" s="125">
        <f>IF(Ujian!AD30="","",IF(LEFT(Ujian!AD30,1)=SEKOR!AD$2,1,0))</f>
        <v>1</v>
      </c>
      <c r="AE23" s="125">
        <f>IF(Ujian!AE30="","",IF(LEFT(Ujian!AE30,1)=SEKOR!AE$2,1,0))</f>
        <v>1</v>
      </c>
      <c r="AF23" s="125">
        <f>IF(Ujian!AF30="","",IF(LEFT(Ujian!AF30,1)=SEKOR!AF$2,1,0))</f>
        <v>0</v>
      </c>
      <c r="AG23" s="125">
        <f>IF(Ujian!AG30="","",IF(LEFT(Ujian!AG30,1)=SEKOR!AG$2,1,0))</f>
        <v>0</v>
      </c>
      <c r="AH23" s="125">
        <f>IF(Ujian!AH30="","",IF(LEFT(Ujian!AH30,1)=SEKOR!AH$2,1,0))</f>
        <v>0</v>
      </c>
      <c r="AI23" s="125">
        <f>IF(Ujian!AI30="","",IF(LEFT(Ujian!AI30,1)=SEKOR!AI$2,1,0))</f>
        <v>0</v>
      </c>
      <c r="AJ23" s="125">
        <f>IF(Ujian!AJ30="","",IF(LEFT(Ujian!AJ30,1)=SEKOR!AJ$2,1,0))</f>
        <v>1</v>
      </c>
      <c r="AK23" s="125">
        <f>IF(Ujian!AK30="","",IF(LEFT(Ujian!AK30,1)=SEKOR!AK$2,1,0))</f>
        <v>0</v>
      </c>
      <c r="AL23" s="125">
        <f>IF(Ujian!AL30="","",IF(LEFT(Ujian!AL30,1)=SEKOR!AL$2,1,0))</f>
        <v>1</v>
      </c>
      <c r="AM23" s="125">
        <f>IF(Ujian!AM30="","",IF(LEFT(Ujian!AM30,1)=SEKOR!AM$2,1,0))</f>
        <v>0</v>
      </c>
      <c r="AN23" s="125">
        <f>IF(Ujian!AN30="","",IF(LEFT(Ujian!AN30,1)=SEKOR!AN$2,1,0))</f>
        <v>0</v>
      </c>
      <c r="AO23" s="125">
        <f>IF(Ujian!AO30="","",IF(LEFT(Ujian!AO30,1)=SEKOR!AO$2,1,0))</f>
        <v>0</v>
      </c>
      <c r="AP23" s="125">
        <f>IF(Ujian!AP30="","",IF(LEFT(Ujian!AP30,1)=SEKOR!AP$2,1,0))</f>
        <v>1</v>
      </c>
      <c r="AQ23" s="125">
        <f>IF(Ujian!AQ30="","",IF(LEFT(Ujian!AQ30,1)=SEKOR!AQ$2,1,0))</f>
        <v>0</v>
      </c>
      <c r="AR23" s="125">
        <f>IF(Ujian!AR30="","",IF(LEFT(Ujian!AR30,1)=SEKOR!AR$2,1,0))</f>
        <v>1</v>
      </c>
      <c r="AS23" s="125">
        <f>IF(Ujian!AS30="","",IF(LEFT(Ujian!AS30,1)=SEKOR!AS$2,1,0))</f>
        <v>0</v>
      </c>
      <c r="AT23" s="125" t="str">
        <f>IF(Ujian!AT30="","",IF(LEFT(Ujian!AT30,1)=SEKOR!AT$2,1,0))</f>
        <v/>
      </c>
      <c r="AU23" s="125">
        <f>IF(Ujian!AU30="","",IF(LEFT(Ujian!AU30,1)=SEKOR!AU$2,1,0))</f>
        <v>1</v>
      </c>
      <c r="AV23" s="125">
        <f>IF(Ujian!AV30="","",IF(LEFT(Ujian!AV30,1)=SEKOR!AV$2,1,0))</f>
        <v>1</v>
      </c>
      <c r="AW23" s="125" t="str">
        <f>IF(Ujian!AW30="","",IF(LEFT(Ujian!AW30,1)=SEKOR!AW$2,1,0))</f>
        <v/>
      </c>
      <c r="AX23" s="125" t="str">
        <f>IF(Ujian!AX30="","",IF(LEFT(Ujian!AX30,1)=SEKOR!AX$2,1,0))</f>
        <v/>
      </c>
      <c r="AY23" s="125" t="str">
        <f>IF(Ujian!AY30="","",IF(LEFT(Ujian!AY30,1)=SEKOR!AY$2,1,0))</f>
        <v/>
      </c>
      <c r="AZ23" s="125" t="str">
        <f>IF(Ujian!AZ30="","",IF(LEFT(Ujian!AZ30,1)=SEKOR!AZ$2,1,0))</f>
        <v/>
      </c>
      <c r="BA23" s="125" t="str">
        <f>IF(Ujian!BA30="","",IF(LEFT(Ujian!BA30,1)=SEKOR!BA$2,1,0))</f>
        <v/>
      </c>
      <c r="BB23" s="125" t="str">
        <f>IF(Ujian!BB30="","",IF(LEFT(Ujian!BB30,1)=SEKOR!BB$2,1,0))</f>
        <v/>
      </c>
      <c r="BC23" s="125" t="str">
        <f>IF(Ujian!BC30="","",IF(LEFT(Ujian!BC30,1)=SEKOR!BC$2,1,0))</f>
        <v/>
      </c>
      <c r="BD23" s="125" t="str">
        <f>IF(Ujian!BD30="","",IF(LEFT(Ujian!BD30,1)=SEKOR!BD$2,1,0))</f>
        <v/>
      </c>
      <c r="BE23" s="125" t="str">
        <f>IF(Ujian!BE30="","",IF(LEFT(Ujian!BE30,1)=SEKOR!BE$2,1,0))</f>
        <v/>
      </c>
      <c r="BF23" s="125" t="str">
        <f>IF(Ujian!BF30="","",IF(LEFT(Ujian!BF30,1)=SEKOR!BF$2,1,0))</f>
        <v/>
      </c>
      <c r="BG23" s="125" t="str">
        <f>IF(Ujian!BG30="","",IF(LEFT(Ujian!BG30,1)=SEKOR!BG$2,1,0))</f>
        <v/>
      </c>
      <c r="BH23" s="125" t="str">
        <f>IF(Ujian!BH30="","",IF(LEFT(Ujian!BH30,1)=SEKOR!BH$2,1,0))</f>
        <v/>
      </c>
      <c r="BI23" s="125" t="str">
        <f>IF(Ujian!BI30="","",IF(LEFT(Ujian!BI30,1)=SEKOR!BI$2,1,0))</f>
        <v/>
      </c>
      <c r="BJ23" s="125" t="str">
        <f>IF(Ujian!BJ30="","",IF(LEFT(Ujian!BJ30,1)=SEKOR!BJ$2,1,0))</f>
        <v/>
      </c>
      <c r="BK23" s="125" t="str">
        <f>IF(Ujian!BK30="","",IF(LEFT(Ujian!BK30,1)=SEKOR!BK$2,1,0))</f>
        <v/>
      </c>
      <c r="BL23" s="18">
        <f t="shared" si="0"/>
        <v>40</v>
      </c>
      <c r="BM23" s="18">
        <f>COUNTIF($D23:$BK23,"")+DATA!$F$14-DATA!$F$12</f>
        <v>20</v>
      </c>
      <c r="BN23" s="17">
        <f>IF(COUNTIF($D23:$BK23,1)&gt;DATA!$F$14,DATA!$F$14,COUNTIF($D23:$BK23,1))</f>
        <v>16</v>
      </c>
      <c r="BO23" s="17">
        <f>IF((BN23+COUNTIF($D23:$BK23,0))&lt;=DATA!$F$14,COUNTIF($D23:$BK23,0),DATA!$F$14-SEKOR!BN23)</f>
        <v>24</v>
      </c>
      <c r="BP23" s="4">
        <f>IF(BL23=0,"",BN23/DATA!$F$14*100)</f>
        <v>40</v>
      </c>
      <c r="BQ23" s="121">
        <f t="shared" si="1"/>
        <v>51.612903225806448</v>
      </c>
      <c r="BR23" s="2">
        <f>IF(Praktik!$E23=0,"",Praktik!$E23)</f>
        <v>90</v>
      </c>
      <c r="BS23" s="2">
        <f>IF(BR23="","",(BP23*DATAINFO!$O$4)+(SEKOR!BR23*DATAINFO!$O$5)/(DATAINFO!$O$4+DATAINFO!$O$5))</f>
        <v>70</v>
      </c>
      <c r="BT23" s="2">
        <f>IF(BL23=0,"",IF(DATA!$F$18="TIDAK",ROUNDUP((IF!$L$8*SEKOR!$BP23)+IF!$L$9,0),IF($BR23="","",ROUNDUP((IF!$L$20*$BS23)+IF!$L$21,0))))</f>
        <v>65</v>
      </c>
      <c r="BU23" s="47">
        <f>IF(BP23="","",IF(SEKOR!BP23&gt;=DATA!$J$12,1,0))</f>
        <v>0</v>
      </c>
      <c r="BV23" s="47">
        <f>IF(BQ23="","",IF(SEKOR!BQ23&gt;=DATA!$J$12,1,0))</f>
        <v>0</v>
      </c>
      <c r="BW23" s="47">
        <f>IF(BR23="","",IF(SEKOR!BR23&gt;=DATA!$J$12,1,0))</f>
        <v>1</v>
      </c>
      <c r="BX23" s="47">
        <f>IF(BT23="","",IF(DATA!$J$14="",IF(SEKOR!BT23&gt;=DATA!$J$12,1,0),IF(SEKOR!BT23&gt;=DATA!$J$14,1,0)))</f>
        <v>1</v>
      </c>
    </row>
    <row r="24" spans="1:76" x14ac:dyDescent="0.25">
      <c r="A24" s="20" t="s">
        <v>51</v>
      </c>
      <c r="B24" s="21" t="str">
        <f>IF(Ujian!B31="","",Ujian!B31)</f>
        <v>  234712</v>
      </c>
      <c r="C24" s="57" t="str">
        <f>IF(Ujian!C31="","",Ujian!C31)</f>
        <v>  Ririn Dea Razmiarti</v>
      </c>
      <c r="D24" s="125">
        <f>IF(Ujian!D31="","",IF(LEFT(Ujian!D31,1)=SEKOR!D$2,1,0))</f>
        <v>1</v>
      </c>
      <c r="E24" s="125">
        <f>IF(Ujian!E31="","",IF(LEFT(Ujian!E31,1)=SEKOR!E$2,1,0))</f>
        <v>1</v>
      </c>
      <c r="F24" s="125">
        <f>IF(Ujian!F31="","",IF(LEFT(Ujian!F31,1)=SEKOR!F$2,1,0))</f>
        <v>1</v>
      </c>
      <c r="G24" s="125">
        <f>IF(Ujian!G31="","",IF(LEFT(Ujian!G31,1)=SEKOR!G$2,1,0))</f>
        <v>1</v>
      </c>
      <c r="H24" s="125">
        <f>IF(Ujian!H31="","",IF(LEFT(Ujian!H31,1)=SEKOR!H$2,1,0))</f>
        <v>1</v>
      </c>
      <c r="I24" s="125">
        <f>IF(Ujian!I31="","",IF(LEFT(Ujian!I31,1)=SEKOR!I$2,1,0))</f>
        <v>0</v>
      </c>
      <c r="J24" s="125" t="str">
        <f>IF(Ujian!J31="","",IF(LEFT(Ujian!J31,1)=SEKOR!J$2,1,0))</f>
        <v/>
      </c>
      <c r="K24" s="125">
        <f>IF(Ujian!K31="","",IF(LEFT(Ujian!K31,1)=SEKOR!K$2,1,0))</f>
        <v>0</v>
      </c>
      <c r="L24" s="125">
        <f>IF(Ujian!L31="","",IF(LEFT(Ujian!L31,1)=SEKOR!L$2,1,0))</f>
        <v>0</v>
      </c>
      <c r="M24" s="125">
        <f>IF(Ujian!M31="","",IF(LEFT(Ujian!M31,1)=SEKOR!M$2,1,0))</f>
        <v>0</v>
      </c>
      <c r="N24" s="125">
        <f>IF(Ujian!N31="","",IF(LEFT(Ujian!N31,1)=SEKOR!N$2,1,0))</f>
        <v>0</v>
      </c>
      <c r="O24" s="125">
        <f>IF(Ujian!O31="","",IF(LEFT(Ujian!O31,1)=SEKOR!O$2,1,0))</f>
        <v>1</v>
      </c>
      <c r="P24" s="125">
        <f>IF(Ujian!P31="","",IF(LEFT(Ujian!P31,1)=SEKOR!P$2,1,0))</f>
        <v>0</v>
      </c>
      <c r="Q24" s="125">
        <f>IF(Ujian!Q31="","",IF(LEFT(Ujian!Q31,1)=SEKOR!Q$2,1,0))</f>
        <v>1</v>
      </c>
      <c r="R24" s="125">
        <f>IF(Ujian!R31="","",IF(LEFT(Ujian!R31,1)=SEKOR!R$2,1,0))</f>
        <v>0</v>
      </c>
      <c r="S24" s="125">
        <f>IF(Ujian!S31="","",IF(LEFT(Ujian!S31,1)=SEKOR!S$2,1,0))</f>
        <v>1</v>
      </c>
      <c r="T24" s="125">
        <f>IF(Ujian!T31="","",IF(LEFT(Ujian!T31,1)=SEKOR!T$2,1,0))</f>
        <v>1</v>
      </c>
      <c r="U24" s="125">
        <f>IF(Ujian!U31="","",IF(LEFT(Ujian!U31,1)=SEKOR!U$2,1,0))</f>
        <v>1</v>
      </c>
      <c r="V24" s="125">
        <f>IF(Ujian!V31="","",IF(LEFT(Ujian!V31,1)=SEKOR!V$2,1,0))</f>
        <v>1</v>
      </c>
      <c r="W24" s="125">
        <f>IF(Ujian!W31="","",IF(LEFT(Ujian!W31,1)=SEKOR!W$2,1,0))</f>
        <v>1</v>
      </c>
      <c r="X24" s="125">
        <f>IF(Ujian!X31="","",IF(LEFT(Ujian!X31,1)=SEKOR!X$2,1,0))</f>
        <v>1</v>
      </c>
      <c r="Y24" s="125">
        <f>IF(Ujian!Y31="","",IF(LEFT(Ujian!Y31,1)=SEKOR!Y$2,1,0))</f>
        <v>1</v>
      </c>
      <c r="Z24" s="125">
        <f>IF(Ujian!Z31="","",IF(LEFT(Ujian!Z31,1)=SEKOR!Z$2,1,0))</f>
        <v>0</v>
      </c>
      <c r="AA24" s="125">
        <f>IF(Ujian!AA31="","",IF(LEFT(Ujian!AA31,1)=SEKOR!AA$2,1,0))</f>
        <v>0</v>
      </c>
      <c r="AB24" s="125">
        <f>IF(Ujian!AB31="","",IF(LEFT(Ujian!AB31,1)=SEKOR!AB$2,1,0))</f>
        <v>0</v>
      </c>
      <c r="AC24" s="125">
        <f>IF(Ujian!AC31="","",IF(LEFT(Ujian!AC31,1)=SEKOR!AC$2,1,0))</f>
        <v>1</v>
      </c>
      <c r="AD24" s="125">
        <f>IF(Ujian!AD31="","",IF(LEFT(Ujian!AD31,1)=SEKOR!AD$2,1,0))</f>
        <v>1</v>
      </c>
      <c r="AE24" s="125">
        <f>IF(Ujian!AE31="","",IF(LEFT(Ujian!AE31,1)=SEKOR!AE$2,1,0))</f>
        <v>1</v>
      </c>
      <c r="AF24" s="125">
        <f>IF(Ujian!AF31="","",IF(LEFT(Ujian!AF31,1)=SEKOR!AF$2,1,0))</f>
        <v>1</v>
      </c>
      <c r="AG24" s="125">
        <f>IF(Ujian!AG31="","",IF(LEFT(Ujian!AG31,1)=SEKOR!AG$2,1,0))</f>
        <v>1</v>
      </c>
      <c r="AH24" s="125">
        <f>IF(Ujian!AH31="","",IF(LEFT(Ujian!AH31,1)=SEKOR!AH$2,1,0))</f>
        <v>1</v>
      </c>
      <c r="AI24" s="125">
        <f>IF(Ujian!AI31="","",IF(LEFT(Ujian!AI31,1)=SEKOR!AI$2,1,0))</f>
        <v>1</v>
      </c>
      <c r="AJ24" s="125">
        <f>IF(Ujian!AJ31="","",IF(LEFT(Ujian!AJ31,1)=SEKOR!AJ$2,1,0))</f>
        <v>1</v>
      </c>
      <c r="AK24" s="125">
        <f>IF(Ujian!AK31="","",IF(LEFT(Ujian!AK31,1)=SEKOR!AK$2,1,0))</f>
        <v>1</v>
      </c>
      <c r="AL24" s="125" t="str">
        <f>IF(Ujian!AL31="","",IF(LEFT(Ujian!AL31,1)=SEKOR!AL$2,1,0))</f>
        <v/>
      </c>
      <c r="AM24" s="125">
        <f>IF(Ujian!AM31="","",IF(LEFT(Ujian!AM31,1)=SEKOR!AM$2,1,0))</f>
        <v>1</v>
      </c>
      <c r="AN24" s="125" t="str">
        <f>IF(Ujian!AN31="","",IF(LEFT(Ujian!AN31,1)=SEKOR!AN$2,1,0))</f>
        <v/>
      </c>
      <c r="AO24" s="125">
        <f>IF(Ujian!AO31="","",IF(LEFT(Ujian!AO31,1)=SEKOR!AO$2,1,0))</f>
        <v>0</v>
      </c>
      <c r="AP24" s="125" t="str">
        <f>IF(Ujian!AP31="","",IF(LEFT(Ujian!AP31,1)=SEKOR!AP$2,1,0))</f>
        <v/>
      </c>
      <c r="AQ24" s="125">
        <f>IF(Ujian!AQ31="","",IF(LEFT(Ujian!AQ31,1)=SEKOR!AQ$2,1,0))</f>
        <v>0</v>
      </c>
      <c r="AR24" s="125">
        <f>IF(Ujian!AR31="","",IF(LEFT(Ujian!AR31,1)=SEKOR!AR$2,1,0))</f>
        <v>1</v>
      </c>
      <c r="AS24" s="125">
        <f>IF(Ujian!AS31="","",IF(LEFT(Ujian!AS31,1)=SEKOR!AS$2,1,0))</f>
        <v>0</v>
      </c>
      <c r="AT24" s="125">
        <f>IF(Ujian!AT31="","",IF(LEFT(Ujian!AT31,1)=SEKOR!AT$2,1,0))</f>
        <v>1</v>
      </c>
      <c r="AU24" s="125" t="str">
        <f>IF(Ujian!AU31="","",IF(LEFT(Ujian!AU31,1)=SEKOR!AU$2,1,0))</f>
        <v/>
      </c>
      <c r="AV24" s="125">
        <f>IF(Ujian!AV31="","",IF(LEFT(Ujian!AV31,1)=SEKOR!AV$2,1,0))</f>
        <v>0</v>
      </c>
      <c r="AW24" s="125" t="str">
        <f>IF(Ujian!AW31="","",IF(LEFT(Ujian!AW31,1)=SEKOR!AW$2,1,0))</f>
        <v/>
      </c>
      <c r="AX24" s="125" t="str">
        <f>IF(Ujian!AX31="","",IF(LEFT(Ujian!AX31,1)=SEKOR!AX$2,1,0))</f>
        <v/>
      </c>
      <c r="AY24" s="125" t="str">
        <f>IF(Ujian!AY31="","",IF(LEFT(Ujian!AY31,1)=SEKOR!AY$2,1,0))</f>
        <v/>
      </c>
      <c r="AZ24" s="125" t="str">
        <f>IF(Ujian!AZ31="","",IF(LEFT(Ujian!AZ31,1)=SEKOR!AZ$2,1,0))</f>
        <v/>
      </c>
      <c r="BA24" s="125" t="str">
        <f>IF(Ujian!BA31="","",IF(LEFT(Ujian!BA31,1)=SEKOR!BA$2,1,0))</f>
        <v/>
      </c>
      <c r="BB24" s="125" t="str">
        <f>IF(Ujian!BB31="","",IF(LEFT(Ujian!BB31,1)=SEKOR!BB$2,1,0))</f>
        <v/>
      </c>
      <c r="BC24" s="125" t="str">
        <f>IF(Ujian!BC31="","",IF(LEFT(Ujian!BC31,1)=SEKOR!BC$2,1,0))</f>
        <v/>
      </c>
      <c r="BD24" s="125" t="str">
        <f>IF(Ujian!BD31="","",IF(LEFT(Ujian!BD31,1)=SEKOR!BD$2,1,0))</f>
        <v/>
      </c>
      <c r="BE24" s="125" t="str">
        <f>IF(Ujian!BE31="","",IF(LEFT(Ujian!BE31,1)=SEKOR!BE$2,1,0))</f>
        <v/>
      </c>
      <c r="BF24" s="125" t="str">
        <f>IF(Ujian!BF31="","",IF(LEFT(Ujian!BF31,1)=SEKOR!BF$2,1,0))</f>
        <v/>
      </c>
      <c r="BG24" s="125" t="str">
        <f>IF(Ujian!BG31="","",IF(LEFT(Ujian!BG31,1)=SEKOR!BG$2,1,0))</f>
        <v/>
      </c>
      <c r="BH24" s="125" t="str">
        <f>IF(Ujian!BH31="","",IF(LEFT(Ujian!BH31,1)=SEKOR!BH$2,1,0))</f>
        <v/>
      </c>
      <c r="BI24" s="125" t="str">
        <f>IF(Ujian!BI31="","",IF(LEFT(Ujian!BI31,1)=SEKOR!BI$2,1,0))</f>
        <v/>
      </c>
      <c r="BJ24" s="125" t="str">
        <f>IF(Ujian!BJ31="","",IF(LEFT(Ujian!BJ31,1)=SEKOR!BJ$2,1,0))</f>
        <v/>
      </c>
      <c r="BK24" s="125" t="str">
        <f>IF(Ujian!BK31="","",IF(LEFT(Ujian!BK31,1)=SEKOR!BK$2,1,0))</f>
        <v/>
      </c>
      <c r="BL24" s="18">
        <f t="shared" si="0"/>
        <v>40</v>
      </c>
      <c r="BM24" s="18">
        <f>COUNTIF($D24:$BK24,"")+DATA!$F$14-DATA!$F$12</f>
        <v>20</v>
      </c>
      <c r="BN24" s="17">
        <f>IF(COUNTIF($D24:$BK24,1)&gt;DATA!$F$14,DATA!$F$14,COUNTIF($D24:$BK24,1))</f>
        <v>26</v>
      </c>
      <c r="BO24" s="17">
        <f>IF((BN24+COUNTIF($D24:$BK24,0))&lt;=DATA!$F$14,COUNTIF($D24:$BK24,0),DATA!$F$14-SEKOR!BN24)</f>
        <v>14</v>
      </c>
      <c r="BP24" s="4">
        <f>IF(BL24=0,"",BN24/DATA!$F$14*100)</f>
        <v>65</v>
      </c>
      <c r="BQ24" s="121">
        <f t="shared" si="1"/>
        <v>83.870967741935488</v>
      </c>
      <c r="BR24" s="2">
        <f>IF(Praktik!$E24=0,"",Praktik!$E24)</f>
        <v>90</v>
      </c>
      <c r="BS24" s="2">
        <f>IF(BR24="","",(BP24*DATAINFO!$O$4)+(SEKOR!BR24*DATAINFO!$O$5)/(DATAINFO!$O$4+DATAINFO!$O$5))</f>
        <v>95</v>
      </c>
      <c r="BT24" s="2">
        <f>IF(BL24=0,"",IF(DATA!$F$18="TIDAK",ROUNDUP((IF!$L$8*SEKOR!$BP24)+IF!$L$9,0),IF($BR24="","",ROUNDUP((IF!$L$20*$BS24)+IF!$L$21,0))))</f>
        <v>82</v>
      </c>
      <c r="BU24" s="47">
        <f>IF(BP24="","",IF(SEKOR!BP24&gt;=DATA!$J$12,1,0))</f>
        <v>0</v>
      </c>
      <c r="BV24" s="47">
        <f>IF(BQ24="","",IF(SEKOR!BQ24&gt;=DATA!$J$12,1,0))</f>
        <v>1</v>
      </c>
      <c r="BW24" s="47">
        <f>IF(BR24="","",IF(SEKOR!BR24&gt;=DATA!$J$12,1,0))</f>
        <v>1</v>
      </c>
      <c r="BX24" s="47">
        <f>IF(BT24="","",IF(DATA!$J$14="",IF(SEKOR!BT24&gt;=DATA!$J$12,1,0),IF(SEKOR!BT24&gt;=DATA!$J$14,1,0)))</f>
        <v>1</v>
      </c>
    </row>
    <row r="25" spans="1:76" x14ac:dyDescent="0.25">
      <c r="A25" s="20" t="s">
        <v>52</v>
      </c>
      <c r="B25" s="21" t="str">
        <f>IF(Ujian!B32="","",Ujian!B32)</f>
        <v>  234719</v>
      </c>
      <c r="C25" s="57" t="str">
        <f>IF(Ujian!C32="","",Ujian!C32)</f>
        <v>  Suci Rahmawati</v>
      </c>
      <c r="D25" s="125">
        <f>IF(Ujian!D32="","",IF(LEFT(Ujian!D32,1)=SEKOR!D$2,1,0))</f>
        <v>0</v>
      </c>
      <c r="E25" s="125">
        <f>IF(Ujian!E32="","",IF(LEFT(Ujian!E32,1)=SEKOR!E$2,1,0))</f>
        <v>1</v>
      </c>
      <c r="F25" s="125">
        <f>IF(Ujian!F32="","",IF(LEFT(Ujian!F32,1)=SEKOR!F$2,1,0))</f>
        <v>0</v>
      </c>
      <c r="G25" s="125">
        <f>IF(Ujian!G32="","",IF(LEFT(Ujian!G32,1)=SEKOR!G$2,1,0))</f>
        <v>0</v>
      </c>
      <c r="H25" s="125">
        <f>IF(Ujian!H32="","",IF(LEFT(Ujian!H32,1)=SEKOR!H$2,1,0))</f>
        <v>0</v>
      </c>
      <c r="I25" s="125">
        <f>IF(Ujian!I32="","",IF(LEFT(Ujian!I32,1)=SEKOR!I$2,1,0))</f>
        <v>0</v>
      </c>
      <c r="J25" s="125">
        <f>IF(Ujian!J32="","",IF(LEFT(Ujian!J32,1)=SEKOR!J$2,1,0))</f>
        <v>1</v>
      </c>
      <c r="K25" s="125">
        <f>IF(Ujian!K32="","",IF(LEFT(Ujian!K32,1)=SEKOR!K$2,1,0))</f>
        <v>1</v>
      </c>
      <c r="L25" s="125">
        <f>IF(Ujian!L32="","",IF(LEFT(Ujian!L32,1)=SEKOR!L$2,1,0))</f>
        <v>0</v>
      </c>
      <c r="M25" s="125">
        <f>IF(Ujian!M32="","",IF(LEFT(Ujian!M32,1)=SEKOR!M$2,1,0))</f>
        <v>1</v>
      </c>
      <c r="N25" s="125">
        <f>IF(Ujian!N32="","",IF(LEFT(Ujian!N32,1)=SEKOR!N$2,1,0))</f>
        <v>0</v>
      </c>
      <c r="O25" s="125">
        <f>IF(Ujian!O32="","",IF(LEFT(Ujian!O32,1)=SEKOR!O$2,1,0))</f>
        <v>1</v>
      </c>
      <c r="P25" s="125" t="str">
        <f>IF(Ujian!P32="","",IF(LEFT(Ujian!P32,1)=SEKOR!P$2,1,0))</f>
        <v/>
      </c>
      <c r="Q25" s="125" t="str">
        <f>IF(Ujian!Q32="","",IF(LEFT(Ujian!Q32,1)=SEKOR!Q$2,1,0))</f>
        <v/>
      </c>
      <c r="R25" s="125">
        <f>IF(Ujian!R32="","",IF(LEFT(Ujian!R32,1)=SEKOR!R$2,1,0))</f>
        <v>0</v>
      </c>
      <c r="S25" s="125">
        <f>IF(Ujian!S32="","",IF(LEFT(Ujian!S32,1)=SEKOR!S$2,1,0))</f>
        <v>1</v>
      </c>
      <c r="T25" s="125">
        <f>IF(Ujian!T32="","",IF(LEFT(Ujian!T32,1)=SEKOR!T$2,1,0))</f>
        <v>1</v>
      </c>
      <c r="U25" s="125">
        <f>IF(Ujian!U32="","",IF(LEFT(Ujian!U32,1)=SEKOR!U$2,1,0))</f>
        <v>1</v>
      </c>
      <c r="V25" s="125">
        <f>IF(Ujian!V32="","",IF(LEFT(Ujian!V32,1)=SEKOR!V$2,1,0))</f>
        <v>1</v>
      </c>
      <c r="W25" s="125">
        <f>IF(Ujian!W32="","",IF(LEFT(Ujian!W32,1)=SEKOR!W$2,1,0))</f>
        <v>1</v>
      </c>
      <c r="X25" s="125">
        <f>IF(Ujian!X32="","",IF(LEFT(Ujian!X32,1)=SEKOR!X$2,1,0))</f>
        <v>1</v>
      </c>
      <c r="Y25" s="125">
        <f>IF(Ujian!Y32="","",IF(LEFT(Ujian!Y32,1)=SEKOR!Y$2,1,0))</f>
        <v>1</v>
      </c>
      <c r="Z25" s="125">
        <f>IF(Ujian!Z32="","",IF(LEFT(Ujian!Z32,1)=SEKOR!Z$2,1,0))</f>
        <v>0</v>
      </c>
      <c r="AA25" s="125">
        <f>IF(Ujian!AA32="","",IF(LEFT(Ujian!AA32,1)=SEKOR!AA$2,1,0))</f>
        <v>0</v>
      </c>
      <c r="AB25" s="125">
        <f>IF(Ujian!AB32="","",IF(LEFT(Ujian!AB32,1)=SEKOR!AB$2,1,0))</f>
        <v>0</v>
      </c>
      <c r="AC25" s="125" t="str">
        <f>IF(Ujian!AC32="","",IF(LEFT(Ujian!AC32,1)=SEKOR!AC$2,1,0))</f>
        <v/>
      </c>
      <c r="AD25" s="125">
        <f>IF(Ujian!AD32="","",IF(LEFT(Ujian!AD32,1)=SEKOR!AD$2,1,0))</f>
        <v>0</v>
      </c>
      <c r="AE25" s="125" t="str">
        <f>IF(Ujian!AE32="","",IF(LEFT(Ujian!AE32,1)=SEKOR!AE$2,1,0))</f>
        <v/>
      </c>
      <c r="AF25" s="125">
        <f>IF(Ujian!AF32="","",IF(LEFT(Ujian!AF32,1)=SEKOR!AF$2,1,0))</f>
        <v>1</v>
      </c>
      <c r="AG25" s="125">
        <f>IF(Ujian!AG32="","",IF(LEFT(Ujian!AG32,1)=SEKOR!AG$2,1,0))</f>
        <v>1</v>
      </c>
      <c r="AH25" s="125">
        <f>IF(Ujian!AH32="","",IF(LEFT(Ujian!AH32,1)=SEKOR!AH$2,1,0))</f>
        <v>0</v>
      </c>
      <c r="AI25" s="125">
        <f>IF(Ujian!AI32="","",IF(LEFT(Ujian!AI32,1)=SEKOR!AI$2,1,0))</f>
        <v>1</v>
      </c>
      <c r="AJ25" s="125">
        <f>IF(Ujian!AJ32="","",IF(LEFT(Ujian!AJ32,1)=SEKOR!AJ$2,1,0))</f>
        <v>0</v>
      </c>
      <c r="AK25" s="125" t="str">
        <f>IF(Ujian!AK32="","",IF(LEFT(Ujian!AK32,1)=SEKOR!AK$2,1,0))</f>
        <v/>
      </c>
      <c r="AL25" s="125">
        <f>IF(Ujian!AL32="","",IF(LEFT(Ujian!AL32,1)=SEKOR!AL$2,1,0))</f>
        <v>1</v>
      </c>
      <c r="AM25" s="125" t="str">
        <f>IF(Ujian!AM32="","",IF(LEFT(Ujian!AM32,1)=SEKOR!AM$2,1,0))</f>
        <v/>
      </c>
      <c r="AN25" s="125">
        <f>IF(Ujian!AN32="","",IF(LEFT(Ujian!AN32,1)=SEKOR!AN$2,1,0))</f>
        <v>1</v>
      </c>
      <c r="AO25" s="125">
        <f>IF(Ujian!AO32="","",IF(LEFT(Ujian!AO32,1)=SEKOR!AO$2,1,0))</f>
        <v>0</v>
      </c>
      <c r="AP25" s="125">
        <f>IF(Ujian!AP32="","",IF(LEFT(Ujian!AP32,1)=SEKOR!AP$2,1,0))</f>
        <v>1</v>
      </c>
      <c r="AQ25" s="125">
        <f>IF(Ujian!AQ32="","",IF(LEFT(Ujian!AQ32,1)=SEKOR!AQ$2,1,0))</f>
        <v>0</v>
      </c>
      <c r="AR25" s="125">
        <f>IF(Ujian!AR32="","",IF(LEFT(Ujian!AR32,1)=SEKOR!AR$2,1,0))</f>
        <v>1</v>
      </c>
      <c r="AS25" s="125">
        <f>IF(Ujian!AS32="","",IF(LEFT(Ujian!AS32,1)=SEKOR!AS$2,1,0))</f>
        <v>0</v>
      </c>
      <c r="AT25" s="125">
        <f>IF(Ujian!AT32="","",IF(LEFT(Ujian!AT32,1)=SEKOR!AT$2,1,0))</f>
        <v>1</v>
      </c>
      <c r="AU25" s="125">
        <f>IF(Ujian!AU32="","",IF(LEFT(Ujian!AU32,1)=SEKOR!AU$2,1,0))</f>
        <v>0</v>
      </c>
      <c r="AV25" s="125">
        <f>IF(Ujian!AV32="","",IF(LEFT(Ujian!AV32,1)=SEKOR!AV$2,1,0))</f>
        <v>1</v>
      </c>
      <c r="AW25" s="125" t="str">
        <f>IF(Ujian!AW32="","",IF(LEFT(Ujian!AW32,1)=SEKOR!AW$2,1,0))</f>
        <v/>
      </c>
      <c r="AX25" s="125" t="str">
        <f>IF(Ujian!AX32="","",IF(LEFT(Ujian!AX32,1)=SEKOR!AX$2,1,0))</f>
        <v/>
      </c>
      <c r="AY25" s="125" t="str">
        <f>IF(Ujian!AY32="","",IF(LEFT(Ujian!AY32,1)=SEKOR!AY$2,1,0))</f>
        <v/>
      </c>
      <c r="AZ25" s="125" t="str">
        <f>IF(Ujian!AZ32="","",IF(LEFT(Ujian!AZ32,1)=SEKOR!AZ$2,1,0))</f>
        <v/>
      </c>
      <c r="BA25" s="125" t="str">
        <f>IF(Ujian!BA32="","",IF(LEFT(Ujian!BA32,1)=SEKOR!BA$2,1,0))</f>
        <v/>
      </c>
      <c r="BB25" s="125" t="str">
        <f>IF(Ujian!BB32="","",IF(LEFT(Ujian!BB32,1)=SEKOR!BB$2,1,0))</f>
        <v/>
      </c>
      <c r="BC25" s="125" t="str">
        <f>IF(Ujian!BC32="","",IF(LEFT(Ujian!BC32,1)=SEKOR!BC$2,1,0))</f>
        <v/>
      </c>
      <c r="BD25" s="125" t="str">
        <f>IF(Ujian!BD32="","",IF(LEFT(Ujian!BD32,1)=SEKOR!BD$2,1,0))</f>
        <v/>
      </c>
      <c r="BE25" s="125" t="str">
        <f>IF(Ujian!BE32="","",IF(LEFT(Ujian!BE32,1)=SEKOR!BE$2,1,0))</f>
        <v/>
      </c>
      <c r="BF25" s="125" t="str">
        <f>IF(Ujian!BF32="","",IF(LEFT(Ujian!BF32,1)=SEKOR!BF$2,1,0))</f>
        <v/>
      </c>
      <c r="BG25" s="125" t="str">
        <f>IF(Ujian!BG32="","",IF(LEFT(Ujian!BG32,1)=SEKOR!BG$2,1,0))</f>
        <v/>
      </c>
      <c r="BH25" s="125" t="str">
        <f>IF(Ujian!BH32="","",IF(LEFT(Ujian!BH32,1)=SEKOR!BH$2,1,0))</f>
        <v/>
      </c>
      <c r="BI25" s="125" t="str">
        <f>IF(Ujian!BI32="","",IF(LEFT(Ujian!BI32,1)=SEKOR!BI$2,1,0))</f>
        <v/>
      </c>
      <c r="BJ25" s="125" t="str">
        <f>IF(Ujian!BJ32="","",IF(LEFT(Ujian!BJ32,1)=SEKOR!BJ$2,1,0))</f>
        <v/>
      </c>
      <c r="BK25" s="125" t="str">
        <f>IF(Ujian!BK32="","",IF(LEFT(Ujian!BK32,1)=SEKOR!BK$2,1,0))</f>
        <v/>
      </c>
      <c r="BL25" s="18">
        <f t="shared" si="0"/>
        <v>39</v>
      </c>
      <c r="BM25" s="18">
        <f>COUNTIF($D25:$BK25,"")+DATA!$F$14-DATA!$F$12</f>
        <v>21</v>
      </c>
      <c r="BN25" s="17">
        <f>IF(COUNTIF($D25:$BK25,1)&gt;DATA!$F$14,DATA!$F$14,COUNTIF($D25:$BK25,1))</f>
        <v>21</v>
      </c>
      <c r="BO25" s="17">
        <f>IF((BN25+COUNTIF($D25:$BK25,0))&lt;=DATA!$F$14,COUNTIF($D25:$BK25,0),DATA!$F$14-SEKOR!BN25)</f>
        <v>18</v>
      </c>
      <c r="BP25" s="4">
        <f>IF(BL25=0,"",BN25/DATA!$F$14*100)</f>
        <v>52.5</v>
      </c>
      <c r="BQ25" s="121">
        <f t="shared" si="1"/>
        <v>67.741935483870961</v>
      </c>
      <c r="BR25" s="2">
        <f>IF(Praktik!$E25=0,"",Praktik!$E25)</f>
        <v>90</v>
      </c>
      <c r="BS25" s="2">
        <f>IF(BR25="","",(BP25*DATAINFO!$O$4)+(SEKOR!BR25*DATAINFO!$O$5)/(DATAINFO!$O$4+DATAINFO!$O$5))</f>
        <v>82.5</v>
      </c>
      <c r="BT25" s="2">
        <f>IF(BL25=0,"",IF(DATA!$F$18="TIDAK",ROUNDUP((IF!$L$8*SEKOR!$BP25)+IF!$L$9,0),IF($BR25="","",ROUNDUP((IF!$L$20*$BS25)+IF!$L$21,0))))</f>
        <v>74</v>
      </c>
      <c r="BU25" s="47">
        <f>IF(BP25="","",IF(SEKOR!BP25&gt;=DATA!$J$12,1,0))</f>
        <v>0</v>
      </c>
      <c r="BV25" s="47">
        <f>IF(BQ25="","",IF(SEKOR!BQ25&gt;=DATA!$J$12,1,0))</f>
        <v>0</v>
      </c>
      <c r="BW25" s="47">
        <f>IF(BR25="","",IF(SEKOR!BR25&gt;=DATA!$J$12,1,0))</f>
        <v>1</v>
      </c>
      <c r="BX25" s="47">
        <f>IF(BT25="","",IF(DATA!$J$14="",IF(SEKOR!BT25&gt;=DATA!$J$12,1,0),IF(SEKOR!BT25&gt;=DATA!$J$14,1,0)))</f>
        <v>1</v>
      </c>
    </row>
    <row r="26" spans="1:76" x14ac:dyDescent="0.25">
      <c r="A26" s="20" t="s">
        <v>53</v>
      </c>
      <c r="B26" s="21" t="str">
        <f>IF(Ujian!B33="","",Ujian!B33)</f>
        <v>  234721</v>
      </c>
      <c r="C26" s="57" t="str">
        <f>IF(Ujian!C33="","",Ujian!C33)</f>
        <v>  Syifa Aulia Rahmah</v>
      </c>
      <c r="D26" s="125">
        <f>IF(Ujian!D33="","",IF(LEFT(Ujian!D33,1)=SEKOR!D$2,1,0))</f>
        <v>0</v>
      </c>
      <c r="E26" s="125">
        <f>IF(Ujian!E33="","",IF(LEFT(Ujian!E33,1)=SEKOR!E$2,1,0))</f>
        <v>1</v>
      </c>
      <c r="F26" s="125">
        <f>IF(Ujian!F33="","",IF(LEFT(Ujian!F33,1)=SEKOR!F$2,1,0))</f>
        <v>1</v>
      </c>
      <c r="G26" s="125">
        <f>IF(Ujian!G33="","",IF(LEFT(Ujian!G33,1)=SEKOR!G$2,1,0))</f>
        <v>0</v>
      </c>
      <c r="H26" s="125">
        <f>IF(Ujian!H33="","",IF(LEFT(Ujian!H33,1)=SEKOR!H$2,1,0))</f>
        <v>0</v>
      </c>
      <c r="I26" s="125">
        <f>IF(Ujian!I33="","",IF(LEFT(Ujian!I33,1)=SEKOR!I$2,1,0))</f>
        <v>0</v>
      </c>
      <c r="J26" s="125">
        <f>IF(Ujian!J33="","",IF(LEFT(Ujian!J33,1)=SEKOR!J$2,1,0))</f>
        <v>0</v>
      </c>
      <c r="K26" s="125">
        <f>IF(Ujian!K33="","",IF(LEFT(Ujian!K33,1)=SEKOR!K$2,1,0))</f>
        <v>1</v>
      </c>
      <c r="L26" s="125">
        <f>IF(Ujian!L33="","",IF(LEFT(Ujian!L33,1)=SEKOR!L$2,1,0))</f>
        <v>0</v>
      </c>
      <c r="M26" s="125">
        <f>IF(Ujian!M33="","",IF(LEFT(Ujian!M33,1)=SEKOR!M$2,1,0))</f>
        <v>1</v>
      </c>
      <c r="N26" s="125" t="str">
        <f>IF(Ujian!N33="","",IF(LEFT(Ujian!N33,1)=SEKOR!N$2,1,0))</f>
        <v/>
      </c>
      <c r="O26" s="125">
        <f>IF(Ujian!O33="","",IF(LEFT(Ujian!O33,1)=SEKOR!O$2,1,0))</f>
        <v>0</v>
      </c>
      <c r="P26" s="125">
        <f>IF(Ujian!P33="","",IF(LEFT(Ujian!P33,1)=SEKOR!P$2,1,0))</f>
        <v>0</v>
      </c>
      <c r="Q26" s="125">
        <f>IF(Ujian!Q33="","",IF(LEFT(Ujian!Q33,1)=SEKOR!Q$2,1,0))</f>
        <v>1</v>
      </c>
      <c r="R26" s="125">
        <f>IF(Ujian!R33="","",IF(LEFT(Ujian!R33,1)=SEKOR!R$2,1,0))</f>
        <v>0</v>
      </c>
      <c r="S26" s="125" t="str">
        <f>IF(Ujian!S33="","",IF(LEFT(Ujian!S33,1)=SEKOR!S$2,1,0))</f>
        <v/>
      </c>
      <c r="T26" s="125">
        <f>IF(Ujian!T33="","",IF(LEFT(Ujian!T33,1)=SEKOR!T$2,1,0))</f>
        <v>1</v>
      </c>
      <c r="U26" s="125">
        <f>IF(Ujian!U33="","",IF(LEFT(Ujian!U33,1)=SEKOR!U$2,1,0))</f>
        <v>1</v>
      </c>
      <c r="V26" s="125">
        <f>IF(Ujian!V33="","",IF(LEFT(Ujian!V33,1)=SEKOR!V$2,1,0))</f>
        <v>0</v>
      </c>
      <c r="W26" s="125">
        <f>IF(Ujian!W33="","",IF(LEFT(Ujian!W33,1)=SEKOR!W$2,1,0))</f>
        <v>1</v>
      </c>
      <c r="X26" s="125">
        <f>IF(Ujian!X33="","",IF(LEFT(Ujian!X33,1)=SEKOR!X$2,1,0))</f>
        <v>1</v>
      </c>
      <c r="Y26" s="125">
        <f>IF(Ujian!Y33="","",IF(LEFT(Ujian!Y33,1)=SEKOR!Y$2,1,0))</f>
        <v>1</v>
      </c>
      <c r="Z26" s="125">
        <f>IF(Ujian!Z33="","",IF(LEFT(Ujian!Z33,1)=SEKOR!Z$2,1,0))</f>
        <v>0</v>
      </c>
      <c r="AA26" s="125">
        <f>IF(Ujian!AA33="","",IF(LEFT(Ujian!AA33,1)=SEKOR!AA$2,1,0))</f>
        <v>0</v>
      </c>
      <c r="AB26" s="125">
        <f>IF(Ujian!AB33="","",IF(LEFT(Ujian!AB33,1)=SEKOR!AB$2,1,0))</f>
        <v>1</v>
      </c>
      <c r="AC26" s="125" t="str">
        <f>IF(Ujian!AC33="","",IF(LEFT(Ujian!AC33,1)=SEKOR!AC$2,1,0))</f>
        <v/>
      </c>
      <c r="AD26" s="125">
        <f>IF(Ujian!AD33="","",IF(LEFT(Ujian!AD33,1)=SEKOR!AD$2,1,0))</f>
        <v>1</v>
      </c>
      <c r="AE26" s="125">
        <f>IF(Ujian!AE33="","",IF(LEFT(Ujian!AE33,1)=SEKOR!AE$2,1,0))</f>
        <v>1</v>
      </c>
      <c r="AF26" s="125">
        <f>IF(Ujian!AF33="","",IF(LEFT(Ujian!AF33,1)=SEKOR!AF$2,1,0))</f>
        <v>0</v>
      </c>
      <c r="AG26" s="125">
        <f>IF(Ujian!AG33="","",IF(LEFT(Ujian!AG33,1)=SEKOR!AG$2,1,0))</f>
        <v>1</v>
      </c>
      <c r="AH26" s="125">
        <f>IF(Ujian!AH33="","",IF(LEFT(Ujian!AH33,1)=SEKOR!AH$2,1,0))</f>
        <v>0</v>
      </c>
      <c r="AI26" s="125">
        <f>IF(Ujian!AI33="","",IF(LEFT(Ujian!AI33,1)=SEKOR!AI$2,1,0))</f>
        <v>1</v>
      </c>
      <c r="AJ26" s="125" t="str">
        <f>IF(Ujian!AJ33="","",IF(LEFT(Ujian!AJ33,1)=SEKOR!AJ$2,1,0))</f>
        <v/>
      </c>
      <c r="AK26" s="125">
        <f>IF(Ujian!AK33="","",IF(LEFT(Ujian!AK33,1)=SEKOR!AK$2,1,0))</f>
        <v>0</v>
      </c>
      <c r="AL26" s="125">
        <f>IF(Ujian!AL33="","",IF(LEFT(Ujian!AL33,1)=SEKOR!AL$2,1,0))</f>
        <v>0</v>
      </c>
      <c r="AM26" s="125">
        <f>IF(Ujian!AM33="","",IF(LEFT(Ujian!AM33,1)=SEKOR!AM$2,1,0))</f>
        <v>1</v>
      </c>
      <c r="AN26" s="125">
        <f>IF(Ujian!AN33="","",IF(LEFT(Ujian!AN33,1)=SEKOR!AN$2,1,0))</f>
        <v>1</v>
      </c>
      <c r="AO26" s="125">
        <f>IF(Ujian!AO33="","",IF(LEFT(Ujian!AO33,1)=SEKOR!AO$2,1,0))</f>
        <v>0</v>
      </c>
      <c r="AP26" s="125">
        <f>IF(Ujian!AP33="","",IF(LEFT(Ujian!AP33,1)=SEKOR!AP$2,1,0))</f>
        <v>0</v>
      </c>
      <c r="AQ26" s="125">
        <f>IF(Ujian!AQ33="","",IF(LEFT(Ujian!AQ33,1)=SEKOR!AQ$2,1,0))</f>
        <v>0</v>
      </c>
      <c r="AR26" s="125">
        <f>IF(Ujian!AR33="","",IF(LEFT(Ujian!AR33,1)=SEKOR!AR$2,1,0))</f>
        <v>0</v>
      </c>
      <c r="AS26" s="125">
        <f>IF(Ujian!AS33="","",IF(LEFT(Ujian!AS33,1)=SEKOR!AS$2,1,0))</f>
        <v>1</v>
      </c>
      <c r="AT26" s="125">
        <f>IF(Ujian!AT33="","",IF(LEFT(Ujian!AT33,1)=SEKOR!AT$2,1,0))</f>
        <v>0</v>
      </c>
      <c r="AU26" s="125" t="str">
        <f>IF(Ujian!AU33="","",IF(LEFT(Ujian!AU33,1)=SEKOR!AU$2,1,0))</f>
        <v/>
      </c>
      <c r="AV26" s="125">
        <f>IF(Ujian!AV33="","",IF(LEFT(Ujian!AV33,1)=SEKOR!AV$2,1,0))</f>
        <v>1</v>
      </c>
      <c r="AW26" s="125" t="str">
        <f>IF(Ujian!AW33="","",IF(LEFT(Ujian!AW33,1)=SEKOR!AW$2,1,0))</f>
        <v/>
      </c>
      <c r="AX26" s="125" t="str">
        <f>IF(Ujian!AX33="","",IF(LEFT(Ujian!AX33,1)=SEKOR!AX$2,1,0))</f>
        <v/>
      </c>
      <c r="AY26" s="125" t="str">
        <f>IF(Ujian!AY33="","",IF(LEFT(Ujian!AY33,1)=SEKOR!AY$2,1,0))</f>
        <v/>
      </c>
      <c r="AZ26" s="125" t="str">
        <f>IF(Ujian!AZ33="","",IF(LEFT(Ujian!AZ33,1)=SEKOR!AZ$2,1,0))</f>
        <v/>
      </c>
      <c r="BA26" s="125" t="str">
        <f>IF(Ujian!BA33="","",IF(LEFT(Ujian!BA33,1)=SEKOR!BA$2,1,0))</f>
        <v/>
      </c>
      <c r="BB26" s="125" t="str">
        <f>IF(Ujian!BB33="","",IF(LEFT(Ujian!BB33,1)=SEKOR!BB$2,1,0))</f>
        <v/>
      </c>
      <c r="BC26" s="125" t="str">
        <f>IF(Ujian!BC33="","",IF(LEFT(Ujian!BC33,1)=SEKOR!BC$2,1,0))</f>
        <v/>
      </c>
      <c r="BD26" s="125" t="str">
        <f>IF(Ujian!BD33="","",IF(LEFT(Ujian!BD33,1)=SEKOR!BD$2,1,0))</f>
        <v/>
      </c>
      <c r="BE26" s="125" t="str">
        <f>IF(Ujian!BE33="","",IF(LEFT(Ujian!BE33,1)=SEKOR!BE$2,1,0))</f>
        <v/>
      </c>
      <c r="BF26" s="125" t="str">
        <f>IF(Ujian!BF33="","",IF(LEFT(Ujian!BF33,1)=SEKOR!BF$2,1,0))</f>
        <v/>
      </c>
      <c r="BG26" s="125" t="str">
        <f>IF(Ujian!BG33="","",IF(LEFT(Ujian!BG33,1)=SEKOR!BG$2,1,0))</f>
        <v/>
      </c>
      <c r="BH26" s="125" t="str">
        <f>IF(Ujian!BH33="","",IF(LEFT(Ujian!BH33,1)=SEKOR!BH$2,1,0))</f>
        <v/>
      </c>
      <c r="BI26" s="125" t="str">
        <f>IF(Ujian!BI33="","",IF(LEFT(Ujian!BI33,1)=SEKOR!BI$2,1,0))</f>
        <v/>
      </c>
      <c r="BJ26" s="125" t="str">
        <f>IF(Ujian!BJ33="","",IF(LEFT(Ujian!BJ33,1)=SEKOR!BJ$2,1,0))</f>
        <v/>
      </c>
      <c r="BK26" s="125" t="str">
        <f>IF(Ujian!BK33="","",IF(LEFT(Ujian!BK33,1)=SEKOR!BK$2,1,0))</f>
        <v/>
      </c>
      <c r="BL26" s="18">
        <f t="shared" si="0"/>
        <v>40</v>
      </c>
      <c r="BM26" s="18">
        <f>COUNTIF($D26:$BK26,"")+DATA!$F$14-DATA!$F$12</f>
        <v>20</v>
      </c>
      <c r="BN26" s="17">
        <f>IF(COUNTIF($D26:$BK26,1)&gt;DATA!$F$14,DATA!$F$14,COUNTIF($D26:$BK26,1))</f>
        <v>19</v>
      </c>
      <c r="BO26" s="17">
        <f>IF((BN26+COUNTIF($D26:$BK26,0))&lt;=DATA!$F$14,COUNTIF($D26:$BK26,0),DATA!$F$14-SEKOR!BN26)</f>
        <v>21</v>
      </c>
      <c r="BP26" s="4">
        <f>IF(BL26=0,"",BN26/DATA!$F$14*100)</f>
        <v>47.5</v>
      </c>
      <c r="BQ26" s="121">
        <f t="shared" si="1"/>
        <v>61.29032258064516</v>
      </c>
      <c r="BR26" s="2">
        <f>IF(Praktik!$E26=0,"",Praktik!$E26)</f>
        <v>90</v>
      </c>
      <c r="BS26" s="2">
        <f>IF(BR26="","",(BP26*DATAINFO!$O$4)+(SEKOR!BR26*DATAINFO!$O$5)/(DATAINFO!$O$4+DATAINFO!$O$5))</f>
        <v>77.5</v>
      </c>
      <c r="BT26" s="2">
        <f>IF(BL26=0,"",IF(DATA!$F$18="TIDAK",ROUNDUP((IF!$L$8*SEKOR!$BP26)+IF!$L$9,0),IF($BR26="","",ROUNDUP((IF!$L$20*$BS26)+IF!$L$21,0))))</f>
        <v>70</v>
      </c>
      <c r="BU26" s="47">
        <f>IF(BP26="","",IF(SEKOR!BP26&gt;=DATA!$J$12,1,0))</f>
        <v>0</v>
      </c>
      <c r="BV26" s="47">
        <f>IF(BQ26="","",IF(SEKOR!BQ26&gt;=DATA!$J$12,1,0))</f>
        <v>0</v>
      </c>
      <c r="BW26" s="47">
        <f>IF(BR26="","",IF(SEKOR!BR26&gt;=DATA!$J$12,1,0))</f>
        <v>1</v>
      </c>
      <c r="BX26" s="47">
        <f>IF(BT26="","",IF(DATA!$J$14="",IF(SEKOR!BT26&gt;=DATA!$J$12,1,0),IF(SEKOR!BT26&gt;=DATA!$J$14,1,0)))</f>
        <v>1</v>
      </c>
    </row>
    <row r="27" spans="1:76" x14ac:dyDescent="0.25">
      <c r="A27" s="20" t="s">
        <v>54</v>
      </c>
      <c r="B27" s="21" t="str">
        <f>IF(Ujian!B34="","",Ujian!B34)</f>
        <v>  234727</v>
      </c>
      <c r="C27" s="57" t="str">
        <f>IF(Ujian!C34="","",Ujian!C34)</f>
        <v>  Zainuddin</v>
      </c>
      <c r="D27" s="125">
        <f>IF(Ujian!D34="","",IF(LEFT(Ujian!D34,1)=SEKOR!D$2,1,0))</f>
        <v>0</v>
      </c>
      <c r="E27" s="125">
        <f>IF(Ujian!E34="","",IF(LEFT(Ujian!E34,1)=SEKOR!E$2,1,0))</f>
        <v>1</v>
      </c>
      <c r="F27" s="125">
        <f>IF(Ujian!F34="","",IF(LEFT(Ujian!F34,1)=SEKOR!F$2,1,0))</f>
        <v>1</v>
      </c>
      <c r="G27" s="125">
        <f>IF(Ujian!G34="","",IF(LEFT(Ujian!G34,1)=SEKOR!G$2,1,0))</f>
        <v>1</v>
      </c>
      <c r="H27" s="125">
        <f>IF(Ujian!H34="","",IF(LEFT(Ujian!H34,1)=SEKOR!H$2,1,0))</f>
        <v>0</v>
      </c>
      <c r="I27" s="125">
        <f>IF(Ujian!I34="","",IF(LEFT(Ujian!I34,1)=SEKOR!I$2,1,0))</f>
        <v>1</v>
      </c>
      <c r="J27" s="125">
        <f>IF(Ujian!J34="","",IF(LEFT(Ujian!J34,1)=SEKOR!J$2,1,0))</f>
        <v>1</v>
      </c>
      <c r="K27" s="125">
        <f>IF(Ujian!K34="","",IF(LEFT(Ujian!K34,1)=SEKOR!K$2,1,0))</f>
        <v>1</v>
      </c>
      <c r="L27" s="125">
        <f>IF(Ujian!L34="","",IF(LEFT(Ujian!L34,1)=SEKOR!L$2,1,0))</f>
        <v>1</v>
      </c>
      <c r="M27" s="125">
        <f>IF(Ujian!M34="","",IF(LEFT(Ujian!M34,1)=SEKOR!M$2,1,0))</f>
        <v>1</v>
      </c>
      <c r="N27" s="125">
        <f>IF(Ujian!N34="","",IF(LEFT(Ujian!N34,1)=SEKOR!N$2,1,0))</f>
        <v>0</v>
      </c>
      <c r="O27" s="125">
        <f>IF(Ujian!O34="","",IF(LEFT(Ujian!O34,1)=SEKOR!O$2,1,0))</f>
        <v>1</v>
      </c>
      <c r="P27" s="125">
        <f>IF(Ujian!P34="","",IF(LEFT(Ujian!P34,1)=SEKOR!P$2,1,0))</f>
        <v>1</v>
      </c>
      <c r="Q27" s="125">
        <f>IF(Ujian!Q34="","",IF(LEFT(Ujian!Q34,1)=SEKOR!Q$2,1,0))</f>
        <v>1</v>
      </c>
      <c r="R27" s="125">
        <f>IF(Ujian!R34="","",IF(LEFT(Ujian!R34,1)=SEKOR!R$2,1,0))</f>
        <v>0</v>
      </c>
      <c r="S27" s="125">
        <f>IF(Ujian!S34="","",IF(LEFT(Ujian!S34,1)=SEKOR!S$2,1,0))</f>
        <v>1</v>
      </c>
      <c r="T27" s="125">
        <f>IF(Ujian!T34="","",IF(LEFT(Ujian!T34,1)=SEKOR!T$2,1,0))</f>
        <v>1</v>
      </c>
      <c r="U27" s="125">
        <f>IF(Ujian!U34="","",IF(LEFT(Ujian!U34,1)=SEKOR!U$2,1,0))</f>
        <v>0</v>
      </c>
      <c r="V27" s="125">
        <f>IF(Ujian!V34="","",IF(LEFT(Ujian!V34,1)=SEKOR!V$2,1,0))</f>
        <v>0</v>
      </c>
      <c r="W27" s="125">
        <f>IF(Ujian!W34="","",IF(LEFT(Ujian!W34,1)=SEKOR!W$2,1,0))</f>
        <v>1</v>
      </c>
      <c r="X27" s="125">
        <f>IF(Ujian!X34="","",IF(LEFT(Ujian!X34,1)=SEKOR!X$2,1,0))</f>
        <v>0</v>
      </c>
      <c r="Y27" s="125">
        <f>IF(Ujian!Y34="","",IF(LEFT(Ujian!Y34,1)=SEKOR!Y$2,1,0))</f>
        <v>1</v>
      </c>
      <c r="Z27" s="125" t="str">
        <f>IF(Ujian!Z34="","",IF(LEFT(Ujian!Z34,1)=SEKOR!Z$2,1,0))</f>
        <v/>
      </c>
      <c r="AA27" s="125">
        <f>IF(Ujian!AA34="","",IF(LEFT(Ujian!AA34,1)=SEKOR!AA$2,1,0))</f>
        <v>1</v>
      </c>
      <c r="AB27" s="125">
        <f>IF(Ujian!AB34="","",IF(LEFT(Ujian!AB34,1)=SEKOR!AB$2,1,0))</f>
        <v>1</v>
      </c>
      <c r="AC27" s="125">
        <f>IF(Ujian!AC34="","",IF(LEFT(Ujian!AC34,1)=SEKOR!AC$2,1,0))</f>
        <v>0</v>
      </c>
      <c r="AD27" s="125">
        <f>IF(Ujian!AD34="","",IF(LEFT(Ujian!AD34,1)=SEKOR!AD$2,1,0))</f>
        <v>1</v>
      </c>
      <c r="AE27" s="125">
        <f>IF(Ujian!AE34="","",IF(LEFT(Ujian!AE34,1)=SEKOR!AE$2,1,0))</f>
        <v>0</v>
      </c>
      <c r="AF27" s="125">
        <f>IF(Ujian!AF34="","",IF(LEFT(Ujian!AF34,1)=SEKOR!AF$2,1,0))</f>
        <v>0</v>
      </c>
      <c r="AG27" s="125">
        <f>IF(Ujian!AG34="","",IF(LEFT(Ujian!AG34,1)=SEKOR!AG$2,1,0))</f>
        <v>0</v>
      </c>
      <c r="AH27" s="125" t="str">
        <f>IF(Ujian!AH34="","",IF(LEFT(Ujian!AH34,1)=SEKOR!AH$2,1,0))</f>
        <v/>
      </c>
      <c r="AI27" s="125">
        <f>IF(Ujian!AI34="","",IF(LEFT(Ujian!AI34,1)=SEKOR!AI$2,1,0))</f>
        <v>1</v>
      </c>
      <c r="AJ27" s="125">
        <f>IF(Ujian!AJ34="","",IF(LEFT(Ujian!AJ34,1)=SEKOR!AJ$2,1,0))</f>
        <v>0</v>
      </c>
      <c r="AK27" s="125">
        <f>IF(Ujian!AK34="","",IF(LEFT(Ujian!AK34,1)=SEKOR!AK$2,1,0))</f>
        <v>0</v>
      </c>
      <c r="AL27" s="125" t="str">
        <f>IF(Ujian!AL34="","",IF(LEFT(Ujian!AL34,1)=SEKOR!AL$2,1,0))</f>
        <v/>
      </c>
      <c r="AM27" s="125">
        <f>IF(Ujian!AM34="","",IF(LEFT(Ujian!AM34,1)=SEKOR!AM$2,1,0))</f>
        <v>0</v>
      </c>
      <c r="AN27" s="125" t="str">
        <f>IF(Ujian!AN34="","",IF(LEFT(Ujian!AN34,1)=SEKOR!AN$2,1,0))</f>
        <v/>
      </c>
      <c r="AO27" s="125">
        <f>IF(Ujian!AO34="","",IF(LEFT(Ujian!AO34,1)=SEKOR!AO$2,1,0))</f>
        <v>0</v>
      </c>
      <c r="AP27" s="125">
        <f>IF(Ujian!AP34="","",IF(LEFT(Ujian!AP34,1)=SEKOR!AP$2,1,0))</f>
        <v>0</v>
      </c>
      <c r="AQ27" s="125" t="str">
        <f>IF(Ujian!AQ34="","",IF(LEFT(Ujian!AQ34,1)=SEKOR!AQ$2,1,0))</f>
        <v/>
      </c>
      <c r="AR27" s="125">
        <f>IF(Ujian!AR34="","",IF(LEFT(Ujian!AR34,1)=SEKOR!AR$2,1,0))</f>
        <v>1</v>
      </c>
      <c r="AS27" s="125">
        <f>IF(Ujian!AS34="","",IF(LEFT(Ujian!AS34,1)=SEKOR!AS$2,1,0))</f>
        <v>0</v>
      </c>
      <c r="AT27" s="125">
        <f>IF(Ujian!AT34="","",IF(LEFT(Ujian!AT34,1)=SEKOR!AT$2,1,0))</f>
        <v>0</v>
      </c>
      <c r="AU27" s="125">
        <f>IF(Ujian!AU34="","",IF(LEFT(Ujian!AU34,1)=SEKOR!AU$2,1,0))</f>
        <v>1</v>
      </c>
      <c r="AV27" s="125">
        <f>IF(Ujian!AV34="","",IF(LEFT(Ujian!AV34,1)=SEKOR!AV$2,1,0))</f>
        <v>0</v>
      </c>
      <c r="AW27" s="125" t="str">
        <f>IF(Ujian!AW34="","",IF(LEFT(Ujian!AW34,1)=SEKOR!AW$2,1,0))</f>
        <v/>
      </c>
      <c r="AX27" s="125" t="str">
        <f>IF(Ujian!AX34="","",IF(LEFT(Ujian!AX34,1)=SEKOR!AX$2,1,0))</f>
        <v/>
      </c>
      <c r="AY27" s="125" t="str">
        <f>IF(Ujian!AY34="","",IF(LEFT(Ujian!AY34,1)=SEKOR!AY$2,1,0))</f>
        <v/>
      </c>
      <c r="AZ27" s="125" t="str">
        <f>IF(Ujian!AZ34="","",IF(LEFT(Ujian!AZ34,1)=SEKOR!AZ$2,1,0))</f>
        <v/>
      </c>
      <c r="BA27" s="125" t="str">
        <f>IF(Ujian!BA34="","",IF(LEFT(Ujian!BA34,1)=SEKOR!BA$2,1,0))</f>
        <v/>
      </c>
      <c r="BB27" s="125" t="str">
        <f>IF(Ujian!BB34="","",IF(LEFT(Ujian!BB34,1)=SEKOR!BB$2,1,0))</f>
        <v/>
      </c>
      <c r="BC27" s="125" t="str">
        <f>IF(Ujian!BC34="","",IF(LEFT(Ujian!BC34,1)=SEKOR!BC$2,1,0))</f>
        <v/>
      </c>
      <c r="BD27" s="125" t="str">
        <f>IF(Ujian!BD34="","",IF(LEFT(Ujian!BD34,1)=SEKOR!BD$2,1,0))</f>
        <v/>
      </c>
      <c r="BE27" s="125" t="str">
        <f>IF(Ujian!BE34="","",IF(LEFT(Ujian!BE34,1)=SEKOR!BE$2,1,0))</f>
        <v/>
      </c>
      <c r="BF27" s="125" t="str">
        <f>IF(Ujian!BF34="","",IF(LEFT(Ujian!BF34,1)=SEKOR!BF$2,1,0))</f>
        <v/>
      </c>
      <c r="BG27" s="125" t="str">
        <f>IF(Ujian!BG34="","",IF(LEFT(Ujian!BG34,1)=SEKOR!BG$2,1,0))</f>
        <v/>
      </c>
      <c r="BH27" s="125" t="str">
        <f>IF(Ujian!BH34="","",IF(LEFT(Ujian!BH34,1)=SEKOR!BH$2,1,0))</f>
        <v/>
      </c>
      <c r="BI27" s="125" t="str">
        <f>IF(Ujian!BI34="","",IF(LEFT(Ujian!BI34,1)=SEKOR!BI$2,1,0))</f>
        <v/>
      </c>
      <c r="BJ27" s="125" t="str">
        <f>IF(Ujian!BJ34="","",IF(LEFT(Ujian!BJ34,1)=SEKOR!BJ$2,1,0))</f>
        <v/>
      </c>
      <c r="BK27" s="125" t="str">
        <f>IF(Ujian!BK34="","",IF(LEFT(Ujian!BK34,1)=SEKOR!BK$2,1,0))</f>
        <v/>
      </c>
      <c r="BL27" s="18">
        <f t="shared" si="0"/>
        <v>40</v>
      </c>
      <c r="BM27" s="18">
        <f>COUNTIF($D27:$BK27,"")+DATA!$F$14-DATA!$F$12</f>
        <v>20</v>
      </c>
      <c r="BN27" s="17">
        <f>IF(COUNTIF($D27:$BK27,1)&gt;DATA!$F$14,DATA!$F$14,COUNTIF($D27:$BK27,1))</f>
        <v>21</v>
      </c>
      <c r="BO27" s="17">
        <f>IF((BN27+COUNTIF($D27:$BK27,0))&lt;=DATA!$F$14,COUNTIF($D27:$BK27,0),DATA!$F$14-SEKOR!BN27)</f>
        <v>19</v>
      </c>
      <c r="BP27" s="4">
        <f>IF(BL27=0,"",BN27/DATA!$F$14*100)</f>
        <v>52.5</v>
      </c>
      <c r="BQ27" s="121">
        <f t="shared" si="1"/>
        <v>67.741935483870961</v>
      </c>
      <c r="BR27" s="2">
        <f>IF(Praktik!$E27=0,"",Praktik!$E27)</f>
        <v>90</v>
      </c>
      <c r="BS27" s="2">
        <f>IF(BR27="","",(BP27*DATAINFO!$O$4)+(SEKOR!BR27*DATAINFO!$O$5)/(DATAINFO!$O$4+DATAINFO!$O$5))</f>
        <v>82.5</v>
      </c>
      <c r="BT27" s="2">
        <f>IF(BL27=0,"",IF(DATA!$F$18="TIDAK",ROUNDUP((IF!$L$8*SEKOR!$BP27)+IF!$L$9,0),IF($BR27="","",ROUNDUP((IF!$L$20*$BS27)+IF!$L$21,0))))</f>
        <v>74</v>
      </c>
      <c r="BU27" s="47">
        <f>IF(BP27="","",IF(SEKOR!BP27&gt;=DATA!$J$12,1,0))</f>
        <v>0</v>
      </c>
      <c r="BV27" s="47">
        <f>IF(BQ27="","",IF(SEKOR!BQ27&gt;=DATA!$J$12,1,0))</f>
        <v>0</v>
      </c>
      <c r="BW27" s="47">
        <f>IF(BR27="","",IF(SEKOR!BR27&gt;=DATA!$J$12,1,0))</f>
        <v>1</v>
      </c>
      <c r="BX27" s="47">
        <f>IF(BT27="","",IF(DATA!$J$14="",IF(SEKOR!BT27&gt;=DATA!$J$12,1,0),IF(SEKOR!BT27&gt;=DATA!$J$14,1,0)))</f>
        <v>1</v>
      </c>
    </row>
    <row r="28" spans="1:76" x14ac:dyDescent="0.25">
      <c r="A28" s="20" t="s">
        <v>55</v>
      </c>
      <c r="B28" s="21" t="str">
        <f>IF(Ujian!B35="","",Ujian!B35)</f>
        <v>  1</v>
      </c>
      <c r="C28" s="57" t="str">
        <f>IF(Ujian!C35="","",Ujian!C35)</f>
        <v>  Latif</v>
      </c>
      <c r="D28" s="125">
        <f>IF(Ujian!D35="","",IF(LEFT(Ujian!D35,1)=SEKOR!D$2,1,0))</f>
        <v>0</v>
      </c>
      <c r="E28" s="125" t="str">
        <f>IF(Ujian!E35="","",IF(LEFT(Ujian!E35,1)=SEKOR!E$2,1,0))</f>
        <v/>
      </c>
      <c r="F28" s="125">
        <f>IF(Ujian!F35="","",IF(LEFT(Ujian!F35,1)=SEKOR!F$2,1,0))</f>
        <v>0</v>
      </c>
      <c r="G28" s="125">
        <f>IF(Ujian!G35="","",IF(LEFT(Ujian!G35,1)=SEKOR!G$2,1,0))</f>
        <v>1</v>
      </c>
      <c r="H28" s="125">
        <f>IF(Ujian!H35="","",IF(LEFT(Ujian!H35,1)=SEKOR!H$2,1,0))</f>
        <v>0</v>
      </c>
      <c r="I28" s="125">
        <f>IF(Ujian!I35="","",IF(LEFT(Ujian!I35,1)=SEKOR!I$2,1,0))</f>
        <v>0</v>
      </c>
      <c r="J28" s="125">
        <f>IF(Ujian!J35="","",IF(LEFT(Ujian!J35,1)=SEKOR!J$2,1,0))</f>
        <v>1</v>
      </c>
      <c r="K28" s="125" t="str">
        <f>IF(Ujian!K35="","",IF(LEFT(Ujian!K35,1)=SEKOR!K$2,1,0))</f>
        <v/>
      </c>
      <c r="L28" s="125">
        <f>IF(Ujian!L35="","",IF(LEFT(Ujian!L35,1)=SEKOR!L$2,1,0))</f>
        <v>1</v>
      </c>
      <c r="M28" s="125">
        <f>IF(Ujian!M35="","",IF(LEFT(Ujian!M35,1)=SEKOR!M$2,1,0))</f>
        <v>0</v>
      </c>
      <c r="N28" s="125">
        <f>IF(Ujian!N35="","",IF(LEFT(Ujian!N35,1)=SEKOR!N$2,1,0))</f>
        <v>0</v>
      </c>
      <c r="O28" s="125">
        <f>IF(Ujian!O35="","",IF(LEFT(Ujian!O35,1)=SEKOR!O$2,1,0))</f>
        <v>1</v>
      </c>
      <c r="P28" s="125">
        <f>IF(Ujian!P35="","",IF(LEFT(Ujian!P35,1)=SEKOR!P$2,1,0))</f>
        <v>0</v>
      </c>
      <c r="Q28" s="125">
        <f>IF(Ujian!Q35="","",IF(LEFT(Ujian!Q35,1)=SEKOR!Q$2,1,0))</f>
        <v>0</v>
      </c>
      <c r="R28" s="125">
        <f>IF(Ujian!R35="","",IF(LEFT(Ujian!R35,1)=SEKOR!R$2,1,0))</f>
        <v>0</v>
      </c>
      <c r="S28" s="125">
        <f>IF(Ujian!S35="","",IF(LEFT(Ujian!S35,1)=SEKOR!S$2,1,0))</f>
        <v>1</v>
      </c>
      <c r="T28" s="125">
        <f>IF(Ujian!T35="","",IF(LEFT(Ujian!T35,1)=SEKOR!T$2,1,0))</f>
        <v>1</v>
      </c>
      <c r="U28" s="125">
        <f>IF(Ujian!U35="","",IF(LEFT(Ujian!U35,1)=SEKOR!U$2,1,0))</f>
        <v>0</v>
      </c>
      <c r="V28" s="125">
        <f>IF(Ujian!V35="","",IF(LEFT(Ujian!V35,1)=SEKOR!V$2,1,0))</f>
        <v>0</v>
      </c>
      <c r="W28" s="125">
        <f>IF(Ujian!W35="","",IF(LEFT(Ujian!W35,1)=SEKOR!W$2,1,0))</f>
        <v>0</v>
      </c>
      <c r="X28" s="125">
        <f>IF(Ujian!X35="","",IF(LEFT(Ujian!X35,1)=SEKOR!X$2,1,0))</f>
        <v>0</v>
      </c>
      <c r="Y28" s="125">
        <f>IF(Ujian!Y35="","",IF(LEFT(Ujian!Y35,1)=SEKOR!Y$2,1,0))</f>
        <v>0</v>
      </c>
      <c r="Z28" s="125">
        <f>IF(Ujian!Z35="","",IF(LEFT(Ujian!Z35,1)=SEKOR!Z$2,1,0))</f>
        <v>1</v>
      </c>
      <c r="AA28" s="125">
        <f>IF(Ujian!AA35="","",IF(LEFT(Ujian!AA35,1)=SEKOR!AA$2,1,0))</f>
        <v>1</v>
      </c>
      <c r="AB28" s="125">
        <f>IF(Ujian!AB35="","",IF(LEFT(Ujian!AB35,1)=SEKOR!AB$2,1,0))</f>
        <v>1</v>
      </c>
      <c r="AC28" s="125">
        <f>IF(Ujian!AC35="","",IF(LEFT(Ujian!AC35,1)=SEKOR!AC$2,1,0))</f>
        <v>0</v>
      </c>
      <c r="AD28" s="125" t="str">
        <f>IF(Ujian!AD35="","",IF(LEFT(Ujian!AD35,1)=SEKOR!AD$2,1,0))</f>
        <v/>
      </c>
      <c r="AE28" s="125">
        <f>IF(Ujian!AE35="","",IF(LEFT(Ujian!AE35,1)=SEKOR!AE$2,1,0))</f>
        <v>1</v>
      </c>
      <c r="AF28" s="125">
        <f>IF(Ujian!AF35="","",IF(LEFT(Ujian!AF35,1)=SEKOR!AF$2,1,0))</f>
        <v>0</v>
      </c>
      <c r="AG28" s="125">
        <f>IF(Ujian!AG35="","",IF(LEFT(Ujian!AG35,1)=SEKOR!AG$2,1,0))</f>
        <v>0</v>
      </c>
      <c r="AH28" s="125">
        <f>IF(Ujian!AH35="","",IF(LEFT(Ujian!AH35,1)=SEKOR!AH$2,1,0))</f>
        <v>0</v>
      </c>
      <c r="AI28" s="125">
        <f>IF(Ujian!AI35="","",IF(LEFT(Ujian!AI35,1)=SEKOR!AI$2,1,0))</f>
        <v>1</v>
      </c>
      <c r="AJ28" s="125">
        <f>IF(Ujian!AJ35="","",IF(LEFT(Ujian!AJ35,1)=SEKOR!AJ$2,1,0))</f>
        <v>1</v>
      </c>
      <c r="AK28" s="125">
        <f>IF(Ujian!AK35="","",IF(LEFT(Ujian!AK35,1)=SEKOR!AK$2,1,0))</f>
        <v>0</v>
      </c>
      <c r="AL28" s="125">
        <f>IF(Ujian!AL35="","",IF(LEFT(Ujian!AL35,1)=SEKOR!AL$2,1,0))</f>
        <v>0</v>
      </c>
      <c r="AM28" s="125">
        <f>IF(Ujian!AM35="","",IF(LEFT(Ujian!AM35,1)=SEKOR!AM$2,1,0))</f>
        <v>1</v>
      </c>
      <c r="AN28" s="125" t="str">
        <f>IF(Ujian!AN35="","",IF(LEFT(Ujian!AN35,1)=SEKOR!AN$2,1,0))</f>
        <v/>
      </c>
      <c r="AO28" s="125">
        <f>IF(Ujian!AO35="","",IF(LEFT(Ujian!AO35,1)=SEKOR!AO$2,1,0))</f>
        <v>0</v>
      </c>
      <c r="AP28" s="125" t="str">
        <f>IF(Ujian!AP35="","",IF(LEFT(Ujian!AP35,1)=SEKOR!AP$2,1,0))</f>
        <v/>
      </c>
      <c r="AQ28" s="125">
        <f>IF(Ujian!AQ35="","",IF(LEFT(Ujian!AQ35,1)=SEKOR!AQ$2,1,0))</f>
        <v>0</v>
      </c>
      <c r="AR28" s="125">
        <f>IF(Ujian!AR35="","",IF(LEFT(Ujian!AR35,1)=SEKOR!AR$2,1,0))</f>
        <v>0</v>
      </c>
      <c r="AS28" s="125">
        <f>IF(Ujian!AS35="","",IF(LEFT(Ujian!AS35,1)=SEKOR!AS$2,1,0))</f>
        <v>0</v>
      </c>
      <c r="AT28" s="125">
        <f>IF(Ujian!AT35="","",IF(LEFT(Ujian!AT35,1)=SEKOR!AT$2,1,0))</f>
        <v>1</v>
      </c>
      <c r="AU28" s="125">
        <f>IF(Ujian!AU35="","",IF(LEFT(Ujian!AU35,1)=SEKOR!AU$2,1,0))</f>
        <v>0</v>
      </c>
      <c r="AV28" s="125">
        <f>IF(Ujian!AV35="","",IF(LEFT(Ujian!AV35,1)=SEKOR!AV$2,1,0))</f>
        <v>1</v>
      </c>
      <c r="AW28" s="125" t="str">
        <f>IF(Ujian!AW35="","",IF(LEFT(Ujian!AW35,1)=SEKOR!AW$2,1,0))</f>
        <v/>
      </c>
      <c r="AX28" s="125" t="str">
        <f>IF(Ujian!AX35="","",IF(LEFT(Ujian!AX35,1)=SEKOR!AX$2,1,0))</f>
        <v/>
      </c>
      <c r="AY28" s="125" t="str">
        <f>IF(Ujian!AY35="","",IF(LEFT(Ujian!AY35,1)=SEKOR!AY$2,1,0))</f>
        <v/>
      </c>
      <c r="AZ28" s="125" t="str">
        <f>IF(Ujian!AZ35="","",IF(LEFT(Ujian!AZ35,1)=SEKOR!AZ$2,1,0))</f>
        <v/>
      </c>
      <c r="BA28" s="125" t="str">
        <f>IF(Ujian!BA35="","",IF(LEFT(Ujian!BA35,1)=SEKOR!BA$2,1,0))</f>
        <v/>
      </c>
      <c r="BB28" s="125" t="str">
        <f>IF(Ujian!BB35="","",IF(LEFT(Ujian!BB35,1)=SEKOR!BB$2,1,0))</f>
        <v/>
      </c>
      <c r="BC28" s="125" t="str">
        <f>IF(Ujian!BC35="","",IF(LEFT(Ujian!BC35,1)=SEKOR!BC$2,1,0))</f>
        <v/>
      </c>
      <c r="BD28" s="125" t="str">
        <f>IF(Ujian!BD35="","",IF(LEFT(Ujian!BD35,1)=SEKOR!BD$2,1,0))</f>
        <v/>
      </c>
      <c r="BE28" s="125" t="str">
        <f>IF(Ujian!BE35="","",IF(LEFT(Ujian!BE35,1)=SEKOR!BE$2,1,0))</f>
        <v/>
      </c>
      <c r="BF28" s="125" t="str">
        <f>IF(Ujian!BF35="","",IF(LEFT(Ujian!BF35,1)=SEKOR!BF$2,1,0))</f>
        <v/>
      </c>
      <c r="BG28" s="125" t="str">
        <f>IF(Ujian!BG35="","",IF(LEFT(Ujian!BG35,1)=SEKOR!BG$2,1,0))</f>
        <v/>
      </c>
      <c r="BH28" s="125" t="str">
        <f>IF(Ujian!BH35="","",IF(LEFT(Ujian!BH35,1)=SEKOR!BH$2,1,0))</f>
        <v/>
      </c>
      <c r="BI28" s="125" t="str">
        <f>IF(Ujian!BI35="","",IF(LEFT(Ujian!BI35,1)=SEKOR!BI$2,1,0))</f>
        <v/>
      </c>
      <c r="BJ28" s="125" t="str">
        <f>IF(Ujian!BJ35="","",IF(LEFT(Ujian!BJ35,1)=SEKOR!BJ$2,1,0))</f>
        <v/>
      </c>
      <c r="BK28" s="125" t="str">
        <f>IF(Ujian!BK35="","",IF(LEFT(Ujian!BK35,1)=SEKOR!BK$2,1,0))</f>
        <v/>
      </c>
      <c r="BL28" s="18">
        <f t="shared" si="0"/>
        <v>40</v>
      </c>
      <c r="BM28" s="18">
        <f>COUNTIF($D28:$BK28,"")+DATA!$F$14-DATA!$F$12</f>
        <v>20</v>
      </c>
      <c r="BN28" s="17">
        <f>IF(COUNTIF($D28:$BK28,1)&gt;DATA!$F$14,DATA!$F$14,COUNTIF($D28:$BK28,1))</f>
        <v>15</v>
      </c>
      <c r="BO28" s="17">
        <f>IF((BN28+COUNTIF($D28:$BK28,0))&lt;=DATA!$F$14,COUNTIF($D28:$BK28,0),DATA!$F$14-SEKOR!BN28)</f>
        <v>25</v>
      </c>
      <c r="BP28" s="4">
        <f>IF(BL28=0,"",BN28/DATA!$F$14*100)</f>
        <v>37.5</v>
      </c>
      <c r="BQ28" s="121">
        <f t="shared" si="1"/>
        <v>48.387096774193552</v>
      </c>
      <c r="BR28" s="2">
        <f>IF(Praktik!$E28=0,"",Praktik!$E28)</f>
        <v>90</v>
      </c>
      <c r="BS28" s="2">
        <f>IF(BR28="","",(BP28*DATAINFO!$O$4)+(SEKOR!BR28*DATAINFO!$O$5)/(DATAINFO!$O$4+DATAINFO!$O$5))</f>
        <v>67.5</v>
      </c>
      <c r="BT28" s="2">
        <f>IF(BL28=0,"",IF(DATA!$F$18="TIDAK",ROUNDUP((IF!$L$8*SEKOR!$BP28)+IF!$L$9,0),IF($BR28="","",ROUNDUP((IF!$L$20*$BS28)+IF!$L$21,0))))</f>
        <v>64</v>
      </c>
      <c r="BU28" s="47">
        <f>IF(BP28="","",IF(SEKOR!BP28&gt;=DATA!$J$12,1,0))</f>
        <v>0</v>
      </c>
      <c r="BV28" s="47">
        <f>IF(BQ28="","",IF(SEKOR!BQ28&gt;=DATA!$J$12,1,0))</f>
        <v>0</v>
      </c>
      <c r="BW28" s="47">
        <f>IF(BR28="","",IF(SEKOR!BR28&gt;=DATA!$J$12,1,0))</f>
        <v>1</v>
      </c>
      <c r="BX28" s="47">
        <f>IF(BT28="","",IF(DATA!$J$14="",IF(SEKOR!BT28&gt;=DATA!$J$12,1,0),IF(SEKOR!BT28&gt;=DATA!$J$14,1,0)))</f>
        <v>1</v>
      </c>
    </row>
    <row r="29" spans="1:76" x14ac:dyDescent="0.25">
      <c r="A29" s="20" t="s">
        <v>56</v>
      </c>
      <c r="B29" s="21" t="str">
        <f>IF(Ujian!B36="","",Ujian!B36)</f>
        <v>  2</v>
      </c>
      <c r="C29" s="57" t="str">
        <f>IF(Ujian!C36="","",Ujian!C36)</f>
        <v>  Ahmad Zaidan Rizki</v>
      </c>
      <c r="D29" s="125">
        <f>IF(Ujian!D36="","",IF(LEFT(Ujian!D36,1)=SEKOR!D$2,1,0))</f>
        <v>0</v>
      </c>
      <c r="E29" s="125">
        <f>IF(Ujian!E36="","",IF(LEFT(Ujian!E36,1)=SEKOR!E$2,1,0))</f>
        <v>0</v>
      </c>
      <c r="F29" s="125">
        <f>IF(Ujian!F36="","",IF(LEFT(Ujian!F36,1)=SEKOR!F$2,1,0))</f>
        <v>0</v>
      </c>
      <c r="G29" s="125">
        <f>IF(Ujian!G36="","",IF(LEFT(Ujian!G36,1)=SEKOR!G$2,1,0))</f>
        <v>0</v>
      </c>
      <c r="H29" s="125">
        <f>IF(Ujian!H36="","",IF(LEFT(Ujian!H36,1)=SEKOR!H$2,1,0))</f>
        <v>0</v>
      </c>
      <c r="I29" s="125">
        <f>IF(Ujian!I36="","",IF(LEFT(Ujian!I36,1)=SEKOR!I$2,1,0))</f>
        <v>0</v>
      </c>
      <c r="J29" s="125">
        <f>IF(Ujian!J36="","",IF(LEFT(Ujian!J36,1)=SEKOR!J$2,1,0))</f>
        <v>0</v>
      </c>
      <c r="K29" s="125">
        <f>IF(Ujian!K36="","",IF(LEFT(Ujian!K36,1)=SEKOR!K$2,1,0))</f>
        <v>0</v>
      </c>
      <c r="L29" s="125" t="str">
        <f>IF(Ujian!L36="","",IF(LEFT(Ujian!L36,1)=SEKOR!L$2,1,0))</f>
        <v/>
      </c>
      <c r="M29" s="125" t="str">
        <f>IF(Ujian!M36="","",IF(LEFT(Ujian!M36,1)=SEKOR!M$2,1,0))</f>
        <v/>
      </c>
      <c r="N29" s="125" t="str">
        <f>IF(Ujian!N36="","",IF(LEFT(Ujian!N36,1)=SEKOR!N$2,1,0))</f>
        <v/>
      </c>
      <c r="O29" s="125">
        <f>IF(Ujian!O36="","",IF(LEFT(Ujian!O36,1)=SEKOR!O$2,1,0))</f>
        <v>1</v>
      </c>
      <c r="P29" s="125">
        <f>IF(Ujian!P36="","",IF(LEFT(Ujian!P36,1)=SEKOR!P$2,1,0))</f>
        <v>0</v>
      </c>
      <c r="Q29" s="125">
        <f>IF(Ujian!Q36="","",IF(LEFT(Ujian!Q36,1)=SEKOR!Q$2,1,0))</f>
        <v>0</v>
      </c>
      <c r="R29" s="125">
        <f>IF(Ujian!R36="","",IF(LEFT(Ujian!R36,1)=SEKOR!R$2,1,0))</f>
        <v>0</v>
      </c>
      <c r="S29" s="125">
        <f>IF(Ujian!S36="","",IF(LEFT(Ujian!S36,1)=SEKOR!S$2,1,0))</f>
        <v>0</v>
      </c>
      <c r="T29" s="125">
        <f>IF(Ujian!T36="","",IF(LEFT(Ujian!T36,1)=SEKOR!T$2,1,0))</f>
        <v>0</v>
      </c>
      <c r="U29" s="125">
        <f>IF(Ujian!U36="","",IF(LEFT(Ujian!U36,1)=SEKOR!U$2,1,0))</f>
        <v>0</v>
      </c>
      <c r="V29" s="125">
        <f>IF(Ujian!V36="","",IF(LEFT(Ujian!V36,1)=SEKOR!V$2,1,0))</f>
        <v>0</v>
      </c>
      <c r="W29" s="125">
        <f>IF(Ujian!W36="","",IF(LEFT(Ujian!W36,1)=SEKOR!W$2,1,0))</f>
        <v>0</v>
      </c>
      <c r="X29" s="125">
        <f>IF(Ujian!X36="","",IF(LEFT(Ujian!X36,1)=SEKOR!X$2,1,0))</f>
        <v>1</v>
      </c>
      <c r="Y29" s="125">
        <f>IF(Ujian!Y36="","",IF(LEFT(Ujian!Y36,1)=SEKOR!Y$2,1,0))</f>
        <v>0</v>
      </c>
      <c r="Z29" s="125">
        <f>IF(Ujian!Z36="","",IF(LEFT(Ujian!Z36,1)=SEKOR!Z$2,1,0))</f>
        <v>0</v>
      </c>
      <c r="AA29" s="125">
        <f>IF(Ujian!AA36="","",IF(LEFT(Ujian!AA36,1)=SEKOR!AA$2,1,0))</f>
        <v>0</v>
      </c>
      <c r="AB29" s="125">
        <f>IF(Ujian!AB36="","",IF(LEFT(Ujian!AB36,1)=SEKOR!AB$2,1,0))</f>
        <v>0</v>
      </c>
      <c r="AC29" s="125">
        <f>IF(Ujian!AC36="","",IF(LEFT(Ujian!AC36,1)=SEKOR!AC$2,1,0))</f>
        <v>0</v>
      </c>
      <c r="AD29" s="125">
        <f>IF(Ujian!AD36="","",IF(LEFT(Ujian!AD36,1)=SEKOR!AD$2,1,0))</f>
        <v>0</v>
      </c>
      <c r="AE29" s="125">
        <f>IF(Ujian!AE36="","",IF(LEFT(Ujian!AE36,1)=SEKOR!AE$2,1,0))</f>
        <v>1</v>
      </c>
      <c r="AF29" s="125">
        <f>IF(Ujian!AF36="","",IF(LEFT(Ujian!AF36,1)=SEKOR!AF$2,1,0))</f>
        <v>0</v>
      </c>
      <c r="AG29" s="125" t="str">
        <f>IF(Ujian!AG36="","",IF(LEFT(Ujian!AG36,1)=SEKOR!AG$2,1,0))</f>
        <v/>
      </c>
      <c r="AH29" s="125">
        <f>IF(Ujian!AH36="","",IF(LEFT(Ujian!AH36,1)=SEKOR!AH$2,1,0))</f>
        <v>1</v>
      </c>
      <c r="AI29" s="125">
        <f>IF(Ujian!AI36="","",IF(LEFT(Ujian!AI36,1)=SEKOR!AI$2,1,0))</f>
        <v>1</v>
      </c>
      <c r="AJ29" s="125">
        <f>IF(Ujian!AJ36="","",IF(LEFT(Ujian!AJ36,1)=SEKOR!AJ$2,1,0))</f>
        <v>0</v>
      </c>
      <c r="AK29" s="125">
        <f>IF(Ujian!AK36="","",IF(LEFT(Ujian!AK36,1)=SEKOR!AK$2,1,0))</f>
        <v>0</v>
      </c>
      <c r="AL29" s="125">
        <f>IF(Ujian!AL36="","",IF(LEFT(Ujian!AL36,1)=SEKOR!AL$2,1,0))</f>
        <v>0</v>
      </c>
      <c r="AM29" s="125" t="str">
        <f>IF(Ujian!AM36="","",IF(LEFT(Ujian!AM36,1)=SEKOR!AM$2,1,0))</f>
        <v/>
      </c>
      <c r="AN29" s="125">
        <f>IF(Ujian!AN36="","",IF(LEFT(Ujian!AN36,1)=SEKOR!AN$2,1,0))</f>
        <v>0</v>
      </c>
      <c r="AO29" s="125">
        <f>IF(Ujian!AO36="","",IF(LEFT(Ujian!AO36,1)=SEKOR!AO$2,1,0))</f>
        <v>0</v>
      </c>
      <c r="AP29" s="125">
        <f>IF(Ujian!AP36="","",IF(LEFT(Ujian!AP36,1)=SEKOR!AP$2,1,0))</f>
        <v>1</v>
      </c>
      <c r="AQ29" s="125">
        <f>IF(Ujian!AQ36="","",IF(LEFT(Ujian!AQ36,1)=SEKOR!AQ$2,1,0))</f>
        <v>0</v>
      </c>
      <c r="AR29" s="125" t="str">
        <f>IF(Ujian!AR36="","",IF(LEFT(Ujian!AR36,1)=SEKOR!AR$2,1,0))</f>
        <v/>
      </c>
      <c r="AS29" s="125" t="str">
        <f>IF(Ujian!AS36="","",IF(LEFT(Ujian!AS36,1)=SEKOR!AS$2,1,0))</f>
        <v/>
      </c>
      <c r="AT29" s="125">
        <f>IF(Ujian!AT36="","",IF(LEFT(Ujian!AT36,1)=SEKOR!AT$2,1,0))</f>
        <v>0</v>
      </c>
      <c r="AU29" s="125">
        <f>IF(Ujian!AU36="","",IF(LEFT(Ujian!AU36,1)=SEKOR!AU$2,1,0))</f>
        <v>1</v>
      </c>
      <c r="AV29" s="125">
        <f>IF(Ujian!AV36="","",IF(LEFT(Ujian!AV36,1)=SEKOR!AV$2,1,0))</f>
        <v>0</v>
      </c>
      <c r="AW29" s="125" t="str">
        <f>IF(Ujian!AW36="","",IF(LEFT(Ujian!AW36,1)=SEKOR!AW$2,1,0))</f>
        <v/>
      </c>
      <c r="AX29" s="125" t="str">
        <f>IF(Ujian!AX36="","",IF(LEFT(Ujian!AX36,1)=SEKOR!AX$2,1,0))</f>
        <v/>
      </c>
      <c r="AY29" s="125" t="str">
        <f>IF(Ujian!AY36="","",IF(LEFT(Ujian!AY36,1)=SEKOR!AY$2,1,0))</f>
        <v/>
      </c>
      <c r="AZ29" s="125" t="str">
        <f>IF(Ujian!AZ36="","",IF(LEFT(Ujian!AZ36,1)=SEKOR!AZ$2,1,0))</f>
        <v/>
      </c>
      <c r="BA29" s="125" t="str">
        <f>IF(Ujian!BA36="","",IF(LEFT(Ujian!BA36,1)=SEKOR!BA$2,1,0))</f>
        <v/>
      </c>
      <c r="BB29" s="125" t="str">
        <f>IF(Ujian!BB36="","",IF(LEFT(Ujian!BB36,1)=SEKOR!BB$2,1,0))</f>
        <v/>
      </c>
      <c r="BC29" s="125" t="str">
        <f>IF(Ujian!BC36="","",IF(LEFT(Ujian!BC36,1)=SEKOR!BC$2,1,0))</f>
        <v/>
      </c>
      <c r="BD29" s="125" t="str">
        <f>IF(Ujian!BD36="","",IF(LEFT(Ujian!BD36,1)=SEKOR!BD$2,1,0))</f>
        <v/>
      </c>
      <c r="BE29" s="125" t="str">
        <f>IF(Ujian!BE36="","",IF(LEFT(Ujian!BE36,1)=SEKOR!BE$2,1,0))</f>
        <v/>
      </c>
      <c r="BF29" s="125" t="str">
        <f>IF(Ujian!BF36="","",IF(LEFT(Ujian!BF36,1)=SEKOR!BF$2,1,0))</f>
        <v/>
      </c>
      <c r="BG29" s="125" t="str">
        <f>IF(Ujian!BG36="","",IF(LEFT(Ujian!BG36,1)=SEKOR!BG$2,1,0))</f>
        <v/>
      </c>
      <c r="BH29" s="125" t="str">
        <f>IF(Ujian!BH36="","",IF(LEFT(Ujian!BH36,1)=SEKOR!BH$2,1,0))</f>
        <v/>
      </c>
      <c r="BI29" s="125" t="str">
        <f>IF(Ujian!BI36="","",IF(LEFT(Ujian!BI36,1)=SEKOR!BI$2,1,0))</f>
        <v/>
      </c>
      <c r="BJ29" s="125" t="str">
        <f>IF(Ujian!BJ36="","",IF(LEFT(Ujian!BJ36,1)=SEKOR!BJ$2,1,0))</f>
        <v/>
      </c>
      <c r="BK29" s="125" t="str">
        <f>IF(Ujian!BK36="","",IF(LEFT(Ujian!BK36,1)=SEKOR!BK$2,1,0))</f>
        <v/>
      </c>
      <c r="BL29" s="18">
        <f t="shared" si="0"/>
        <v>38</v>
      </c>
      <c r="BM29" s="18">
        <f>COUNTIF($D29:$BK29,"")+DATA!$F$14-DATA!$F$12</f>
        <v>22</v>
      </c>
      <c r="BN29" s="17">
        <f>IF(COUNTIF($D29:$BK29,1)&gt;DATA!$F$14,DATA!$F$14,COUNTIF($D29:$BK29,1))</f>
        <v>7</v>
      </c>
      <c r="BO29" s="17">
        <f>IF((BN29+COUNTIF($D29:$BK29,0))&lt;=DATA!$F$14,COUNTIF($D29:$BK29,0),DATA!$F$14-SEKOR!BN29)</f>
        <v>31</v>
      </c>
      <c r="BP29" s="4">
        <f>IF(BL29=0,"",BN29/DATA!$F$14*100)</f>
        <v>17.5</v>
      </c>
      <c r="BQ29" s="121">
        <f t="shared" si="1"/>
        <v>22.58064516129032</v>
      </c>
      <c r="BR29" s="2">
        <f>IF(Praktik!$E29=0,"",Praktik!$E29)</f>
        <v>90</v>
      </c>
      <c r="BS29" s="2">
        <f>IF(BR29="","",(BP29*DATAINFO!$O$4)+(SEKOR!BR29*DATAINFO!$O$5)/(DATAINFO!$O$4+DATAINFO!$O$5))</f>
        <v>47.5</v>
      </c>
      <c r="BT29" s="2">
        <f>IF(BL29=0,"",IF(DATA!$F$18="TIDAK",ROUNDUP((IF!$L$8*SEKOR!$BP29)+IF!$L$9,0),IF($BR29="","",ROUNDUP((IF!$L$20*$BS29)+IF!$L$21,0))))</f>
        <v>50</v>
      </c>
      <c r="BU29" s="47">
        <f>IF(BP29="","",IF(SEKOR!BP29&gt;=DATA!$J$12,1,0))</f>
        <v>0</v>
      </c>
      <c r="BV29" s="47">
        <f>IF(BQ29="","",IF(SEKOR!BQ29&gt;=DATA!$J$12,1,0))</f>
        <v>0</v>
      </c>
      <c r="BW29" s="47">
        <f>IF(BR29="","",IF(SEKOR!BR29&gt;=DATA!$J$12,1,0))</f>
        <v>1</v>
      </c>
      <c r="BX29" s="47">
        <f>IF(BT29="","",IF(DATA!$J$14="",IF(SEKOR!BT29&gt;=DATA!$J$12,1,0),IF(SEKOR!BT29&gt;=DATA!$J$14,1,0)))</f>
        <v>0</v>
      </c>
    </row>
    <row r="30" spans="1:76" x14ac:dyDescent="0.25">
      <c r="A30" s="20" t="s">
        <v>57</v>
      </c>
      <c r="B30" s="21" t="str">
        <f>IF(Ujian!B37="","",Ujian!B37)</f>
        <v>  234587</v>
      </c>
      <c r="C30" s="57" t="str">
        <f>IF(Ujian!C37="","",Ujian!C37)</f>
        <v>  Ahmad Rifani</v>
      </c>
      <c r="D30" s="125">
        <f>IF(Ujian!D37="","",IF(LEFT(Ujian!D37,1)=SEKOR!D$2,1,0))</f>
        <v>1</v>
      </c>
      <c r="E30" s="125">
        <f>IF(Ujian!E37="","",IF(LEFT(Ujian!E37,1)=SEKOR!E$2,1,0))</f>
        <v>1</v>
      </c>
      <c r="F30" s="125">
        <f>IF(Ujian!F37="","",IF(LEFT(Ujian!F37,1)=SEKOR!F$2,1,0))</f>
        <v>1</v>
      </c>
      <c r="G30" s="125">
        <f>IF(Ujian!G37="","",IF(LEFT(Ujian!G37,1)=SEKOR!G$2,1,0))</f>
        <v>1</v>
      </c>
      <c r="H30" s="125">
        <f>IF(Ujian!H37="","",IF(LEFT(Ujian!H37,1)=SEKOR!H$2,1,0))</f>
        <v>0</v>
      </c>
      <c r="I30" s="125">
        <f>IF(Ujian!I37="","",IF(LEFT(Ujian!I37,1)=SEKOR!I$2,1,0))</f>
        <v>1</v>
      </c>
      <c r="J30" s="125">
        <f>IF(Ujian!J37="","",IF(LEFT(Ujian!J37,1)=SEKOR!J$2,1,0))</f>
        <v>1</v>
      </c>
      <c r="K30" s="125">
        <f>IF(Ujian!K37="","",IF(LEFT(Ujian!K37,1)=SEKOR!K$2,1,0))</f>
        <v>0</v>
      </c>
      <c r="L30" s="125">
        <f>IF(Ujian!L37="","",IF(LEFT(Ujian!L37,1)=SEKOR!L$2,1,0))</f>
        <v>0</v>
      </c>
      <c r="M30" s="125">
        <f>IF(Ujian!M37="","",IF(LEFT(Ujian!M37,1)=SEKOR!M$2,1,0))</f>
        <v>1</v>
      </c>
      <c r="N30" s="125">
        <f>IF(Ujian!N37="","",IF(LEFT(Ujian!N37,1)=SEKOR!N$2,1,0))</f>
        <v>1</v>
      </c>
      <c r="O30" s="125" t="str">
        <f>IF(Ujian!O37="","",IF(LEFT(Ujian!O37,1)=SEKOR!O$2,1,0))</f>
        <v/>
      </c>
      <c r="P30" s="125">
        <f>IF(Ujian!P37="","",IF(LEFT(Ujian!P37,1)=SEKOR!P$2,1,0))</f>
        <v>1</v>
      </c>
      <c r="Q30" s="125">
        <f>IF(Ujian!Q37="","",IF(LEFT(Ujian!Q37,1)=SEKOR!Q$2,1,0))</f>
        <v>1</v>
      </c>
      <c r="R30" s="125">
        <f>IF(Ujian!R37="","",IF(LEFT(Ujian!R37,1)=SEKOR!R$2,1,0))</f>
        <v>0</v>
      </c>
      <c r="S30" s="125">
        <f>IF(Ujian!S37="","",IF(LEFT(Ujian!S37,1)=SEKOR!S$2,1,0))</f>
        <v>1</v>
      </c>
      <c r="T30" s="125">
        <f>IF(Ujian!T37="","",IF(LEFT(Ujian!T37,1)=SEKOR!T$2,1,0))</f>
        <v>1</v>
      </c>
      <c r="U30" s="125">
        <f>IF(Ujian!U37="","",IF(LEFT(Ujian!U37,1)=SEKOR!U$2,1,0))</f>
        <v>1</v>
      </c>
      <c r="V30" s="125">
        <f>IF(Ujian!V37="","",IF(LEFT(Ujian!V37,1)=SEKOR!V$2,1,0))</f>
        <v>0</v>
      </c>
      <c r="W30" s="125">
        <f>IF(Ujian!W37="","",IF(LEFT(Ujian!W37,1)=SEKOR!W$2,1,0))</f>
        <v>1</v>
      </c>
      <c r="X30" s="125">
        <f>IF(Ujian!X37="","",IF(LEFT(Ujian!X37,1)=SEKOR!X$2,1,0))</f>
        <v>0</v>
      </c>
      <c r="Y30" s="125">
        <f>IF(Ujian!Y37="","",IF(LEFT(Ujian!Y37,1)=SEKOR!Y$2,1,0))</f>
        <v>1</v>
      </c>
      <c r="Z30" s="125">
        <f>IF(Ujian!Z37="","",IF(LEFT(Ujian!Z37,1)=SEKOR!Z$2,1,0))</f>
        <v>0</v>
      </c>
      <c r="AA30" s="125">
        <f>IF(Ujian!AA37="","",IF(LEFT(Ujian!AA37,1)=SEKOR!AA$2,1,0))</f>
        <v>0</v>
      </c>
      <c r="AB30" s="125">
        <f>IF(Ujian!AB37="","",IF(LEFT(Ujian!AB37,1)=SEKOR!AB$2,1,0))</f>
        <v>1</v>
      </c>
      <c r="AC30" s="125">
        <f>IF(Ujian!AC37="","",IF(LEFT(Ujian!AC37,1)=SEKOR!AC$2,1,0))</f>
        <v>1</v>
      </c>
      <c r="AD30" s="125">
        <f>IF(Ujian!AD37="","",IF(LEFT(Ujian!AD37,1)=SEKOR!AD$2,1,0))</f>
        <v>1</v>
      </c>
      <c r="AE30" s="125">
        <f>IF(Ujian!AE37="","",IF(LEFT(Ujian!AE37,1)=SEKOR!AE$2,1,0))</f>
        <v>0</v>
      </c>
      <c r="AF30" s="125">
        <f>IF(Ujian!AF37="","",IF(LEFT(Ujian!AF37,1)=SEKOR!AF$2,1,0))</f>
        <v>1</v>
      </c>
      <c r="AG30" s="125">
        <f>IF(Ujian!AG37="","",IF(LEFT(Ujian!AG37,1)=SEKOR!AG$2,1,0))</f>
        <v>0</v>
      </c>
      <c r="AH30" s="125">
        <f>IF(Ujian!AH37="","",IF(LEFT(Ujian!AH37,1)=SEKOR!AH$2,1,0))</f>
        <v>0</v>
      </c>
      <c r="AI30" s="125">
        <f>IF(Ujian!AI37="","",IF(LEFT(Ujian!AI37,1)=SEKOR!AI$2,1,0))</f>
        <v>1</v>
      </c>
      <c r="AJ30" s="125">
        <f>IF(Ujian!AJ37="","",IF(LEFT(Ujian!AJ37,1)=SEKOR!AJ$2,1,0))</f>
        <v>1</v>
      </c>
      <c r="AK30" s="125">
        <f>IF(Ujian!AK37="","",IF(LEFT(Ujian!AK37,1)=SEKOR!AK$2,1,0))</f>
        <v>1</v>
      </c>
      <c r="AL30" s="125">
        <f>IF(Ujian!AL37="","",IF(LEFT(Ujian!AL37,1)=SEKOR!AL$2,1,0))</f>
        <v>0</v>
      </c>
      <c r="AM30" s="125">
        <f>IF(Ujian!AM37="","",IF(LEFT(Ujian!AM37,1)=SEKOR!AM$2,1,0))</f>
        <v>0</v>
      </c>
      <c r="AN30" s="125">
        <f>IF(Ujian!AN37="","",IF(LEFT(Ujian!AN37,1)=SEKOR!AN$2,1,0))</f>
        <v>1</v>
      </c>
      <c r="AO30" s="125">
        <f>IF(Ujian!AO37="","",IF(LEFT(Ujian!AO37,1)=SEKOR!AO$2,1,0))</f>
        <v>0</v>
      </c>
      <c r="AP30" s="125">
        <f>IF(Ujian!AP37="","",IF(LEFT(Ujian!AP37,1)=SEKOR!AP$2,1,0))</f>
        <v>1</v>
      </c>
      <c r="AQ30" s="125" t="str">
        <f>IF(Ujian!AQ37="","",IF(LEFT(Ujian!AQ37,1)=SEKOR!AQ$2,1,0))</f>
        <v/>
      </c>
      <c r="AR30" s="125" t="str">
        <f>IF(Ujian!AR37="","",IF(LEFT(Ujian!AR37,1)=SEKOR!AR$2,1,0))</f>
        <v/>
      </c>
      <c r="AS30" s="125" t="str">
        <f>IF(Ujian!AS37="","",IF(LEFT(Ujian!AS37,1)=SEKOR!AS$2,1,0))</f>
        <v/>
      </c>
      <c r="AT30" s="125" t="str">
        <f>IF(Ujian!AT37="","",IF(LEFT(Ujian!AT37,1)=SEKOR!AT$2,1,0))</f>
        <v/>
      </c>
      <c r="AU30" s="125">
        <f>IF(Ujian!AU37="","",IF(LEFT(Ujian!AU37,1)=SEKOR!AU$2,1,0))</f>
        <v>1</v>
      </c>
      <c r="AV30" s="125">
        <f>IF(Ujian!AV37="","",IF(LEFT(Ujian!AV37,1)=SEKOR!AV$2,1,0))</f>
        <v>1</v>
      </c>
      <c r="AW30" s="125" t="str">
        <f>IF(Ujian!AW37="","",IF(LEFT(Ujian!AW37,1)=SEKOR!AW$2,1,0))</f>
        <v/>
      </c>
      <c r="AX30" s="125" t="str">
        <f>IF(Ujian!AX37="","",IF(LEFT(Ujian!AX37,1)=SEKOR!AX$2,1,0))</f>
        <v/>
      </c>
      <c r="AY30" s="125" t="str">
        <f>IF(Ujian!AY37="","",IF(LEFT(Ujian!AY37,1)=SEKOR!AY$2,1,0))</f>
        <v/>
      </c>
      <c r="AZ30" s="125" t="str">
        <f>IF(Ujian!AZ37="","",IF(LEFT(Ujian!AZ37,1)=SEKOR!AZ$2,1,0))</f>
        <v/>
      </c>
      <c r="BA30" s="125" t="str">
        <f>IF(Ujian!BA37="","",IF(LEFT(Ujian!BA37,1)=SEKOR!BA$2,1,0))</f>
        <v/>
      </c>
      <c r="BB30" s="125" t="str">
        <f>IF(Ujian!BB37="","",IF(LEFT(Ujian!BB37,1)=SEKOR!BB$2,1,0))</f>
        <v/>
      </c>
      <c r="BC30" s="125" t="str">
        <f>IF(Ujian!BC37="","",IF(LEFT(Ujian!BC37,1)=SEKOR!BC$2,1,0))</f>
        <v/>
      </c>
      <c r="BD30" s="125" t="str">
        <f>IF(Ujian!BD37="","",IF(LEFT(Ujian!BD37,1)=SEKOR!BD$2,1,0))</f>
        <v/>
      </c>
      <c r="BE30" s="125" t="str">
        <f>IF(Ujian!BE37="","",IF(LEFT(Ujian!BE37,1)=SEKOR!BE$2,1,0))</f>
        <v/>
      </c>
      <c r="BF30" s="125" t="str">
        <f>IF(Ujian!BF37="","",IF(LEFT(Ujian!BF37,1)=SEKOR!BF$2,1,0))</f>
        <v/>
      </c>
      <c r="BG30" s="125" t="str">
        <f>IF(Ujian!BG37="","",IF(LEFT(Ujian!BG37,1)=SEKOR!BG$2,1,0))</f>
        <v/>
      </c>
      <c r="BH30" s="125" t="str">
        <f>IF(Ujian!BH37="","",IF(LEFT(Ujian!BH37,1)=SEKOR!BH$2,1,0))</f>
        <v/>
      </c>
      <c r="BI30" s="125" t="str">
        <f>IF(Ujian!BI37="","",IF(LEFT(Ujian!BI37,1)=SEKOR!BI$2,1,0))</f>
        <v/>
      </c>
      <c r="BJ30" s="125" t="str">
        <f>IF(Ujian!BJ37="","",IF(LEFT(Ujian!BJ37,1)=SEKOR!BJ$2,1,0))</f>
        <v/>
      </c>
      <c r="BK30" s="125" t="str">
        <f>IF(Ujian!BK37="","",IF(LEFT(Ujian!BK37,1)=SEKOR!BK$2,1,0))</f>
        <v/>
      </c>
      <c r="BL30" s="18">
        <f t="shared" si="0"/>
        <v>40</v>
      </c>
      <c r="BM30" s="18">
        <f>COUNTIF($D30:$BK30,"")+DATA!$F$14-DATA!$F$12</f>
        <v>20</v>
      </c>
      <c r="BN30" s="17">
        <f>IF(COUNTIF($D30:$BK30,1)&gt;DATA!$F$14,DATA!$F$14,COUNTIF($D30:$BK30,1))</f>
        <v>26</v>
      </c>
      <c r="BO30" s="17">
        <f>IF((BN30+COUNTIF($D30:$BK30,0))&lt;=DATA!$F$14,COUNTIF($D30:$BK30,0),DATA!$F$14-SEKOR!BN30)</f>
        <v>14</v>
      </c>
      <c r="BP30" s="4">
        <f>IF(BL30=0,"",BN30/DATA!$F$14*100)</f>
        <v>65</v>
      </c>
      <c r="BQ30" s="121">
        <f t="shared" si="1"/>
        <v>83.870967741935488</v>
      </c>
      <c r="BR30" s="2">
        <f>IF(Praktik!$E30=0,"",Praktik!$E30)</f>
        <v>90</v>
      </c>
      <c r="BS30" s="2">
        <f>IF(BR30="","",(BP30*DATAINFO!$O$4)+(SEKOR!BR30*DATAINFO!$O$5)/(DATAINFO!$O$4+DATAINFO!$O$5))</f>
        <v>95</v>
      </c>
      <c r="BT30" s="2">
        <f>IF(BL30=0,"",IF(DATA!$F$18="TIDAK",ROUNDUP((IF!$L$8*SEKOR!$BP30)+IF!$L$9,0),IF($BR30="","",ROUNDUP((IF!$L$20*$BS30)+IF!$L$21,0))))</f>
        <v>82</v>
      </c>
      <c r="BU30" s="47">
        <f>IF(BP30="","",IF(SEKOR!BP30&gt;=DATA!$J$12,1,0))</f>
        <v>0</v>
      </c>
      <c r="BV30" s="47">
        <f>IF(BQ30="","",IF(SEKOR!BQ30&gt;=DATA!$J$12,1,0))</f>
        <v>1</v>
      </c>
      <c r="BW30" s="47">
        <f>IF(BR30="","",IF(SEKOR!BR30&gt;=DATA!$J$12,1,0))</f>
        <v>1</v>
      </c>
      <c r="BX30" s="47">
        <f>IF(BT30="","",IF(DATA!$J$14="",IF(SEKOR!BT30&gt;=DATA!$J$12,1,0),IF(SEKOR!BT30&gt;=DATA!$J$14,1,0)))</f>
        <v>1</v>
      </c>
    </row>
    <row r="31" spans="1:76" x14ac:dyDescent="0.25">
      <c r="A31" s="20" t="s">
        <v>58</v>
      </c>
      <c r="B31" s="21" t="str">
        <f>IF(Ujian!B38="","",Ujian!B38)</f>
        <v>  234591</v>
      </c>
      <c r="C31" s="57" t="str">
        <f>IF(Ujian!C38="","",Ujian!C38)</f>
        <v>  Alfi Wahyuni</v>
      </c>
      <c r="D31" s="125">
        <f>IF(Ujian!D38="","",IF(LEFT(Ujian!D38,1)=SEKOR!D$2,1,0))</f>
        <v>0</v>
      </c>
      <c r="E31" s="125">
        <f>IF(Ujian!E38="","",IF(LEFT(Ujian!E38,1)=SEKOR!E$2,1,0))</f>
        <v>0</v>
      </c>
      <c r="F31" s="125">
        <f>IF(Ujian!F38="","",IF(LEFT(Ujian!F38,1)=SEKOR!F$2,1,0))</f>
        <v>0</v>
      </c>
      <c r="G31" s="125" t="str">
        <f>IF(Ujian!G38="","",IF(LEFT(Ujian!G38,1)=SEKOR!G$2,1,0))</f>
        <v/>
      </c>
      <c r="H31" s="125">
        <f>IF(Ujian!H38="","",IF(LEFT(Ujian!H38,1)=SEKOR!H$2,1,0))</f>
        <v>0</v>
      </c>
      <c r="I31" s="125">
        <f>IF(Ujian!I38="","",IF(LEFT(Ujian!I38,1)=SEKOR!I$2,1,0))</f>
        <v>1</v>
      </c>
      <c r="J31" s="125">
        <f>IF(Ujian!J38="","",IF(LEFT(Ujian!J38,1)=SEKOR!J$2,1,0))</f>
        <v>1</v>
      </c>
      <c r="K31" s="125">
        <f>IF(Ujian!K38="","",IF(LEFT(Ujian!K38,1)=SEKOR!K$2,1,0))</f>
        <v>1</v>
      </c>
      <c r="L31" s="125">
        <f>IF(Ujian!L38="","",IF(LEFT(Ujian!L38,1)=SEKOR!L$2,1,0))</f>
        <v>1</v>
      </c>
      <c r="M31" s="125">
        <f>IF(Ujian!M38="","",IF(LEFT(Ujian!M38,1)=SEKOR!M$2,1,0))</f>
        <v>0</v>
      </c>
      <c r="N31" s="125">
        <f>IF(Ujian!N38="","",IF(LEFT(Ujian!N38,1)=SEKOR!N$2,1,0))</f>
        <v>0</v>
      </c>
      <c r="O31" s="125">
        <f>IF(Ujian!O38="","",IF(LEFT(Ujian!O38,1)=SEKOR!O$2,1,0))</f>
        <v>1</v>
      </c>
      <c r="P31" s="125">
        <f>IF(Ujian!P38="","",IF(LEFT(Ujian!P38,1)=SEKOR!P$2,1,0))</f>
        <v>0</v>
      </c>
      <c r="Q31" s="125">
        <f>IF(Ujian!Q38="","",IF(LEFT(Ujian!Q38,1)=SEKOR!Q$2,1,0))</f>
        <v>1</v>
      </c>
      <c r="R31" s="125">
        <f>IF(Ujian!R38="","",IF(LEFT(Ujian!R38,1)=SEKOR!R$2,1,0))</f>
        <v>0</v>
      </c>
      <c r="S31" s="125" t="str">
        <f>IF(Ujian!S38="","",IF(LEFT(Ujian!S38,1)=SEKOR!S$2,1,0))</f>
        <v/>
      </c>
      <c r="T31" s="125">
        <f>IF(Ujian!T38="","",IF(LEFT(Ujian!T38,1)=SEKOR!T$2,1,0))</f>
        <v>1</v>
      </c>
      <c r="U31" s="125">
        <f>IF(Ujian!U38="","",IF(LEFT(Ujian!U38,1)=SEKOR!U$2,1,0))</f>
        <v>0</v>
      </c>
      <c r="V31" s="125">
        <f>IF(Ujian!V38="","",IF(LEFT(Ujian!V38,1)=SEKOR!V$2,1,0))</f>
        <v>0</v>
      </c>
      <c r="W31" s="125">
        <f>IF(Ujian!W38="","",IF(LEFT(Ujian!W38,1)=SEKOR!W$2,1,0))</f>
        <v>0</v>
      </c>
      <c r="X31" s="125" t="str">
        <f>IF(Ujian!X38="","",IF(LEFT(Ujian!X38,1)=SEKOR!X$2,1,0))</f>
        <v/>
      </c>
      <c r="Y31" s="125">
        <f>IF(Ujian!Y38="","",IF(LEFT(Ujian!Y38,1)=SEKOR!Y$2,1,0))</f>
        <v>1</v>
      </c>
      <c r="Z31" s="125">
        <f>IF(Ujian!Z38="","",IF(LEFT(Ujian!Z38,1)=SEKOR!Z$2,1,0))</f>
        <v>0</v>
      </c>
      <c r="AA31" s="125" t="str">
        <f>IF(Ujian!AA38="","",IF(LEFT(Ujian!AA38,1)=SEKOR!AA$2,1,0))</f>
        <v/>
      </c>
      <c r="AB31" s="125">
        <f>IF(Ujian!AB38="","",IF(LEFT(Ujian!AB38,1)=SEKOR!AB$2,1,0))</f>
        <v>1</v>
      </c>
      <c r="AC31" s="125">
        <f>IF(Ujian!AC38="","",IF(LEFT(Ujian!AC38,1)=SEKOR!AC$2,1,0))</f>
        <v>1</v>
      </c>
      <c r="AD31" s="125">
        <f>IF(Ujian!AD38="","",IF(LEFT(Ujian!AD38,1)=SEKOR!AD$2,1,0))</f>
        <v>1</v>
      </c>
      <c r="AE31" s="125">
        <f>IF(Ujian!AE38="","",IF(LEFT(Ujian!AE38,1)=SEKOR!AE$2,1,0))</f>
        <v>0</v>
      </c>
      <c r="AF31" s="125">
        <f>IF(Ujian!AF38="","",IF(LEFT(Ujian!AF38,1)=SEKOR!AF$2,1,0))</f>
        <v>0</v>
      </c>
      <c r="AG31" s="125">
        <f>IF(Ujian!AG38="","",IF(LEFT(Ujian!AG38,1)=SEKOR!AG$2,1,0))</f>
        <v>1</v>
      </c>
      <c r="AH31" s="125">
        <f>IF(Ujian!AH38="","",IF(LEFT(Ujian!AH38,1)=SEKOR!AH$2,1,0))</f>
        <v>0</v>
      </c>
      <c r="AI31" s="125">
        <f>IF(Ujian!AI38="","",IF(LEFT(Ujian!AI38,1)=SEKOR!AI$2,1,0))</f>
        <v>0</v>
      </c>
      <c r="AJ31" s="125">
        <f>IF(Ujian!AJ38="","",IF(LEFT(Ujian!AJ38,1)=SEKOR!AJ$2,1,0))</f>
        <v>1</v>
      </c>
      <c r="AK31" s="125" t="str">
        <f>IF(Ujian!AK38="","",IF(LEFT(Ujian!AK38,1)=SEKOR!AK$2,1,0))</f>
        <v/>
      </c>
      <c r="AL31" s="125">
        <f>IF(Ujian!AL38="","",IF(LEFT(Ujian!AL38,1)=SEKOR!AL$2,1,0))</f>
        <v>0</v>
      </c>
      <c r="AM31" s="125">
        <f>IF(Ujian!AM38="","",IF(LEFT(Ujian!AM38,1)=SEKOR!AM$2,1,0))</f>
        <v>0</v>
      </c>
      <c r="AN31" s="125">
        <f>IF(Ujian!AN38="","",IF(LEFT(Ujian!AN38,1)=SEKOR!AN$2,1,0))</f>
        <v>0</v>
      </c>
      <c r="AO31" s="125">
        <f>IF(Ujian!AO38="","",IF(LEFT(Ujian!AO38,1)=SEKOR!AO$2,1,0))</f>
        <v>0</v>
      </c>
      <c r="AP31" s="125">
        <f>IF(Ujian!AP38="","",IF(LEFT(Ujian!AP38,1)=SEKOR!AP$2,1,0))</f>
        <v>0</v>
      </c>
      <c r="AQ31" s="125" t="str">
        <f>IF(Ujian!AQ38="","",IF(LEFT(Ujian!AQ38,1)=SEKOR!AQ$2,1,0))</f>
        <v/>
      </c>
      <c r="AR31" s="125">
        <f>IF(Ujian!AR38="","",IF(LEFT(Ujian!AR38,1)=SEKOR!AR$2,1,0))</f>
        <v>1</v>
      </c>
      <c r="AS31" s="125">
        <f>IF(Ujian!AS38="","",IF(LEFT(Ujian!AS38,1)=SEKOR!AS$2,1,0))</f>
        <v>0</v>
      </c>
      <c r="AT31" s="125">
        <f>IF(Ujian!AT38="","",IF(LEFT(Ujian!AT38,1)=SEKOR!AT$2,1,0))</f>
        <v>0</v>
      </c>
      <c r="AU31" s="125">
        <f>IF(Ujian!AU38="","",IF(LEFT(Ujian!AU38,1)=SEKOR!AU$2,1,0))</f>
        <v>1</v>
      </c>
      <c r="AV31" s="125">
        <f>IF(Ujian!AV38="","",IF(LEFT(Ujian!AV38,1)=SEKOR!AV$2,1,0))</f>
        <v>1</v>
      </c>
      <c r="AW31" s="125" t="str">
        <f>IF(Ujian!AW38="","",IF(LEFT(Ujian!AW38,1)=SEKOR!AW$2,1,0))</f>
        <v/>
      </c>
      <c r="AX31" s="125" t="str">
        <f>IF(Ujian!AX38="","",IF(LEFT(Ujian!AX38,1)=SEKOR!AX$2,1,0))</f>
        <v/>
      </c>
      <c r="AY31" s="125" t="str">
        <f>IF(Ujian!AY38="","",IF(LEFT(Ujian!AY38,1)=SEKOR!AY$2,1,0))</f>
        <v/>
      </c>
      <c r="AZ31" s="125" t="str">
        <f>IF(Ujian!AZ38="","",IF(LEFT(Ujian!AZ38,1)=SEKOR!AZ$2,1,0))</f>
        <v/>
      </c>
      <c r="BA31" s="125" t="str">
        <f>IF(Ujian!BA38="","",IF(LEFT(Ujian!BA38,1)=SEKOR!BA$2,1,0))</f>
        <v/>
      </c>
      <c r="BB31" s="125" t="str">
        <f>IF(Ujian!BB38="","",IF(LEFT(Ujian!BB38,1)=SEKOR!BB$2,1,0))</f>
        <v/>
      </c>
      <c r="BC31" s="125" t="str">
        <f>IF(Ujian!BC38="","",IF(LEFT(Ujian!BC38,1)=SEKOR!BC$2,1,0))</f>
        <v/>
      </c>
      <c r="BD31" s="125" t="str">
        <f>IF(Ujian!BD38="","",IF(LEFT(Ujian!BD38,1)=SEKOR!BD$2,1,0))</f>
        <v/>
      </c>
      <c r="BE31" s="125" t="str">
        <f>IF(Ujian!BE38="","",IF(LEFT(Ujian!BE38,1)=SEKOR!BE$2,1,0))</f>
        <v/>
      </c>
      <c r="BF31" s="125" t="str">
        <f>IF(Ujian!BF38="","",IF(LEFT(Ujian!BF38,1)=SEKOR!BF$2,1,0))</f>
        <v/>
      </c>
      <c r="BG31" s="125" t="str">
        <f>IF(Ujian!BG38="","",IF(LEFT(Ujian!BG38,1)=SEKOR!BG$2,1,0))</f>
        <v/>
      </c>
      <c r="BH31" s="125" t="str">
        <f>IF(Ujian!BH38="","",IF(LEFT(Ujian!BH38,1)=SEKOR!BH$2,1,0))</f>
        <v/>
      </c>
      <c r="BI31" s="125" t="str">
        <f>IF(Ujian!BI38="","",IF(LEFT(Ujian!BI38,1)=SEKOR!BI$2,1,0))</f>
        <v/>
      </c>
      <c r="BJ31" s="125" t="str">
        <f>IF(Ujian!BJ38="","",IF(LEFT(Ujian!BJ38,1)=SEKOR!BJ$2,1,0))</f>
        <v/>
      </c>
      <c r="BK31" s="125" t="str">
        <f>IF(Ujian!BK38="","",IF(LEFT(Ujian!BK38,1)=SEKOR!BK$2,1,0))</f>
        <v/>
      </c>
      <c r="BL31" s="18">
        <f t="shared" si="0"/>
        <v>39</v>
      </c>
      <c r="BM31" s="18">
        <f>COUNTIF($D31:$BK31,"")+DATA!$F$14-DATA!$F$12</f>
        <v>21</v>
      </c>
      <c r="BN31" s="17">
        <f>IF(COUNTIF($D31:$BK31,1)&gt;DATA!$F$14,DATA!$F$14,COUNTIF($D31:$BK31,1))</f>
        <v>16</v>
      </c>
      <c r="BO31" s="17">
        <f>IF((BN31+COUNTIF($D31:$BK31,0))&lt;=DATA!$F$14,COUNTIF($D31:$BK31,0),DATA!$F$14-SEKOR!BN31)</f>
        <v>23</v>
      </c>
      <c r="BP31" s="4">
        <f>IF(BL31=0,"",BN31/DATA!$F$14*100)</f>
        <v>40</v>
      </c>
      <c r="BQ31" s="121">
        <f t="shared" si="1"/>
        <v>51.612903225806448</v>
      </c>
      <c r="BR31" s="2">
        <f>IF(Praktik!$E31=0,"",Praktik!$E31)</f>
        <v>90</v>
      </c>
      <c r="BS31" s="2">
        <f>IF(BR31="","",(BP31*DATAINFO!$O$4)+(SEKOR!BR31*DATAINFO!$O$5)/(DATAINFO!$O$4+DATAINFO!$O$5))</f>
        <v>70</v>
      </c>
      <c r="BT31" s="2">
        <f>IF(BL31=0,"",IF(DATA!$F$18="TIDAK",ROUNDUP((IF!$L$8*SEKOR!$BP31)+IF!$L$9,0),IF($BR31="","",ROUNDUP((IF!$L$20*$BS31)+IF!$L$21,0))))</f>
        <v>65</v>
      </c>
      <c r="BU31" s="47">
        <f>IF(BP31="","",IF(SEKOR!BP31&gt;=DATA!$J$12,1,0))</f>
        <v>0</v>
      </c>
      <c r="BV31" s="47">
        <f>IF(BQ31="","",IF(SEKOR!BQ31&gt;=DATA!$J$12,1,0))</f>
        <v>0</v>
      </c>
      <c r="BW31" s="47">
        <f>IF(BR31="","",IF(SEKOR!BR31&gt;=DATA!$J$12,1,0))</f>
        <v>1</v>
      </c>
      <c r="BX31" s="47">
        <f>IF(BT31="","",IF(DATA!$J$14="",IF(SEKOR!BT31&gt;=DATA!$J$12,1,0),IF(SEKOR!BT31&gt;=DATA!$J$14,1,0)))</f>
        <v>1</v>
      </c>
    </row>
    <row r="32" spans="1:76" x14ac:dyDescent="0.25">
      <c r="A32" s="20" t="s">
        <v>59</v>
      </c>
      <c r="B32" s="21" t="str">
        <f>IF(Ujian!B39="","",Ujian!B39)</f>
        <v>  234594</v>
      </c>
      <c r="C32" s="57" t="str">
        <f>IF(Ujian!C39="","",Ujian!C39)</f>
        <v>  Alya Nur</v>
      </c>
      <c r="D32" s="125" t="str">
        <f>IF(Ujian!D39="","",IF(LEFT(Ujian!D39,1)=SEKOR!D$2,1,0))</f>
        <v/>
      </c>
      <c r="E32" s="125">
        <f>IF(Ujian!E39="","",IF(LEFT(Ujian!E39,1)=SEKOR!E$2,1,0))</f>
        <v>1</v>
      </c>
      <c r="F32" s="125">
        <f>IF(Ujian!F39="","",IF(LEFT(Ujian!F39,1)=SEKOR!F$2,1,0))</f>
        <v>0</v>
      </c>
      <c r="G32" s="125">
        <f>IF(Ujian!G39="","",IF(LEFT(Ujian!G39,1)=SEKOR!G$2,1,0))</f>
        <v>1</v>
      </c>
      <c r="H32" s="125">
        <f>IF(Ujian!H39="","",IF(LEFT(Ujian!H39,1)=SEKOR!H$2,1,0))</f>
        <v>0</v>
      </c>
      <c r="I32" s="125">
        <f>IF(Ujian!I39="","",IF(LEFT(Ujian!I39,1)=SEKOR!I$2,1,0))</f>
        <v>1</v>
      </c>
      <c r="J32" s="125">
        <f>IF(Ujian!J39="","",IF(LEFT(Ujian!J39,1)=SEKOR!J$2,1,0))</f>
        <v>1</v>
      </c>
      <c r="K32" s="125">
        <f>IF(Ujian!K39="","",IF(LEFT(Ujian!K39,1)=SEKOR!K$2,1,0))</f>
        <v>1</v>
      </c>
      <c r="L32" s="125">
        <f>IF(Ujian!L39="","",IF(LEFT(Ujian!L39,1)=SEKOR!L$2,1,0))</f>
        <v>1</v>
      </c>
      <c r="M32" s="125">
        <f>IF(Ujian!M39="","",IF(LEFT(Ujian!M39,1)=SEKOR!M$2,1,0))</f>
        <v>1</v>
      </c>
      <c r="N32" s="125">
        <f>IF(Ujian!N39="","",IF(LEFT(Ujian!N39,1)=SEKOR!N$2,1,0))</f>
        <v>0</v>
      </c>
      <c r="O32" s="125">
        <f>IF(Ujian!O39="","",IF(LEFT(Ujian!O39,1)=SEKOR!O$2,1,0))</f>
        <v>1</v>
      </c>
      <c r="P32" s="125">
        <f>IF(Ujian!P39="","",IF(LEFT(Ujian!P39,1)=SEKOR!P$2,1,0))</f>
        <v>0</v>
      </c>
      <c r="Q32" s="125">
        <f>IF(Ujian!Q39="","",IF(LEFT(Ujian!Q39,1)=SEKOR!Q$2,1,0))</f>
        <v>1</v>
      </c>
      <c r="R32" s="125">
        <f>IF(Ujian!R39="","",IF(LEFT(Ujian!R39,1)=SEKOR!R$2,1,0))</f>
        <v>0</v>
      </c>
      <c r="S32" s="125" t="str">
        <f>IF(Ujian!S39="","",IF(LEFT(Ujian!S39,1)=SEKOR!S$2,1,0))</f>
        <v/>
      </c>
      <c r="T32" s="125">
        <f>IF(Ujian!T39="","",IF(LEFT(Ujian!T39,1)=SEKOR!T$2,1,0))</f>
        <v>1</v>
      </c>
      <c r="U32" s="125">
        <f>IF(Ujian!U39="","",IF(LEFT(Ujian!U39,1)=SEKOR!U$2,1,0))</f>
        <v>0</v>
      </c>
      <c r="V32" s="125">
        <f>IF(Ujian!V39="","",IF(LEFT(Ujian!V39,1)=SEKOR!V$2,1,0))</f>
        <v>0</v>
      </c>
      <c r="W32" s="125">
        <f>IF(Ujian!W39="","",IF(LEFT(Ujian!W39,1)=SEKOR!W$2,1,0))</f>
        <v>1</v>
      </c>
      <c r="X32" s="125">
        <f>IF(Ujian!X39="","",IF(LEFT(Ujian!X39,1)=SEKOR!X$2,1,0))</f>
        <v>0</v>
      </c>
      <c r="Y32" s="125">
        <f>IF(Ujian!Y39="","",IF(LEFT(Ujian!Y39,1)=SEKOR!Y$2,1,0))</f>
        <v>1</v>
      </c>
      <c r="Z32" s="125">
        <f>IF(Ujian!Z39="","",IF(LEFT(Ujian!Z39,1)=SEKOR!Z$2,1,0))</f>
        <v>0</v>
      </c>
      <c r="AA32" s="125">
        <f>IF(Ujian!AA39="","",IF(LEFT(Ujian!AA39,1)=SEKOR!AA$2,1,0))</f>
        <v>0</v>
      </c>
      <c r="AB32" s="125">
        <f>IF(Ujian!AB39="","",IF(LEFT(Ujian!AB39,1)=SEKOR!AB$2,1,0))</f>
        <v>1</v>
      </c>
      <c r="AC32" s="125">
        <f>IF(Ujian!AC39="","",IF(LEFT(Ujian!AC39,1)=SEKOR!AC$2,1,0))</f>
        <v>1</v>
      </c>
      <c r="AD32" s="125" t="str">
        <f>IF(Ujian!AD39="","",IF(LEFT(Ujian!AD39,1)=SEKOR!AD$2,1,0))</f>
        <v/>
      </c>
      <c r="AE32" s="125">
        <f>IF(Ujian!AE39="","",IF(LEFT(Ujian!AE39,1)=SEKOR!AE$2,1,0))</f>
        <v>0</v>
      </c>
      <c r="AF32" s="125">
        <f>IF(Ujian!AF39="","",IF(LEFT(Ujian!AF39,1)=SEKOR!AF$2,1,0))</f>
        <v>0</v>
      </c>
      <c r="AG32" s="125" t="str">
        <f>IF(Ujian!AG39="","",IF(LEFT(Ujian!AG39,1)=SEKOR!AG$2,1,0))</f>
        <v/>
      </c>
      <c r="AH32" s="125">
        <f>IF(Ujian!AH39="","",IF(LEFT(Ujian!AH39,1)=SEKOR!AH$2,1,0))</f>
        <v>0</v>
      </c>
      <c r="AI32" s="125">
        <f>IF(Ujian!AI39="","",IF(LEFT(Ujian!AI39,1)=SEKOR!AI$2,1,0))</f>
        <v>0</v>
      </c>
      <c r="AJ32" s="125">
        <f>IF(Ujian!AJ39="","",IF(LEFT(Ujian!AJ39,1)=SEKOR!AJ$2,1,0))</f>
        <v>0</v>
      </c>
      <c r="AK32" s="125">
        <f>IF(Ujian!AK39="","",IF(LEFT(Ujian!AK39,1)=SEKOR!AK$2,1,0))</f>
        <v>1</v>
      </c>
      <c r="AL32" s="125">
        <f>IF(Ujian!AL39="","",IF(LEFT(Ujian!AL39,1)=SEKOR!AL$2,1,0))</f>
        <v>1</v>
      </c>
      <c r="AM32" s="125">
        <f>IF(Ujian!AM39="","",IF(LEFT(Ujian!AM39,1)=SEKOR!AM$2,1,0))</f>
        <v>0</v>
      </c>
      <c r="AN32" s="125">
        <f>IF(Ujian!AN39="","",IF(LEFT(Ujian!AN39,1)=SEKOR!AN$2,1,0))</f>
        <v>1</v>
      </c>
      <c r="AO32" s="125" t="str">
        <f>IF(Ujian!AO39="","",IF(LEFT(Ujian!AO39,1)=SEKOR!AO$2,1,0))</f>
        <v/>
      </c>
      <c r="AP32" s="125">
        <f>IF(Ujian!AP39="","",IF(LEFT(Ujian!AP39,1)=SEKOR!AP$2,1,0))</f>
        <v>0</v>
      </c>
      <c r="AQ32" s="125">
        <f>IF(Ujian!AQ39="","",IF(LEFT(Ujian!AQ39,1)=SEKOR!AQ$2,1,0))</f>
        <v>1</v>
      </c>
      <c r="AR32" s="125">
        <f>IF(Ujian!AR39="","",IF(LEFT(Ujian!AR39,1)=SEKOR!AR$2,1,0))</f>
        <v>1</v>
      </c>
      <c r="AS32" s="125">
        <f>IF(Ujian!AS39="","",IF(LEFT(Ujian!AS39,1)=SEKOR!AS$2,1,0))</f>
        <v>0</v>
      </c>
      <c r="AT32" s="125">
        <f>IF(Ujian!AT39="","",IF(LEFT(Ujian!AT39,1)=SEKOR!AT$2,1,0))</f>
        <v>0</v>
      </c>
      <c r="AU32" s="125">
        <f>IF(Ujian!AU39="","",IF(LEFT(Ujian!AU39,1)=SEKOR!AU$2,1,0))</f>
        <v>1</v>
      </c>
      <c r="AV32" s="125">
        <f>IF(Ujian!AV39="","",IF(LEFT(Ujian!AV39,1)=SEKOR!AV$2,1,0))</f>
        <v>1</v>
      </c>
      <c r="AW32" s="125" t="str">
        <f>IF(Ujian!AW39="","",IF(LEFT(Ujian!AW39,1)=SEKOR!AW$2,1,0))</f>
        <v/>
      </c>
      <c r="AX32" s="125" t="str">
        <f>IF(Ujian!AX39="","",IF(LEFT(Ujian!AX39,1)=SEKOR!AX$2,1,0))</f>
        <v/>
      </c>
      <c r="AY32" s="125" t="str">
        <f>IF(Ujian!AY39="","",IF(LEFT(Ujian!AY39,1)=SEKOR!AY$2,1,0))</f>
        <v/>
      </c>
      <c r="AZ32" s="125" t="str">
        <f>IF(Ujian!AZ39="","",IF(LEFT(Ujian!AZ39,1)=SEKOR!AZ$2,1,0))</f>
        <v/>
      </c>
      <c r="BA32" s="125" t="str">
        <f>IF(Ujian!BA39="","",IF(LEFT(Ujian!BA39,1)=SEKOR!BA$2,1,0))</f>
        <v/>
      </c>
      <c r="BB32" s="125" t="str">
        <f>IF(Ujian!BB39="","",IF(LEFT(Ujian!BB39,1)=SEKOR!BB$2,1,0))</f>
        <v/>
      </c>
      <c r="BC32" s="125" t="str">
        <f>IF(Ujian!BC39="","",IF(LEFT(Ujian!BC39,1)=SEKOR!BC$2,1,0))</f>
        <v/>
      </c>
      <c r="BD32" s="125" t="str">
        <f>IF(Ujian!BD39="","",IF(LEFT(Ujian!BD39,1)=SEKOR!BD$2,1,0))</f>
        <v/>
      </c>
      <c r="BE32" s="125" t="str">
        <f>IF(Ujian!BE39="","",IF(LEFT(Ujian!BE39,1)=SEKOR!BE$2,1,0))</f>
        <v/>
      </c>
      <c r="BF32" s="125" t="str">
        <f>IF(Ujian!BF39="","",IF(LEFT(Ujian!BF39,1)=SEKOR!BF$2,1,0))</f>
        <v/>
      </c>
      <c r="BG32" s="125" t="str">
        <f>IF(Ujian!BG39="","",IF(LEFT(Ujian!BG39,1)=SEKOR!BG$2,1,0))</f>
        <v/>
      </c>
      <c r="BH32" s="125" t="str">
        <f>IF(Ujian!BH39="","",IF(LEFT(Ujian!BH39,1)=SEKOR!BH$2,1,0))</f>
        <v/>
      </c>
      <c r="BI32" s="125" t="str">
        <f>IF(Ujian!BI39="","",IF(LEFT(Ujian!BI39,1)=SEKOR!BI$2,1,0))</f>
        <v/>
      </c>
      <c r="BJ32" s="125" t="str">
        <f>IF(Ujian!BJ39="","",IF(LEFT(Ujian!BJ39,1)=SEKOR!BJ$2,1,0))</f>
        <v/>
      </c>
      <c r="BK32" s="125" t="str">
        <f>IF(Ujian!BK39="","",IF(LEFT(Ujian!BK39,1)=SEKOR!BK$2,1,0))</f>
        <v/>
      </c>
      <c r="BL32" s="18">
        <f t="shared" si="0"/>
        <v>40</v>
      </c>
      <c r="BM32" s="18">
        <f>COUNTIF($D32:$BK32,"")+DATA!$F$14-DATA!$F$12</f>
        <v>20</v>
      </c>
      <c r="BN32" s="17">
        <f>IF(COUNTIF($D32:$BK32,1)&gt;DATA!$F$14,DATA!$F$14,COUNTIF($D32:$BK32,1))</f>
        <v>21</v>
      </c>
      <c r="BO32" s="17">
        <f>IF((BN32+COUNTIF($D32:$BK32,0))&lt;=DATA!$F$14,COUNTIF($D32:$BK32,0),DATA!$F$14-SEKOR!BN32)</f>
        <v>19</v>
      </c>
      <c r="BP32" s="4">
        <f>IF(BL32=0,"",BN32/DATA!$F$14*100)</f>
        <v>52.5</v>
      </c>
      <c r="BQ32" s="121">
        <f t="shared" si="1"/>
        <v>67.741935483870961</v>
      </c>
      <c r="BR32" s="2">
        <f>IF(Praktik!$E32=0,"",Praktik!$E32)</f>
        <v>90</v>
      </c>
      <c r="BS32" s="2">
        <f>IF(BR32="","",(BP32*DATAINFO!$O$4)+(SEKOR!BR32*DATAINFO!$O$5)/(DATAINFO!$O$4+DATAINFO!$O$5))</f>
        <v>82.5</v>
      </c>
      <c r="BT32" s="2">
        <f>IF(BL32=0,"",IF(DATA!$F$18="TIDAK",ROUNDUP((IF!$L$8*SEKOR!$BP32)+IF!$L$9,0),IF($BR32="","",ROUNDUP((IF!$L$20*$BS32)+IF!$L$21,0))))</f>
        <v>74</v>
      </c>
      <c r="BU32" s="47">
        <f>IF(BP32="","",IF(SEKOR!BP32&gt;=DATA!$J$12,1,0))</f>
        <v>0</v>
      </c>
      <c r="BV32" s="47">
        <f>IF(BQ32="","",IF(SEKOR!BQ32&gt;=DATA!$J$12,1,0))</f>
        <v>0</v>
      </c>
      <c r="BW32" s="47">
        <f>IF(BR32="","",IF(SEKOR!BR32&gt;=DATA!$J$12,1,0))</f>
        <v>1</v>
      </c>
      <c r="BX32" s="47">
        <f>IF(BT32="","",IF(DATA!$J$14="",IF(SEKOR!BT32&gt;=DATA!$J$12,1,0),IF(SEKOR!BT32&gt;=DATA!$J$14,1,0)))</f>
        <v>1</v>
      </c>
    </row>
    <row r="33" spans="1:76" x14ac:dyDescent="0.25">
      <c r="A33" s="20" t="s">
        <v>60</v>
      </c>
      <c r="B33" s="21" t="str">
        <f>IF(Ujian!B40="","",Ujian!B40)</f>
        <v>  234600</v>
      </c>
      <c r="C33" s="57" t="str">
        <f>IF(Ujian!C40="","",Ujian!C40)</f>
        <v>  Aulia Astuti</v>
      </c>
      <c r="D33" s="125">
        <f>IF(Ujian!D40="","",IF(LEFT(Ujian!D40,1)=SEKOR!D$2,1,0))</f>
        <v>0</v>
      </c>
      <c r="E33" s="125" t="str">
        <f>IF(Ujian!E40="","",IF(LEFT(Ujian!E40,1)=SEKOR!E$2,1,0))</f>
        <v/>
      </c>
      <c r="F33" s="125">
        <f>IF(Ujian!F40="","",IF(LEFT(Ujian!F40,1)=SEKOR!F$2,1,0))</f>
        <v>1</v>
      </c>
      <c r="G33" s="125">
        <f>IF(Ujian!G40="","",IF(LEFT(Ujian!G40,1)=SEKOR!G$2,1,0))</f>
        <v>0</v>
      </c>
      <c r="H33" s="125">
        <f>IF(Ujian!H40="","",IF(LEFT(Ujian!H40,1)=SEKOR!H$2,1,0))</f>
        <v>0</v>
      </c>
      <c r="I33" s="125">
        <f>IF(Ujian!I40="","",IF(LEFT(Ujian!I40,1)=SEKOR!I$2,1,0))</f>
        <v>0</v>
      </c>
      <c r="J33" s="125">
        <f>IF(Ujian!J40="","",IF(LEFT(Ujian!J40,1)=SEKOR!J$2,1,0))</f>
        <v>0</v>
      </c>
      <c r="K33" s="125">
        <f>IF(Ujian!K40="","",IF(LEFT(Ujian!K40,1)=SEKOR!K$2,1,0))</f>
        <v>0</v>
      </c>
      <c r="L33" s="125">
        <f>IF(Ujian!L40="","",IF(LEFT(Ujian!L40,1)=SEKOR!L$2,1,0))</f>
        <v>0</v>
      </c>
      <c r="M33" s="125" t="str">
        <f>IF(Ujian!M40="","",IF(LEFT(Ujian!M40,1)=SEKOR!M$2,1,0))</f>
        <v/>
      </c>
      <c r="N33" s="125">
        <f>IF(Ujian!N40="","",IF(LEFT(Ujian!N40,1)=SEKOR!N$2,1,0))</f>
        <v>0</v>
      </c>
      <c r="O33" s="125">
        <f>IF(Ujian!O40="","",IF(LEFT(Ujian!O40,1)=SEKOR!O$2,1,0))</f>
        <v>0</v>
      </c>
      <c r="P33" s="125">
        <f>IF(Ujian!P40="","",IF(LEFT(Ujian!P40,1)=SEKOR!P$2,1,0))</f>
        <v>1</v>
      </c>
      <c r="Q33" s="125">
        <f>IF(Ujian!Q40="","",IF(LEFT(Ujian!Q40,1)=SEKOR!Q$2,1,0))</f>
        <v>1</v>
      </c>
      <c r="R33" s="125" t="str">
        <f>IF(Ujian!R40="","",IF(LEFT(Ujian!R40,1)=SEKOR!R$2,1,0))</f>
        <v/>
      </c>
      <c r="S33" s="125">
        <f>IF(Ujian!S40="","",IF(LEFT(Ujian!S40,1)=SEKOR!S$2,1,0))</f>
        <v>0</v>
      </c>
      <c r="T33" s="125">
        <f>IF(Ujian!T40="","",IF(LEFT(Ujian!T40,1)=SEKOR!T$2,1,0))</f>
        <v>0</v>
      </c>
      <c r="U33" s="125">
        <f>IF(Ujian!U40="","",IF(LEFT(Ujian!U40,1)=SEKOR!U$2,1,0))</f>
        <v>0</v>
      </c>
      <c r="V33" s="125">
        <f>IF(Ujian!V40="","",IF(LEFT(Ujian!V40,1)=SEKOR!V$2,1,0))</f>
        <v>1</v>
      </c>
      <c r="W33" s="125">
        <f>IF(Ujian!W40="","",IF(LEFT(Ujian!W40,1)=SEKOR!W$2,1,0))</f>
        <v>1</v>
      </c>
      <c r="X33" s="125">
        <f>IF(Ujian!X40="","",IF(LEFT(Ujian!X40,1)=SEKOR!X$2,1,0))</f>
        <v>0</v>
      </c>
      <c r="Y33" s="125">
        <f>IF(Ujian!Y40="","",IF(LEFT(Ujian!Y40,1)=SEKOR!Y$2,1,0))</f>
        <v>0</v>
      </c>
      <c r="Z33" s="125">
        <f>IF(Ujian!Z40="","",IF(LEFT(Ujian!Z40,1)=SEKOR!Z$2,1,0))</f>
        <v>1</v>
      </c>
      <c r="AA33" s="125">
        <f>IF(Ujian!AA40="","",IF(LEFT(Ujian!AA40,1)=SEKOR!AA$2,1,0))</f>
        <v>1</v>
      </c>
      <c r="AB33" s="125">
        <f>IF(Ujian!AB40="","",IF(LEFT(Ujian!AB40,1)=SEKOR!AB$2,1,0))</f>
        <v>1</v>
      </c>
      <c r="AC33" s="125" t="str">
        <f>IF(Ujian!AC40="","",IF(LEFT(Ujian!AC40,1)=SEKOR!AC$2,1,0))</f>
        <v/>
      </c>
      <c r="AD33" s="125" t="str">
        <f>IF(Ujian!AD40="","",IF(LEFT(Ujian!AD40,1)=SEKOR!AD$2,1,0))</f>
        <v/>
      </c>
      <c r="AE33" s="125">
        <f>IF(Ujian!AE40="","",IF(LEFT(Ujian!AE40,1)=SEKOR!AE$2,1,0))</f>
        <v>0</v>
      </c>
      <c r="AF33" s="125">
        <f>IF(Ujian!AF40="","",IF(LEFT(Ujian!AF40,1)=SEKOR!AF$2,1,0))</f>
        <v>0</v>
      </c>
      <c r="AG33" s="125">
        <f>IF(Ujian!AG40="","",IF(LEFT(Ujian!AG40,1)=SEKOR!AG$2,1,0))</f>
        <v>1</v>
      </c>
      <c r="AH33" s="125">
        <f>IF(Ujian!AH40="","",IF(LEFT(Ujian!AH40,1)=SEKOR!AH$2,1,0))</f>
        <v>1</v>
      </c>
      <c r="AI33" s="125">
        <f>IF(Ujian!AI40="","",IF(LEFT(Ujian!AI40,1)=SEKOR!AI$2,1,0))</f>
        <v>0</v>
      </c>
      <c r="AJ33" s="125">
        <f>IF(Ujian!AJ40="","",IF(LEFT(Ujian!AJ40,1)=SEKOR!AJ$2,1,0))</f>
        <v>1</v>
      </c>
      <c r="AK33" s="125">
        <f>IF(Ujian!AK40="","",IF(LEFT(Ujian!AK40,1)=SEKOR!AK$2,1,0))</f>
        <v>0</v>
      </c>
      <c r="AL33" s="125">
        <f>IF(Ujian!AL40="","",IF(LEFT(Ujian!AL40,1)=SEKOR!AL$2,1,0))</f>
        <v>1</v>
      </c>
      <c r="AM33" s="125">
        <f>IF(Ujian!AM40="","",IF(LEFT(Ujian!AM40,1)=SEKOR!AM$2,1,0))</f>
        <v>0</v>
      </c>
      <c r="AN33" s="125">
        <f>IF(Ujian!AN40="","",IF(LEFT(Ujian!AN40,1)=SEKOR!AN$2,1,0))</f>
        <v>1</v>
      </c>
      <c r="AO33" s="125">
        <f>IF(Ujian!AO40="","",IF(LEFT(Ujian!AO40,1)=SEKOR!AO$2,1,0))</f>
        <v>0</v>
      </c>
      <c r="AP33" s="125">
        <f>IF(Ujian!AP40="","",IF(LEFT(Ujian!AP40,1)=SEKOR!AP$2,1,0))</f>
        <v>0</v>
      </c>
      <c r="AQ33" s="125">
        <f>IF(Ujian!AQ40="","",IF(LEFT(Ujian!AQ40,1)=SEKOR!AQ$2,1,0))</f>
        <v>0</v>
      </c>
      <c r="AR33" s="125">
        <f>IF(Ujian!AR40="","",IF(LEFT(Ujian!AR40,1)=SEKOR!AR$2,1,0))</f>
        <v>1</v>
      </c>
      <c r="AS33" s="125">
        <f>IF(Ujian!AS40="","",IF(LEFT(Ujian!AS40,1)=SEKOR!AS$2,1,0))</f>
        <v>0</v>
      </c>
      <c r="AT33" s="125">
        <f>IF(Ujian!AT40="","",IF(LEFT(Ujian!AT40,1)=SEKOR!AT$2,1,0))</f>
        <v>0</v>
      </c>
      <c r="AU33" s="125">
        <f>IF(Ujian!AU40="","",IF(LEFT(Ujian!AU40,1)=SEKOR!AU$2,1,0))</f>
        <v>0</v>
      </c>
      <c r="AV33" s="125">
        <f>IF(Ujian!AV40="","",IF(LEFT(Ujian!AV40,1)=SEKOR!AV$2,1,0))</f>
        <v>1</v>
      </c>
      <c r="AW33" s="125" t="str">
        <f>IF(Ujian!AW40="","",IF(LEFT(Ujian!AW40,1)=SEKOR!AW$2,1,0))</f>
        <v/>
      </c>
      <c r="AX33" s="125" t="str">
        <f>IF(Ujian!AX40="","",IF(LEFT(Ujian!AX40,1)=SEKOR!AX$2,1,0))</f>
        <v/>
      </c>
      <c r="AY33" s="125" t="str">
        <f>IF(Ujian!AY40="","",IF(LEFT(Ujian!AY40,1)=SEKOR!AY$2,1,0))</f>
        <v/>
      </c>
      <c r="AZ33" s="125" t="str">
        <f>IF(Ujian!AZ40="","",IF(LEFT(Ujian!AZ40,1)=SEKOR!AZ$2,1,0))</f>
        <v/>
      </c>
      <c r="BA33" s="125" t="str">
        <f>IF(Ujian!BA40="","",IF(LEFT(Ujian!BA40,1)=SEKOR!BA$2,1,0))</f>
        <v/>
      </c>
      <c r="BB33" s="125" t="str">
        <f>IF(Ujian!BB40="","",IF(LEFT(Ujian!BB40,1)=SEKOR!BB$2,1,0))</f>
        <v/>
      </c>
      <c r="BC33" s="125" t="str">
        <f>IF(Ujian!BC40="","",IF(LEFT(Ujian!BC40,1)=SEKOR!BC$2,1,0))</f>
        <v/>
      </c>
      <c r="BD33" s="125" t="str">
        <f>IF(Ujian!BD40="","",IF(LEFT(Ujian!BD40,1)=SEKOR!BD$2,1,0))</f>
        <v/>
      </c>
      <c r="BE33" s="125" t="str">
        <f>IF(Ujian!BE40="","",IF(LEFT(Ujian!BE40,1)=SEKOR!BE$2,1,0))</f>
        <v/>
      </c>
      <c r="BF33" s="125" t="str">
        <f>IF(Ujian!BF40="","",IF(LEFT(Ujian!BF40,1)=SEKOR!BF$2,1,0))</f>
        <v/>
      </c>
      <c r="BG33" s="125" t="str">
        <f>IF(Ujian!BG40="","",IF(LEFT(Ujian!BG40,1)=SEKOR!BG$2,1,0))</f>
        <v/>
      </c>
      <c r="BH33" s="125" t="str">
        <f>IF(Ujian!BH40="","",IF(LEFT(Ujian!BH40,1)=SEKOR!BH$2,1,0))</f>
        <v/>
      </c>
      <c r="BI33" s="125" t="str">
        <f>IF(Ujian!BI40="","",IF(LEFT(Ujian!BI40,1)=SEKOR!BI$2,1,0))</f>
        <v/>
      </c>
      <c r="BJ33" s="125" t="str">
        <f>IF(Ujian!BJ40="","",IF(LEFT(Ujian!BJ40,1)=SEKOR!BJ$2,1,0))</f>
        <v/>
      </c>
      <c r="BK33" s="125" t="str">
        <f>IF(Ujian!BK40="","",IF(LEFT(Ujian!BK40,1)=SEKOR!BK$2,1,0))</f>
        <v/>
      </c>
      <c r="BL33" s="18">
        <f t="shared" si="0"/>
        <v>40</v>
      </c>
      <c r="BM33" s="18">
        <f>COUNTIF($D33:$BK33,"")+DATA!$F$14-DATA!$F$12</f>
        <v>20</v>
      </c>
      <c r="BN33" s="17">
        <f>IF(COUNTIF($D33:$BK33,1)&gt;DATA!$F$14,DATA!$F$14,COUNTIF($D33:$BK33,1))</f>
        <v>15</v>
      </c>
      <c r="BO33" s="17">
        <f>IF((BN33+COUNTIF($D33:$BK33,0))&lt;=DATA!$F$14,COUNTIF($D33:$BK33,0),DATA!$F$14-SEKOR!BN33)</f>
        <v>25</v>
      </c>
      <c r="BP33" s="4">
        <f>IF(BL33=0,"",BN33/DATA!$F$14*100)</f>
        <v>37.5</v>
      </c>
      <c r="BQ33" s="121">
        <f t="shared" si="1"/>
        <v>48.387096774193552</v>
      </c>
      <c r="BR33" s="2">
        <f>IF(Praktik!$E33=0,"",Praktik!$E33)</f>
        <v>90</v>
      </c>
      <c r="BS33" s="2">
        <f>IF(BR33="","",(BP33*DATAINFO!$O$4)+(SEKOR!BR33*DATAINFO!$O$5)/(DATAINFO!$O$4+DATAINFO!$O$5))</f>
        <v>67.5</v>
      </c>
      <c r="BT33" s="2">
        <f>IF(BL33=0,"",IF(DATA!$F$18="TIDAK",ROUNDUP((IF!$L$8*SEKOR!$BP33)+IF!$L$9,0),IF($BR33="","",ROUNDUP((IF!$L$20*$BS33)+IF!$L$21,0))))</f>
        <v>64</v>
      </c>
      <c r="BU33" s="47">
        <f>IF(BP33="","",IF(SEKOR!BP33&gt;=DATA!$J$12,1,0))</f>
        <v>0</v>
      </c>
      <c r="BV33" s="47">
        <f>IF(BQ33="","",IF(SEKOR!BQ33&gt;=DATA!$J$12,1,0))</f>
        <v>0</v>
      </c>
      <c r="BW33" s="47">
        <f>IF(BR33="","",IF(SEKOR!BR33&gt;=DATA!$J$12,1,0))</f>
        <v>1</v>
      </c>
      <c r="BX33" s="47">
        <f>IF(BT33="","",IF(DATA!$J$14="",IF(SEKOR!BT33&gt;=DATA!$J$12,1,0),IF(SEKOR!BT33&gt;=DATA!$J$14,1,0)))</f>
        <v>1</v>
      </c>
    </row>
    <row r="34" spans="1:76" x14ac:dyDescent="0.25">
      <c r="A34" s="20" t="s">
        <v>61</v>
      </c>
      <c r="B34" s="21" t="str">
        <f>IF(Ujian!B41="","",Ujian!B41)</f>
        <v>  224430</v>
      </c>
      <c r="C34" s="57" t="str">
        <f>IF(Ujian!C41="","",Ujian!C41)</f>
        <v>  Febriana Nor As Shoufa</v>
      </c>
      <c r="D34" s="125">
        <f>IF(Ujian!D41="","",IF(LEFT(Ujian!D41,1)=SEKOR!D$2,1,0))</f>
        <v>1</v>
      </c>
      <c r="E34" s="125">
        <f>IF(Ujian!E41="","",IF(LEFT(Ujian!E41,1)=SEKOR!E$2,1,0))</f>
        <v>1</v>
      </c>
      <c r="F34" s="125">
        <f>IF(Ujian!F41="","",IF(LEFT(Ujian!F41,1)=SEKOR!F$2,1,0))</f>
        <v>1</v>
      </c>
      <c r="G34" s="125">
        <f>IF(Ujian!G41="","",IF(LEFT(Ujian!G41,1)=SEKOR!G$2,1,0))</f>
        <v>0</v>
      </c>
      <c r="H34" s="125">
        <f>IF(Ujian!H41="","",IF(LEFT(Ujian!H41,1)=SEKOR!H$2,1,0))</f>
        <v>0</v>
      </c>
      <c r="I34" s="125" t="str">
        <f>IF(Ujian!I41="","",IF(LEFT(Ujian!I41,1)=SEKOR!I$2,1,0))</f>
        <v/>
      </c>
      <c r="J34" s="125">
        <f>IF(Ujian!J41="","",IF(LEFT(Ujian!J41,1)=SEKOR!J$2,1,0))</f>
        <v>1</v>
      </c>
      <c r="K34" s="125">
        <f>IF(Ujian!K41="","",IF(LEFT(Ujian!K41,1)=SEKOR!K$2,1,0))</f>
        <v>0</v>
      </c>
      <c r="L34" s="125">
        <f>IF(Ujian!L41="","",IF(LEFT(Ujian!L41,1)=SEKOR!L$2,1,0))</f>
        <v>1</v>
      </c>
      <c r="M34" s="125">
        <f>IF(Ujian!M41="","",IF(LEFT(Ujian!M41,1)=SEKOR!M$2,1,0))</f>
        <v>0</v>
      </c>
      <c r="N34" s="125">
        <f>IF(Ujian!N41="","",IF(LEFT(Ujian!N41,1)=SEKOR!N$2,1,0))</f>
        <v>0</v>
      </c>
      <c r="O34" s="125">
        <f>IF(Ujian!O41="","",IF(LEFT(Ujian!O41,1)=SEKOR!O$2,1,0))</f>
        <v>1</v>
      </c>
      <c r="P34" s="125">
        <f>IF(Ujian!P41="","",IF(LEFT(Ujian!P41,1)=SEKOR!P$2,1,0))</f>
        <v>1</v>
      </c>
      <c r="Q34" s="125">
        <f>IF(Ujian!Q41="","",IF(LEFT(Ujian!Q41,1)=SEKOR!Q$2,1,0))</f>
        <v>1</v>
      </c>
      <c r="R34" s="125">
        <f>IF(Ujian!R41="","",IF(LEFT(Ujian!R41,1)=SEKOR!R$2,1,0))</f>
        <v>0</v>
      </c>
      <c r="S34" s="125">
        <f>IF(Ujian!S41="","",IF(LEFT(Ujian!S41,1)=SEKOR!S$2,1,0))</f>
        <v>1</v>
      </c>
      <c r="T34" s="125">
        <f>IF(Ujian!T41="","",IF(LEFT(Ujian!T41,1)=SEKOR!T$2,1,0))</f>
        <v>1</v>
      </c>
      <c r="U34" s="125">
        <f>IF(Ujian!U41="","",IF(LEFT(Ujian!U41,1)=SEKOR!U$2,1,0))</f>
        <v>1</v>
      </c>
      <c r="V34" s="125">
        <f>IF(Ujian!V41="","",IF(LEFT(Ujian!V41,1)=SEKOR!V$2,1,0))</f>
        <v>0</v>
      </c>
      <c r="W34" s="125">
        <f>IF(Ujian!W41="","",IF(LEFT(Ujian!W41,1)=SEKOR!W$2,1,0))</f>
        <v>0</v>
      </c>
      <c r="X34" s="125">
        <f>IF(Ujian!X41="","",IF(LEFT(Ujian!X41,1)=SEKOR!X$2,1,0))</f>
        <v>0</v>
      </c>
      <c r="Y34" s="125">
        <f>IF(Ujian!Y41="","",IF(LEFT(Ujian!Y41,1)=SEKOR!Y$2,1,0))</f>
        <v>0</v>
      </c>
      <c r="Z34" s="125" t="str">
        <f>IF(Ujian!Z41="","",IF(LEFT(Ujian!Z41,1)=SEKOR!Z$2,1,0))</f>
        <v/>
      </c>
      <c r="AA34" s="125">
        <f>IF(Ujian!AA41="","",IF(LEFT(Ujian!AA41,1)=SEKOR!AA$2,1,0))</f>
        <v>1</v>
      </c>
      <c r="AB34" s="125">
        <f>IF(Ujian!AB41="","",IF(LEFT(Ujian!AB41,1)=SEKOR!AB$2,1,0))</f>
        <v>0</v>
      </c>
      <c r="AC34" s="125">
        <f>IF(Ujian!AC41="","",IF(LEFT(Ujian!AC41,1)=SEKOR!AC$2,1,0))</f>
        <v>0</v>
      </c>
      <c r="AD34" s="125">
        <f>IF(Ujian!AD41="","",IF(LEFT(Ujian!AD41,1)=SEKOR!AD$2,1,0))</f>
        <v>0</v>
      </c>
      <c r="AE34" s="125">
        <f>IF(Ujian!AE41="","",IF(LEFT(Ujian!AE41,1)=SEKOR!AE$2,1,0))</f>
        <v>0</v>
      </c>
      <c r="AF34" s="125">
        <f>IF(Ujian!AF41="","",IF(LEFT(Ujian!AF41,1)=SEKOR!AF$2,1,0))</f>
        <v>0</v>
      </c>
      <c r="AG34" s="125">
        <f>IF(Ujian!AG41="","",IF(LEFT(Ujian!AG41,1)=SEKOR!AG$2,1,0))</f>
        <v>0</v>
      </c>
      <c r="AH34" s="125" t="str">
        <f>IF(Ujian!AH41="","",IF(LEFT(Ujian!AH41,1)=SEKOR!AH$2,1,0))</f>
        <v/>
      </c>
      <c r="AI34" s="125">
        <f>IF(Ujian!AI41="","",IF(LEFT(Ujian!AI41,1)=SEKOR!AI$2,1,0))</f>
        <v>1</v>
      </c>
      <c r="AJ34" s="125">
        <f>IF(Ujian!AJ41="","",IF(LEFT(Ujian!AJ41,1)=SEKOR!AJ$2,1,0))</f>
        <v>1</v>
      </c>
      <c r="AK34" s="125">
        <f>IF(Ujian!AK41="","",IF(LEFT(Ujian!AK41,1)=SEKOR!AK$2,1,0))</f>
        <v>0</v>
      </c>
      <c r="AL34" s="125">
        <f>IF(Ujian!AL41="","",IF(LEFT(Ujian!AL41,1)=SEKOR!AL$2,1,0))</f>
        <v>0</v>
      </c>
      <c r="AM34" s="125" t="str">
        <f>IF(Ujian!AM41="","",IF(LEFT(Ujian!AM41,1)=SEKOR!AM$2,1,0))</f>
        <v/>
      </c>
      <c r="AN34" s="125">
        <f>IF(Ujian!AN41="","",IF(LEFT(Ujian!AN41,1)=SEKOR!AN$2,1,0))</f>
        <v>0</v>
      </c>
      <c r="AO34" s="125">
        <f>IF(Ujian!AO41="","",IF(LEFT(Ujian!AO41,1)=SEKOR!AO$2,1,0))</f>
        <v>0</v>
      </c>
      <c r="AP34" s="125">
        <f>IF(Ujian!AP41="","",IF(LEFT(Ujian!AP41,1)=SEKOR!AP$2,1,0))</f>
        <v>0</v>
      </c>
      <c r="AQ34" s="125" t="str">
        <f>IF(Ujian!AQ41="","",IF(LEFT(Ujian!AQ41,1)=SEKOR!AQ$2,1,0))</f>
        <v/>
      </c>
      <c r="AR34" s="125">
        <f>IF(Ujian!AR41="","",IF(LEFT(Ujian!AR41,1)=SEKOR!AR$2,1,0))</f>
        <v>1</v>
      </c>
      <c r="AS34" s="125">
        <f>IF(Ujian!AS41="","",IF(LEFT(Ujian!AS41,1)=SEKOR!AS$2,1,0))</f>
        <v>0</v>
      </c>
      <c r="AT34" s="125">
        <f>IF(Ujian!AT41="","",IF(LEFT(Ujian!AT41,1)=SEKOR!AT$2,1,0))</f>
        <v>0</v>
      </c>
      <c r="AU34" s="125">
        <f>IF(Ujian!AU41="","",IF(LEFT(Ujian!AU41,1)=SEKOR!AU$2,1,0))</f>
        <v>0</v>
      </c>
      <c r="AV34" s="125">
        <f>IF(Ujian!AV41="","",IF(LEFT(Ujian!AV41,1)=SEKOR!AV$2,1,0))</f>
        <v>0</v>
      </c>
      <c r="AW34" s="125" t="str">
        <f>IF(Ujian!AW41="","",IF(LEFT(Ujian!AW41,1)=SEKOR!AW$2,1,0))</f>
        <v/>
      </c>
      <c r="AX34" s="125" t="str">
        <f>IF(Ujian!AX41="","",IF(LEFT(Ujian!AX41,1)=SEKOR!AX$2,1,0))</f>
        <v/>
      </c>
      <c r="AY34" s="125" t="str">
        <f>IF(Ujian!AY41="","",IF(LEFT(Ujian!AY41,1)=SEKOR!AY$2,1,0))</f>
        <v/>
      </c>
      <c r="AZ34" s="125" t="str">
        <f>IF(Ujian!AZ41="","",IF(LEFT(Ujian!AZ41,1)=SEKOR!AZ$2,1,0))</f>
        <v/>
      </c>
      <c r="BA34" s="125" t="str">
        <f>IF(Ujian!BA41="","",IF(LEFT(Ujian!BA41,1)=SEKOR!BA$2,1,0))</f>
        <v/>
      </c>
      <c r="BB34" s="125" t="str">
        <f>IF(Ujian!BB41="","",IF(LEFT(Ujian!BB41,1)=SEKOR!BB$2,1,0))</f>
        <v/>
      </c>
      <c r="BC34" s="125" t="str">
        <f>IF(Ujian!BC41="","",IF(LEFT(Ujian!BC41,1)=SEKOR!BC$2,1,0))</f>
        <v/>
      </c>
      <c r="BD34" s="125" t="str">
        <f>IF(Ujian!BD41="","",IF(LEFT(Ujian!BD41,1)=SEKOR!BD$2,1,0))</f>
        <v/>
      </c>
      <c r="BE34" s="125" t="str">
        <f>IF(Ujian!BE41="","",IF(LEFT(Ujian!BE41,1)=SEKOR!BE$2,1,0))</f>
        <v/>
      </c>
      <c r="BF34" s="125" t="str">
        <f>IF(Ujian!BF41="","",IF(LEFT(Ujian!BF41,1)=SEKOR!BF$2,1,0))</f>
        <v/>
      </c>
      <c r="BG34" s="125" t="str">
        <f>IF(Ujian!BG41="","",IF(LEFT(Ujian!BG41,1)=SEKOR!BG$2,1,0))</f>
        <v/>
      </c>
      <c r="BH34" s="125" t="str">
        <f>IF(Ujian!BH41="","",IF(LEFT(Ujian!BH41,1)=SEKOR!BH$2,1,0))</f>
        <v/>
      </c>
      <c r="BI34" s="125" t="str">
        <f>IF(Ujian!BI41="","",IF(LEFT(Ujian!BI41,1)=SEKOR!BI$2,1,0))</f>
        <v/>
      </c>
      <c r="BJ34" s="125" t="str">
        <f>IF(Ujian!BJ41="","",IF(LEFT(Ujian!BJ41,1)=SEKOR!BJ$2,1,0))</f>
        <v/>
      </c>
      <c r="BK34" s="125" t="str">
        <f>IF(Ujian!BK41="","",IF(LEFT(Ujian!BK41,1)=SEKOR!BK$2,1,0))</f>
        <v/>
      </c>
      <c r="BL34" s="18">
        <f t="shared" si="0"/>
        <v>40</v>
      </c>
      <c r="BM34" s="18">
        <f>COUNTIF($D34:$BK34,"")+DATA!$F$14-DATA!$F$12</f>
        <v>20</v>
      </c>
      <c r="BN34" s="17">
        <f>IF(COUNTIF($D34:$BK34,1)&gt;DATA!$F$14,DATA!$F$14,COUNTIF($D34:$BK34,1))</f>
        <v>15</v>
      </c>
      <c r="BO34" s="17">
        <f>IF((BN34+COUNTIF($D34:$BK34,0))&lt;=DATA!$F$14,COUNTIF($D34:$BK34,0),DATA!$F$14-SEKOR!BN34)</f>
        <v>25</v>
      </c>
      <c r="BP34" s="4">
        <f>IF(BL34=0,"",BN34/DATA!$F$14*100)</f>
        <v>37.5</v>
      </c>
      <c r="BQ34" s="121">
        <f t="shared" si="1"/>
        <v>48.387096774193552</v>
      </c>
      <c r="BR34" s="2">
        <f>IF(Praktik!$E34=0,"",Praktik!$E34)</f>
        <v>90</v>
      </c>
      <c r="BS34" s="2">
        <f>IF(BR34="","",(BP34*DATAINFO!$O$4)+(SEKOR!BR34*DATAINFO!$O$5)/(DATAINFO!$O$4+DATAINFO!$O$5))</f>
        <v>67.5</v>
      </c>
      <c r="BT34" s="2">
        <f>IF(BL34=0,"",IF(DATA!$F$18="TIDAK",ROUNDUP((IF!$L$8*SEKOR!$BP34)+IF!$L$9,0),IF($BR34="","",ROUNDUP((IF!$L$20*$BS34)+IF!$L$21,0))))</f>
        <v>64</v>
      </c>
      <c r="BU34" s="47">
        <f>IF(BP34="","",IF(SEKOR!BP34&gt;=DATA!$J$12,1,0))</f>
        <v>0</v>
      </c>
      <c r="BV34" s="47">
        <f>IF(BQ34="","",IF(SEKOR!BQ34&gt;=DATA!$J$12,1,0))</f>
        <v>0</v>
      </c>
      <c r="BW34" s="47">
        <f>IF(BR34="","",IF(SEKOR!BR34&gt;=DATA!$J$12,1,0))</f>
        <v>1</v>
      </c>
      <c r="BX34" s="47">
        <f>IF(BT34="","",IF(DATA!$J$14="",IF(SEKOR!BT34&gt;=DATA!$J$12,1,0),IF(SEKOR!BT34&gt;=DATA!$J$14,1,0)))</f>
        <v>1</v>
      </c>
    </row>
    <row r="35" spans="1:76" x14ac:dyDescent="0.25">
      <c r="A35" s="20" t="s">
        <v>62</v>
      </c>
      <c r="B35" s="21" t="str">
        <f>IF(Ujian!B42="","",Ujian!B42)</f>
        <v>  234609</v>
      </c>
      <c r="C35" s="57" t="str">
        <f>IF(Ujian!C42="","",Ujian!C42)</f>
        <v>  Fitra Syahara</v>
      </c>
      <c r="D35" s="125">
        <f>IF(Ujian!D42="","",IF(LEFT(Ujian!D42,1)=SEKOR!D$2,1,0))</f>
        <v>0</v>
      </c>
      <c r="E35" s="125">
        <f>IF(Ujian!E42="","",IF(LEFT(Ujian!E42,1)=SEKOR!E$2,1,0))</f>
        <v>0</v>
      </c>
      <c r="F35" s="125">
        <f>IF(Ujian!F42="","",IF(LEFT(Ujian!F42,1)=SEKOR!F$2,1,0))</f>
        <v>1</v>
      </c>
      <c r="G35" s="125">
        <f>IF(Ujian!G42="","",IF(LEFT(Ujian!G42,1)=SEKOR!G$2,1,0))</f>
        <v>0</v>
      </c>
      <c r="H35" s="125">
        <f>IF(Ujian!H42="","",IF(LEFT(Ujian!H42,1)=SEKOR!H$2,1,0))</f>
        <v>0</v>
      </c>
      <c r="I35" s="125">
        <f>IF(Ujian!I42="","",IF(LEFT(Ujian!I42,1)=SEKOR!I$2,1,0))</f>
        <v>0</v>
      </c>
      <c r="J35" s="125">
        <f>IF(Ujian!J42="","",IF(LEFT(Ujian!J42,1)=SEKOR!J$2,1,0))</f>
        <v>0</v>
      </c>
      <c r="K35" s="125" t="str">
        <f>IF(Ujian!K42="","",IF(LEFT(Ujian!K42,1)=SEKOR!K$2,1,0))</f>
        <v/>
      </c>
      <c r="L35" s="125">
        <f>IF(Ujian!L42="","",IF(LEFT(Ujian!L42,1)=SEKOR!L$2,1,0))</f>
        <v>0</v>
      </c>
      <c r="M35" s="125">
        <f>IF(Ujian!M42="","",IF(LEFT(Ujian!M42,1)=SEKOR!M$2,1,0))</f>
        <v>0</v>
      </c>
      <c r="N35" s="125">
        <f>IF(Ujian!N42="","",IF(LEFT(Ujian!N42,1)=SEKOR!N$2,1,0))</f>
        <v>1</v>
      </c>
      <c r="O35" s="125">
        <f>IF(Ujian!O42="","",IF(LEFT(Ujian!O42,1)=SEKOR!O$2,1,0))</f>
        <v>0</v>
      </c>
      <c r="P35" s="125">
        <f>IF(Ujian!P42="","",IF(LEFT(Ujian!P42,1)=SEKOR!P$2,1,0))</f>
        <v>1</v>
      </c>
      <c r="Q35" s="125">
        <f>IF(Ujian!Q42="","",IF(LEFT(Ujian!Q42,1)=SEKOR!Q$2,1,0))</f>
        <v>0</v>
      </c>
      <c r="R35" s="125">
        <f>IF(Ujian!R42="","",IF(LEFT(Ujian!R42,1)=SEKOR!R$2,1,0))</f>
        <v>0</v>
      </c>
      <c r="S35" s="125">
        <f>IF(Ujian!S42="","",IF(LEFT(Ujian!S42,1)=SEKOR!S$2,1,0))</f>
        <v>0</v>
      </c>
      <c r="T35" s="125">
        <f>IF(Ujian!T42="","",IF(LEFT(Ujian!T42,1)=SEKOR!T$2,1,0))</f>
        <v>1</v>
      </c>
      <c r="U35" s="125">
        <f>IF(Ujian!U42="","",IF(LEFT(Ujian!U42,1)=SEKOR!U$2,1,0))</f>
        <v>0</v>
      </c>
      <c r="V35" s="125">
        <f>IF(Ujian!V42="","",IF(LEFT(Ujian!V42,1)=SEKOR!V$2,1,0))</f>
        <v>0</v>
      </c>
      <c r="W35" s="125">
        <f>IF(Ujian!W42="","",IF(LEFT(Ujian!W42,1)=SEKOR!W$2,1,0))</f>
        <v>0</v>
      </c>
      <c r="X35" s="125">
        <f>IF(Ujian!X42="","",IF(LEFT(Ujian!X42,1)=SEKOR!X$2,1,0))</f>
        <v>0</v>
      </c>
      <c r="Y35" s="125">
        <f>IF(Ujian!Y42="","",IF(LEFT(Ujian!Y42,1)=SEKOR!Y$2,1,0))</f>
        <v>0</v>
      </c>
      <c r="Z35" s="125">
        <f>IF(Ujian!Z42="","",IF(LEFT(Ujian!Z42,1)=SEKOR!Z$2,1,0))</f>
        <v>1</v>
      </c>
      <c r="AA35" s="125">
        <f>IF(Ujian!AA42="","",IF(LEFT(Ujian!AA42,1)=SEKOR!AA$2,1,0))</f>
        <v>0</v>
      </c>
      <c r="AB35" s="125">
        <f>IF(Ujian!AB42="","",IF(LEFT(Ujian!AB42,1)=SEKOR!AB$2,1,0))</f>
        <v>0</v>
      </c>
      <c r="AC35" s="125" t="str">
        <f>IF(Ujian!AC42="","",IF(LEFT(Ujian!AC42,1)=SEKOR!AC$2,1,0))</f>
        <v/>
      </c>
      <c r="AD35" s="125">
        <f>IF(Ujian!AD42="","",IF(LEFT(Ujian!AD42,1)=SEKOR!AD$2,1,0))</f>
        <v>0</v>
      </c>
      <c r="AE35" s="125">
        <f>IF(Ujian!AE42="","",IF(LEFT(Ujian!AE42,1)=SEKOR!AE$2,1,0))</f>
        <v>0</v>
      </c>
      <c r="AF35" s="125">
        <f>IF(Ujian!AF42="","",IF(LEFT(Ujian!AF42,1)=SEKOR!AF$2,1,0))</f>
        <v>0</v>
      </c>
      <c r="AG35" s="125">
        <f>IF(Ujian!AG42="","",IF(LEFT(Ujian!AG42,1)=SEKOR!AG$2,1,0))</f>
        <v>0</v>
      </c>
      <c r="AH35" s="125">
        <f>IF(Ujian!AH42="","",IF(LEFT(Ujian!AH42,1)=SEKOR!AH$2,1,0))</f>
        <v>0</v>
      </c>
      <c r="AI35" s="125">
        <f>IF(Ujian!AI42="","",IF(LEFT(Ujian!AI42,1)=SEKOR!AI$2,1,0))</f>
        <v>1</v>
      </c>
      <c r="AJ35" s="125">
        <f>IF(Ujian!AJ42="","",IF(LEFT(Ujian!AJ42,1)=SEKOR!AJ$2,1,0))</f>
        <v>1</v>
      </c>
      <c r="AK35" s="125" t="str">
        <f>IF(Ujian!AK42="","",IF(LEFT(Ujian!AK42,1)=SEKOR!AK$2,1,0))</f>
        <v/>
      </c>
      <c r="AL35" s="125">
        <f>IF(Ujian!AL42="","",IF(LEFT(Ujian!AL42,1)=SEKOR!AL$2,1,0))</f>
        <v>0</v>
      </c>
      <c r="AM35" s="125">
        <f>IF(Ujian!AM42="","",IF(LEFT(Ujian!AM42,1)=SEKOR!AM$2,1,0))</f>
        <v>1</v>
      </c>
      <c r="AN35" s="125">
        <f>IF(Ujian!AN42="","",IF(LEFT(Ujian!AN42,1)=SEKOR!AN$2,1,0))</f>
        <v>1</v>
      </c>
      <c r="AO35" s="125" t="str">
        <f>IF(Ujian!AO42="","",IF(LEFT(Ujian!AO42,1)=SEKOR!AO$2,1,0))</f>
        <v/>
      </c>
      <c r="AP35" s="125">
        <f>IF(Ujian!AP42="","",IF(LEFT(Ujian!AP42,1)=SEKOR!AP$2,1,0))</f>
        <v>0</v>
      </c>
      <c r="AQ35" s="125">
        <f>IF(Ujian!AQ42="","",IF(LEFT(Ujian!AQ42,1)=SEKOR!AQ$2,1,0))</f>
        <v>1</v>
      </c>
      <c r="AR35" s="125" t="str">
        <f>IF(Ujian!AR42="","",IF(LEFT(Ujian!AR42,1)=SEKOR!AR$2,1,0))</f>
        <v/>
      </c>
      <c r="AS35" s="125">
        <f>IF(Ujian!AS42="","",IF(LEFT(Ujian!AS42,1)=SEKOR!AS$2,1,0))</f>
        <v>0</v>
      </c>
      <c r="AT35" s="125">
        <f>IF(Ujian!AT42="","",IF(LEFT(Ujian!AT42,1)=SEKOR!AT$2,1,0))</f>
        <v>0</v>
      </c>
      <c r="AU35" s="125">
        <f>IF(Ujian!AU42="","",IF(LEFT(Ujian!AU42,1)=SEKOR!AU$2,1,0))</f>
        <v>1</v>
      </c>
      <c r="AV35" s="125">
        <f>IF(Ujian!AV42="","",IF(LEFT(Ujian!AV42,1)=SEKOR!AV$2,1,0))</f>
        <v>0</v>
      </c>
      <c r="AW35" s="125" t="str">
        <f>IF(Ujian!AW42="","",IF(LEFT(Ujian!AW42,1)=SEKOR!AW$2,1,0))</f>
        <v/>
      </c>
      <c r="AX35" s="125" t="str">
        <f>IF(Ujian!AX42="","",IF(LEFT(Ujian!AX42,1)=SEKOR!AX$2,1,0))</f>
        <v/>
      </c>
      <c r="AY35" s="125" t="str">
        <f>IF(Ujian!AY42="","",IF(LEFT(Ujian!AY42,1)=SEKOR!AY$2,1,0))</f>
        <v/>
      </c>
      <c r="AZ35" s="125" t="str">
        <f>IF(Ujian!AZ42="","",IF(LEFT(Ujian!AZ42,1)=SEKOR!AZ$2,1,0))</f>
        <v/>
      </c>
      <c r="BA35" s="125" t="str">
        <f>IF(Ujian!BA42="","",IF(LEFT(Ujian!BA42,1)=SEKOR!BA$2,1,0))</f>
        <v/>
      </c>
      <c r="BB35" s="125" t="str">
        <f>IF(Ujian!BB42="","",IF(LEFT(Ujian!BB42,1)=SEKOR!BB$2,1,0))</f>
        <v/>
      </c>
      <c r="BC35" s="125" t="str">
        <f>IF(Ujian!BC42="","",IF(LEFT(Ujian!BC42,1)=SEKOR!BC$2,1,0))</f>
        <v/>
      </c>
      <c r="BD35" s="125" t="str">
        <f>IF(Ujian!BD42="","",IF(LEFT(Ujian!BD42,1)=SEKOR!BD$2,1,0))</f>
        <v/>
      </c>
      <c r="BE35" s="125" t="str">
        <f>IF(Ujian!BE42="","",IF(LEFT(Ujian!BE42,1)=SEKOR!BE$2,1,0))</f>
        <v/>
      </c>
      <c r="BF35" s="125" t="str">
        <f>IF(Ujian!BF42="","",IF(LEFT(Ujian!BF42,1)=SEKOR!BF$2,1,0))</f>
        <v/>
      </c>
      <c r="BG35" s="125" t="str">
        <f>IF(Ujian!BG42="","",IF(LEFT(Ujian!BG42,1)=SEKOR!BG$2,1,0))</f>
        <v/>
      </c>
      <c r="BH35" s="125" t="str">
        <f>IF(Ujian!BH42="","",IF(LEFT(Ujian!BH42,1)=SEKOR!BH$2,1,0))</f>
        <v/>
      </c>
      <c r="BI35" s="125" t="str">
        <f>IF(Ujian!BI42="","",IF(LEFT(Ujian!BI42,1)=SEKOR!BI$2,1,0))</f>
        <v/>
      </c>
      <c r="BJ35" s="125" t="str">
        <f>IF(Ujian!BJ42="","",IF(LEFT(Ujian!BJ42,1)=SEKOR!BJ$2,1,0))</f>
        <v/>
      </c>
      <c r="BK35" s="125" t="str">
        <f>IF(Ujian!BK42="","",IF(LEFT(Ujian!BK42,1)=SEKOR!BK$2,1,0))</f>
        <v/>
      </c>
      <c r="BL35" s="18">
        <f t="shared" si="0"/>
        <v>40</v>
      </c>
      <c r="BM35" s="18">
        <f>COUNTIF($D35:$BK35,"")+DATA!$F$14-DATA!$F$12</f>
        <v>20</v>
      </c>
      <c r="BN35" s="17">
        <f>IF(COUNTIF($D35:$BK35,1)&gt;DATA!$F$14,DATA!$F$14,COUNTIF($D35:$BK35,1))</f>
        <v>11</v>
      </c>
      <c r="BO35" s="17">
        <f>IF((BN35+COUNTIF($D35:$BK35,0))&lt;=DATA!$F$14,COUNTIF($D35:$BK35,0),DATA!$F$14-SEKOR!BN35)</f>
        <v>29</v>
      </c>
      <c r="BP35" s="4">
        <f>IF(BL35=0,"",BN35/DATA!$F$14*100)</f>
        <v>27.500000000000004</v>
      </c>
      <c r="BQ35" s="121">
        <f t="shared" si="1"/>
        <v>35.483870967741936</v>
      </c>
      <c r="BR35" s="2">
        <f>IF(Praktik!$E35=0,"",Praktik!$E35)</f>
        <v>90</v>
      </c>
      <c r="BS35" s="2">
        <f>IF(BR35="","",(BP35*DATAINFO!$O$4)+(SEKOR!BR35*DATAINFO!$O$5)/(DATAINFO!$O$4+DATAINFO!$O$5))</f>
        <v>57.5</v>
      </c>
      <c r="BT35" s="2">
        <f>IF(BL35=0,"",IF(DATA!$F$18="TIDAK",ROUNDUP((IF!$L$8*SEKOR!$BP35)+IF!$L$9,0),IF($BR35="","",ROUNDUP((IF!$L$20*$BS35)+IF!$L$21,0))))</f>
        <v>57</v>
      </c>
      <c r="BU35" s="47">
        <f>IF(BP35="","",IF(SEKOR!BP35&gt;=DATA!$J$12,1,0))</f>
        <v>0</v>
      </c>
      <c r="BV35" s="47">
        <f>IF(BQ35="","",IF(SEKOR!BQ35&gt;=DATA!$J$12,1,0))</f>
        <v>0</v>
      </c>
      <c r="BW35" s="47">
        <f>IF(BR35="","",IF(SEKOR!BR35&gt;=DATA!$J$12,1,0))</f>
        <v>1</v>
      </c>
      <c r="BX35" s="47">
        <f>IF(BT35="","",IF(DATA!$J$14="",IF(SEKOR!BT35&gt;=DATA!$J$12,1,0),IF(SEKOR!BT35&gt;=DATA!$J$14,1,0)))</f>
        <v>0</v>
      </c>
    </row>
    <row r="36" spans="1:76" x14ac:dyDescent="0.25">
      <c r="A36" s="20" t="s">
        <v>63</v>
      </c>
      <c r="B36" s="21" t="str">
        <f>IF(Ujian!B43="","",Ujian!B43)</f>
        <v>  234617</v>
      </c>
      <c r="C36" s="57" t="str">
        <f>IF(Ujian!C43="","",Ujian!C43)</f>
        <v>  Ikhsan Fadillah</v>
      </c>
      <c r="D36" s="125" t="str">
        <f>IF(Ujian!D43="","",IF(LEFT(Ujian!D43,1)=SEKOR!D$2,1,0))</f>
        <v/>
      </c>
      <c r="E36" s="125">
        <f>IF(Ujian!E43="","",IF(LEFT(Ujian!E43,1)=SEKOR!E$2,1,0))</f>
        <v>1</v>
      </c>
      <c r="F36" s="125">
        <f>IF(Ujian!F43="","",IF(LEFT(Ujian!F43,1)=SEKOR!F$2,1,0))</f>
        <v>1</v>
      </c>
      <c r="G36" s="125">
        <f>IF(Ujian!G43="","",IF(LEFT(Ujian!G43,1)=SEKOR!G$2,1,0))</f>
        <v>0</v>
      </c>
      <c r="H36" s="125">
        <f>IF(Ujian!H43="","",IF(LEFT(Ujian!H43,1)=SEKOR!H$2,1,0))</f>
        <v>0</v>
      </c>
      <c r="I36" s="125">
        <f>IF(Ujian!I43="","",IF(LEFT(Ujian!I43,1)=SEKOR!I$2,1,0))</f>
        <v>0</v>
      </c>
      <c r="J36" s="125">
        <f>IF(Ujian!J43="","",IF(LEFT(Ujian!J43,1)=SEKOR!J$2,1,0))</f>
        <v>1</v>
      </c>
      <c r="K36" s="125">
        <f>IF(Ujian!K43="","",IF(LEFT(Ujian!K43,1)=SEKOR!K$2,1,0))</f>
        <v>0</v>
      </c>
      <c r="L36" s="125">
        <f>IF(Ujian!L43="","",IF(LEFT(Ujian!L43,1)=SEKOR!L$2,1,0))</f>
        <v>0</v>
      </c>
      <c r="M36" s="125">
        <f>IF(Ujian!M43="","",IF(LEFT(Ujian!M43,1)=SEKOR!M$2,1,0))</f>
        <v>0</v>
      </c>
      <c r="N36" s="125">
        <f>IF(Ujian!N43="","",IF(LEFT(Ujian!N43,1)=SEKOR!N$2,1,0))</f>
        <v>0</v>
      </c>
      <c r="O36" s="125">
        <f>IF(Ujian!O43="","",IF(LEFT(Ujian!O43,1)=SEKOR!O$2,1,0))</f>
        <v>1</v>
      </c>
      <c r="P36" s="125">
        <f>IF(Ujian!P43="","",IF(LEFT(Ujian!P43,1)=SEKOR!P$2,1,0))</f>
        <v>1</v>
      </c>
      <c r="Q36" s="125">
        <f>IF(Ujian!Q43="","",IF(LEFT(Ujian!Q43,1)=SEKOR!Q$2,1,0))</f>
        <v>1</v>
      </c>
      <c r="R36" s="125">
        <f>IF(Ujian!R43="","",IF(LEFT(Ujian!R43,1)=SEKOR!R$2,1,0))</f>
        <v>0</v>
      </c>
      <c r="S36" s="125">
        <f>IF(Ujian!S43="","",IF(LEFT(Ujian!S43,1)=SEKOR!S$2,1,0))</f>
        <v>1</v>
      </c>
      <c r="T36" s="125" t="str">
        <f>IF(Ujian!T43="","",IF(LEFT(Ujian!T43,1)=SEKOR!T$2,1,0))</f>
        <v/>
      </c>
      <c r="U36" s="125">
        <f>IF(Ujian!U43="","",IF(LEFT(Ujian!U43,1)=SEKOR!U$2,1,0))</f>
        <v>1</v>
      </c>
      <c r="V36" s="125">
        <f>IF(Ujian!V43="","",IF(LEFT(Ujian!V43,1)=SEKOR!V$2,1,0))</f>
        <v>1</v>
      </c>
      <c r="W36" s="125">
        <f>IF(Ujian!W43="","",IF(LEFT(Ujian!W43,1)=SEKOR!W$2,1,0))</f>
        <v>1</v>
      </c>
      <c r="X36" s="125">
        <f>IF(Ujian!X43="","",IF(LEFT(Ujian!X43,1)=SEKOR!X$2,1,0))</f>
        <v>0</v>
      </c>
      <c r="Y36" s="125">
        <f>IF(Ujian!Y43="","",IF(LEFT(Ujian!Y43,1)=SEKOR!Y$2,1,0))</f>
        <v>1</v>
      </c>
      <c r="Z36" s="125">
        <f>IF(Ujian!Z43="","",IF(LEFT(Ujian!Z43,1)=SEKOR!Z$2,1,0))</f>
        <v>0</v>
      </c>
      <c r="AA36" s="125">
        <f>IF(Ujian!AA43="","",IF(LEFT(Ujian!AA43,1)=SEKOR!AA$2,1,0))</f>
        <v>1</v>
      </c>
      <c r="AB36" s="125">
        <f>IF(Ujian!AB43="","",IF(LEFT(Ujian!AB43,1)=SEKOR!AB$2,1,0))</f>
        <v>0</v>
      </c>
      <c r="AC36" s="125">
        <f>IF(Ujian!AC43="","",IF(LEFT(Ujian!AC43,1)=SEKOR!AC$2,1,0))</f>
        <v>1</v>
      </c>
      <c r="AD36" s="125">
        <f>IF(Ujian!AD43="","",IF(LEFT(Ujian!AD43,1)=SEKOR!AD$2,1,0))</f>
        <v>0</v>
      </c>
      <c r="AE36" s="125">
        <f>IF(Ujian!AE43="","",IF(LEFT(Ujian!AE43,1)=SEKOR!AE$2,1,0))</f>
        <v>1</v>
      </c>
      <c r="AF36" s="125">
        <f>IF(Ujian!AF43="","",IF(LEFT(Ujian!AF43,1)=SEKOR!AF$2,1,0))</f>
        <v>0</v>
      </c>
      <c r="AG36" s="125">
        <f>IF(Ujian!AG43="","",IF(LEFT(Ujian!AG43,1)=SEKOR!AG$2,1,0))</f>
        <v>0</v>
      </c>
      <c r="AH36" s="125">
        <f>IF(Ujian!AH43="","",IF(LEFT(Ujian!AH43,1)=SEKOR!AH$2,1,0))</f>
        <v>0</v>
      </c>
      <c r="AI36" s="125">
        <f>IF(Ujian!AI43="","",IF(LEFT(Ujian!AI43,1)=SEKOR!AI$2,1,0))</f>
        <v>1</v>
      </c>
      <c r="AJ36" s="125">
        <f>IF(Ujian!AJ43="","",IF(LEFT(Ujian!AJ43,1)=SEKOR!AJ$2,1,0))</f>
        <v>0</v>
      </c>
      <c r="AK36" s="125">
        <f>IF(Ujian!AK43="","",IF(LEFT(Ujian!AK43,1)=SEKOR!AK$2,1,0))</f>
        <v>0</v>
      </c>
      <c r="AL36" s="125">
        <f>IF(Ujian!AL43="","",IF(LEFT(Ujian!AL43,1)=SEKOR!AL$2,1,0))</f>
        <v>1</v>
      </c>
      <c r="AM36" s="125">
        <f>IF(Ujian!AM43="","",IF(LEFT(Ujian!AM43,1)=SEKOR!AM$2,1,0))</f>
        <v>0</v>
      </c>
      <c r="AN36" s="125" t="str">
        <f>IF(Ujian!AN43="","",IF(LEFT(Ujian!AN43,1)=SEKOR!AN$2,1,0))</f>
        <v/>
      </c>
      <c r="AO36" s="125" t="str">
        <f>IF(Ujian!AO43="","",IF(LEFT(Ujian!AO43,1)=SEKOR!AO$2,1,0))</f>
        <v/>
      </c>
      <c r="AP36" s="125">
        <f>IF(Ujian!AP43="","",IF(LEFT(Ujian!AP43,1)=SEKOR!AP$2,1,0))</f>
        <v>1</v>
      </c>
      <c r="AQ36" s="125">
        <f>IF(Ujian!AQ43="","",IF(LEFT(Ujian!AQ43,1)=SEKOR!AQ$2,1,0))</f>
        <v>0</v>
      </c>
      <c r="AR36" s="125">
        <f>IF(Ujian!AR43="","",IF(LEFT(Ujian!AR43,1)=SEKOR!AR$2,1,0))</f>
        <v>1</v>
      </c>
      <c r="AS36" s="125">
        <f>IF(Ujian!AS43="","",IF(LEFT(Ujian!AS43,1)=SEKOR!AS$2,1,0))</f>
        <v>1</v>
      </c>
      <c r="AT36" s="125" t="str">
        <f>IF(Ujian!AT43="","",IF(LEFT(Ujian!AT43,1)=SEKOR!AT$2,1,0))</f>
        <v/>
      </c>
      <c r="AU36" s="125">
        <f>IF(Ujian!AU43="","",IF(LEFT(Ujian!AU43,1)=SEKOR!AU$2,1,0))</f>
        <v>0</v>
      </c>
      <c r="AV36" s="125">
        <f>IF(Ujian!AV43="","",IF(LEFT(Ujian!AV43,1)=SEKOR!AV$2,1,0))</f>
        <v>1</v>
      </c>
      <c r="AW36" s="125" t="str">
        <f>IF(Ujian!AW43="","",IF(LEFT(Ujian!AW43,1)=SEKOR!AW$2,1,0))</f>
        <v/>
      </c>
      <c r="AX36" s="125" t="str">
        <f>IF(Ujian!AX43="","",IF(LEFT(Ujian!AX43,1)=SEKOR!AX$2,1,0))</f>
        <v/>
      </c>
      <c r="AY36" s="125" t="str">
        <f>IF(Ujian!AY43="","",IF(LEFT(Ujian!AY43,1)=SEKOR!AY$2,1,0))</f>
        <v/>
      </c>
      <c r="AZ36" s="125" t="str">
        <f>IF(Ujian!AZ43="","",IF(LEFT(Ujian!AZ43,1)=SEKOR!AZ$2,1,0))</f>
        <v/>
      </c>
      <c r="BA36" s="125" t="str">
        <f>IF(Ujian!BA43="","",IF(LEFT(Ujian!BA43,1)=SEKOR!BA$2,1,0))</f>
        <v/>
      </c>
      <c r="BB36" s="125" t="str">
        <f>IF(Ujian!BB43="","",IF(LEFT(Ujian!BB43,1)=SEKOR!BB$2,1,0))</f>
        <v/>
      </c>
      <c r="BC36" s="125" t="str">
        <f>IF(Ujian!BC43="","",IF(LEFT(Ujian!BC43,1)=SEKOR!BC$2,1,0))</f>
        <v/>
      </c>
      <c r="BD36" s="125" t="str">
        <f>IF(Ujian!BD43="","",IF(LEFT(Ujian!BD43,1)=SEKOR!BD$2,1,0))</f>
        <v/>
      </c>
      <c r="BE36" s="125" t="str">
        <f>IF(Ujian!BE43="","",IF(LEFT(Ujian!BE43,1)=SEKOR!BE$2,1,0))</f>
        <v/>
      </c>
      <c r="BF36" s="125" t="str">
        <f>IF(Ujian!BF43="","",IF(LEFT(Ujian!BF43,1)=SEKOR!BF$2,1,0))</f>
        <v/>
      </c>
      <c r="BG36" s="125" t="str">
        <f>IF(Ujian!BG43="","",IF(LEFT(Ujian!BG43,1)=SEKOR!BG$2,1,0))</f>
        <v/>
      </c>
      <c r="BH36" s="125" t="str">
        <f>IF(Ujian!BH43="","",IF(LEFT(Ujian!BH43,1)=SEKOR!BH$2,1,0))</f>
        <v/>
      </c>
      <c r="BI36" s="125" t="str">
        <f>IF(Ujian!BI43="","",IF(LEFT(Ujian!BI43,1)=SEKOR!BI$2,1,0))</f>
        <v/>
      </c>
      <c r="BJ36" s="125" t="str">
        <f>IF(Ujian!BJ43="","",IF(LEFT(Ujian!BJ43,1)=SEKOR!BJ$2,1,0))</f>
        <v/>
      </c>
      <c r="BK36" s="125" t="str">
        <f>IF(Ujian!BK43="","",IF(LEFT(Ujian!BK43,1)=SEKOR!BK$2,1,0))</f>
        <v/>
      </c>
      <c r="BL36" s="18">
        <f t="shared" si="0"/>
        <v>40</v>
      </c>
      <c r="BM36" s="18">
        <f>COUNTIF($D36:$BK36,"")+DATA!$F$14-DATA!$F$12</f>
        <v>20</v>
      </c>
      <c r="BN36" s="17">
        <f>IF(COUNTIF($D36:$BK36,1)&gt;DATA!$F$14,DATA!$F$14,COUNTIF($D36:$BK36,1))</f>
        <v>20</v>
      </c>
      <c r="BO36" s="17">
        <f>IF((BN36+COUNTIF($D36:$BK36,0))&lt;=DATA!$F$14,COUNTIF($D36:$BK36,0),DATA!$F$14-SEKOR!BN36)</f>
        <v>20</v>
      </c>
      <c r="BP36" s="4">
        <f>IF(BL36=0,"",BN36/DATA!$F$14*100)</f>
        <v>50</v>
      </c>
      <c r="BQ36" s="121">
        <f t="shared" si="1"/>
        <v>64.516129032258064</v>
      </c>
      <c r="BR36" s="2">
        <f>IF(Praktik!$E36=0,"",Praktik!$E36)</f>
        <v>90</v>
      </c>
      <c r="BS36" s="2">
        <f>IF(BR36="","",(BP36*DATAINFO!$O$4)+(SEKOR!BR36*DATAINFO!$O$5)/(DATAINFO!$O$4+DATAINFO!$O$5))</f>
        <v>80</v>
      </c>
      <c r="BT36" s="2">
        <f>IF(BL36=0,"",IF(DATA!$F$18="TIDAK",ROUNDUP((IF!$L$8*SEKOR!$BP36)+IF!$L$9,0),IF($BR36="","",ROUNDUP((IF!$L$20*$BS36)+IF!$L$21,0))))</f>
        <v>72</v>
      </c>
      <c r="BU36" s="47">
        <f>IF(BP36="","",IF(SEKOR!BP36&gt;=DATA!$J$12,1,0))</f>
        <v>0</v>
      </c>
      <c r="BV36" s="47">
        <f>IF(BQ36="","",IF(SEKOR!BQ36&gt;=DATA!$J$12,1,0))</f>
        <v>0</v>
      </c>
      <c r="BW36" s="47">
        <f>IF(BR36="","",IF(SEKOR!BR36&gt;=DATA!$J$12,1,0))</f>
        <v>1</v>
      </c>
      <c r="BX36" s="47">
        <f>IF(BT36="","",IF(DATA!$J$14="",IF(SEKOR!BT36&gt;=DATA!$J$12,1,0),IF(SEKOR!BT36&gt;=DATA!$J$14,1,0)))</f>
        <v>1</v>
      </c>
    </row>
    <row r="37" spans="1:76" x14ac:dyDescent="0.25">
      <c r="A37" s="20" t="s">
        <v>64</v>
      </c>
      <c r="B37" s="21" t="str">
        <f>IF(Ujian!B44="","",Ujian!B44)</f>
        <v>  234618</v>
      </c>
      <c r="C37" s="57" t="str">
        <f>IF(Ujian!C44="","",Ujian!C44)</f>
        <v>  Iqbal Fahrezi</v>
      </c>
      <c r="D37" s="125">
        <f>IF(Ujian!D44="","",IF(LEFT(Ujian!D44,1)=SEKOR!D$2,1,0))</f>
        <v>0</v>
      </c>
      <c r="E37" s="125">
        <f>IF(Ujian!E44="","",IF(LEFT(Ujian!E44,1)=SEKOR!E$2,1,0))</f>
        <v>1</v>
      </c>
      <c r="F37" s="125">
        <f>IF(Ujian!F44="","",IF(LEFT(Ujian!F44,1)=SEKOR!F$2,1,0))</f>
        <v>1</v>
      </c>
      <c r="G37" s="125">
        <f>IF(Ujian!G44="","",IF(LEFT(Ujian!G44,1)=SEKOR!G$2,1,0))</f>
        <v>1</v>
      </c>
      <c r="H37" s="125">
        <f>IF(Ujian!H44="","",IF(LEFT(Ujian!H44,1)=SEKOR!H$2,1,0))</f>
        <v>0</v>
      </c>
      <c r="I37" s="125">
        <f>IF(Ujian!I44="","",IF(LEFT(Ujian!I44,1)=SEKOR!I$2,1,0))</f>
        <v>1</v>
      </c>
      <c r="J37" s="125">
        <f>IF(Ujian!J44="","",IF(LEFT(Ujian!J44,1)=SEKOR!J$2,1,0))</f>
        <v>0</v>
      </c>
      <c r="K37" s="125">
        <f>IF(Ujian!K44="","",IF(LEFT(Ujian!K44,1)=SEKOR!K$2,1,0))</f>
        <v>1</v>
      </c>
      <c r="L37" s="125">
        <f>IF(Ujian!L44="","",IF(LEFT(Ujian!L44,1)=SEKOR!L$2,1,0))</f>
        <v>1</v>
      </c>
      <c r="M37" s="125">
        <f>IF(Ujian!M44="","",IF(LEFT(Ujian!M44,1)=SEKOR!M$2,1,0))</f>
        <v>1</v>
      </c>
      <c r="N37" s="125">
        <f>IF(Ujian!N44="","",IF(LEFT(Ujian!N44,1)=SEKOR!N$2,1,0))</f>
        <v>1</v>
      </c>
      <c r="O37" s="125">
        <f>IF(Ujian!O44="","",IF(LEFT(Ujian!O44,1)=SEKOR!O$2,1,0))</f>
        <v>1</v>
      </c>
      <c r="P37" s="125">
        <f>IF(Ujian!P44="","",IF(LEFT(Ujian!P44,1)=SEKOR!P$2,1,0))</f>
        <v>1</v>
      </c>
      <c r="Q37" s="125">
        <f>IF(Ujian!Q44="","",IF(LEFT(Ujian!Q44,1)=SEKOR!Q$2,1,0))</f>
        <v>1</v>
      </c>
      <c r="R37" s="125">
        <f>IF(Ujian!R44="","",IF(LEFT(Ujian!R44,1)=SEKOR!R$2,1,0))</f>
        <v>0</v>
      </c>
      <c r="S37" s="125" t="str">
        <f>IF(Ujian!S44="","",IF(LEFT(Ujian!S44,1)=SEKOR!S$2,1,0))</f>
        <v/>
      </c>
      <c r="T37" s="125">
        <f>IF(Ujian!T44="","",IF(LEFT(Ujian!T44,1)=SEKOR!T$2,1,0))</f>
        <v>1</v>
      </c>
      <c r="U37" s="125">
        <f>IF(Ujian!U44="","",IF(LEFT(Ujian!U44,1)=SEKOR!U$2,1,0))</f>
        <v>1</v>
      </c>
      <c r="V37" s="125">
        <f>IF(Ujian!V44="","",IF(LEFT(Ujian!V44,1)=SEKOR!V$2,1,0))</f>
        <v>1</v>
      </c>
      <c r="W37" s="125">
        <f>IF(Ujian!W44="","",IF(LEFT(Ujian!W44,1)=SEKOR!W$2,1,0))</f>
        <v>1</v>
      </c>
      <c r="X37" s="125">
        <f>IF(Ujian!X44="","",IF(LEFT(Ujian!X44,1)=SEKOR!X$2,1,0))</f>
        <v>1</v>
      </c>
      <c r="Y37" s="125">
        <f>IF(Ujian!Y44="","",IF(LEFT(Ujian!Y44,1)=SEKOR!Y$2,1,0))</f>
        <v>0</v>
      </c>
      <c r="Z37" s="125">
        <f>IF(Ujian!Z44="","",IF(LEFT(Ujian!Z44,1)=SEKOR!Z$2,1,0))</f>
        <v>0</v>
      </c>
      <c r="AA37" s="125">
        <f>IF(Ujian!AA44="","",IF(LEFT(Ujian!AA44,1)=SEKOR!AA$2,1,0))</f>
        <v>1</v>
      </c>
      <c r="AB37" s="125" t="str">
        <f>IF(Ujian!AB44="","",IF(LEFT(Ujian!AB44,1)=SEKOR!AB$2,1,0))</f>
        <v/>
      </c>
      <c r="AC37" s="125">
        <f>IF(Ujian!AC44="","",IF(LEFT(Ujian!AC44,1)=SEKOR!AC$2,1,0))</f>
        <v>1</v>
      </c>
      <c r="AD37" s="125" t="str">
        <f>IF(Ujian!AD44="","",IF(LEFT(Ujian!AD44,1)=SEKOR!AD$2,1,0))</f>
        <v/>
      </c>
      <c r="AE37" s="125" t="str">
        <f>IF(Ujian!AE44="","",IF(LEFT(Ujian!AE44,1)=SEKOR!AE$2,1,0))</f>
        <v/>
      </c>
      <c r="AF37" s="125">
        <f>IF(Ujian!AF44="","",IF(LEFT(Ujian!AF44,1)=SEKOR!AF$2,1,0))</f>
        <v>1</v>
      </c>
      <c r="AG37" s="125">
        <f>IF(Ujian!AG44="","",IF(LEFT(Ujian!AG44,1)=SEKOR!AG$2,1,0))</f>
        <v>0</v>
      </c>
      <c r="AH37" s="125">
        <f>IF(Ujian!AH44="","",IF(LEFT(Ujian!AH44,1)=SEKOR!AH$2,1,0))</f>
        <v>0</v>
      </c>
      <c r="AI37" s="125">
        <f>IF(Ujian!AI44="","",IF(LEFT(Ujian!AI44,1)=SEKOR!AI$2,1,0))</f>
        <v>1</v>
      </c>
      <c r="AJ37" s="125">
        <f>IF(Ujian!AJ44="","",IF(LEFT(Ujian!AJ44,1)=SEKOR!AJ$2,1,0))</f>
        <v>0</v>
      </c>
      <c r="AK37" s="125">
        <f>IF(Ujian!AK44="","",IF(LEFT(Ujian!AK44,1)=SEKOR!AK$2,1,0))</f>
        <v>1</v>
      </c>
      <c r="AL37" s="125" t="str">
        <f>IF(Ujian!AL44="","",IF(LEFT(Ujian!AL44,1)=SEKOR!AL$2,1,0))</f>
        <v/>
      </c>
      <c r="AM37" s="125">
        <f>IF(Ujian!AM44="","",IF(LEFT(Ujian!AM44,1)=SEKOR!AM$2,1,0))</f>
        <v>0</v>
      </c>
      <c r="AN37" s="125">
        <f>IF(Ujian!AN44="","",IF(LEFT(Ujian!AN44,1)=SEKOR!AN$2,1,0))</f>
        <v>1</v>
      </c>
      <c r="AO37" s="125">
        <f>IF(Ujian!AO44="","",IF(LEFT(Ujian!AO44,1)=SEKOR!AO$2,1,0))</f>
        <v>0</v>
      </c>
      <c r="AP37" s="125">
        <f>IF(Ujian!AP44="","",IF(LEFT(Ujian!AP44,1)=SEKOR!AP$2,1,0))</f>
        <v>1</v>
      </c>
      <c r="AQ37" s="125">
        <f>IF(Ujian!AQ44="","",IF(LEFT(Ujian!AQ44,1)=SEKOR!AQ$2,1,0))</f>
        <v>1</v>
      </c>
      <c r="AR37" s="125">
        <f>IF(Ujian!AR44="","",IF(LEFT(Ujian!AR44,1)=SEKOR!AR$2,1,0))</f>
        <v>1</v>
      </c>
      <c r="AS37" s="125">
        <f>IF(Ujian!AS44="","",IF(LEFT(Ujian!AS44,1)=SEKOR!AS$2,1,0))</f>
        <v>1</v>
      </c>
      <c r="AT37" s="125">
        <f>IF(Ujian!AT44="","",IF(LEFT(Ujian!AT44,1)=SEKOR!AT$2,1,0))</f>
        <v>1</v>
      </c>
      <c r="AU37" s="125">
        <f>IF(Ujian!AU44="","",IF(LEFT(Ujian!AU44,1)=SEKOR!AU$2,1,0))</f>
        <v>1</v>
      </c>
      <c r="AV37" s="125">
        <f>IF(Ujian!AV44="","",IF(LEFT(Ujian!AV44,1)=SEKOR!AV$2,1,0))</f>
        <v>1</v>
      </c>
      <c r="AW37" s="125" t="str">
        <f>IF(Ujian!AW44="","",IF(LEFT(Ujian!AW44,1)=SEKOR!AW$2,1,0))</f>
        <v/>
      </c>
      <c r="AX37" s="125" t="str">
        <f>IF(Ujian!AX44="","",IF(LEFT(Ujian!AX44,1)=SEKOR!AX$2,1,0))</f>
        <v/>
      </c>
      <c r="AY37" s="125" t="str">
        <f>IF(Ujian!AY44="","",IF(LEFT(Ujian!AY44,1)=SEKOR!AY$2,1,0))</f>
        <v/>
      </c>
      <c r="AZ37" s="125" t="str">
        <f>IF(Ujian!AZ44="","",IF(LEFT(Ujian!AZ44,1)=SEKOR!AZ$2,1,0))</f>
        <v/>
      </c>
      <c r="BA37" s="125" t="str">
        <f>IF(Ujian!BA44="","",IF(LEFT(Ujian!BA44,1)=SEKOR!BA$2,1,0))</f>
        <v/>
      </c>
      <c r="BB37" s="125" t="str">
        <f>IF(Ujian!BB44="","",IF(LEFT(Ujian!BB44,1)=SEKOR!BB$2,1,0))</f>
        <v/>
      </c>
      <c r="BC37" s="125" t="str">
        <f>IF(Ujian!BC44="","",IF(LEFT(Ujian!BC44,1)=SEKOR!BC$2,1,0))</f>
        <v/>
      </c>
      <c r="BD37" s="125" t="str">
        <f>IF(Ujian!BD44="","",IF(LEFT(Ujian!BD44,1)=SEKOR!BD$2,1,0))</f>
        <v/>
      </c>
      <c r="BE37" s="125" t="str">
        <f>IF(Ujian!BE44="","",IF(LEFT(Ujian!BE44,1)=SEKOR!BE$2,1,0))</f>
        <v/>
      </c>
      <c r="BF37" s="125" t="str">
        <f>IF(Ujian!BF44="","",IF(LEFT(Ujian!BF44,1)=SEKOR!BF$2,1,0))</f>
        <v/>
      </c>
      <c r="BG37" s="125" t="str">
        <f>IF(Ujian!BG44="","",IF(LEFT(Ujian!BG44,1)=SEKOR!BG$2,1,0))</f>
        <v/>
      </c>
      <c r="BH37" s="125" t="str">
        <f>IF(Ujian!BH44="","",IF(LEFT(Ujian!BH44,1)=SEKOR!BH$2,1,0))</f>
        <v/>
      </c>
      <c r="BI37" s="125" t="str">
        <f>IF(Ujian!BI44="","",IF(LEFT(Ujian!BI44,1)=SEKOR!BI$2,1,0))</f>
        <v/>
      </c>
      <c r="BJ37" s="125" t="str">
        <f>IF(Ujian!BJ44="","",IF(LEFT(Ujian!BJ44,1)=SEKOR!BJ$2,1,0))</f>
        <v/>
      </c>
      <c r="BK37" s="125" t="str">
        <f>IF(Ujian!BK44="","",IF(LEFT(Ujian!BK44,1)=SEKOR!BK$2,1,0))</f>
        <v/>
      </c>
      <c r="BL37" s="18">
        <f t="shared" si="0"/>
        <v>40</v>
      </c>
      <c r="BM37" s="18">
        <f>COUNTIF($D37:$BK37,"")+DATA!$F$14-DATA!$F$12</f>
        <v>20</v>
      </c>
      <c r="BN37" s="17">
        <f>IF(COUNTIF($D37:$BK37,1)&gt;DATA!$F$14,DATA!$F$14,COUNTIF($D37:$BK37,1))</f>
        <v>29</v>
      </c>
      <c r="BO37" s="17">
        <f>IF((BN37+COUNTIF($D37:$BK37,0))&lt;=DATA!$F$14,COUNTIF($D37:$BK37,0),DATA!$F$14-SEKOR!BN37)</f>
        <v>11</v>
      </c>
      <c r="BP37" s="4">
        <f>IF(BL37=0,"",BN37/DATA!$F$14*100)</f>
        <v>72.5</v>
      </c>
      <c r="BQ37" s="121">
        <f t="shared" si="1"/>
        <v>93.548387096774192</v>
      </c>
      <c r="BR37" s="2">
        <f>IF(Praktik!$E37=0,"",Praktik!$E37)</f>
        <v>90</v>
      </c>
      <c r="BS37" s="2">
        <f>IF(BR37="","",(BP37*DATAINFO!$O$4)+(SEKOR!BR37*DATAINFO!$O$5)/(DATAINFO!$O$4+DATAINFO!$O$5))</f>
        <v>102.5</v>
      </c>
      <c r="BT37" s="2">
        <f>IF(BL37=0,"",IF(DATA!$F$18="TIDAK",ROUNDUP((IF!$L$8*SEKOR!$BP37)+IF!$L$9,0),IF($BR37="","",ROUNDUP((IF!$L$20*$BS37)+IF!$L$21,0))))</f>
        <v>87</v>
      </c>
      <c r="BU37" s="47">
        <f>IF(BP37="","",IF(SEKOR!BP37&gt;=DATA!$J$12,1,0))</f>
        <v>1</v>
      </c>
      <c r="BV37" s="47">
        <f>IF(BQ37="","",IF(SEKOR!BQ37&gt;=DATA!$J$12,1,0))</f>
        <v>1</v>
      </c>
      <c r="BW37" s="47">
        <f>IF(BR37="","",IF(SEKOR!BR37&gt;=DATA!$J$12,1,0))</f>
        <v>1</v>
      </c>
      <c r="BX37" s="47">
        <f>IF(BT37="","",IF(DATA!$J$14="",IF(SEKOR!BT37&gt;=DATA!$J$12,1,0),IF(SEKOR!BT37&gt;=DATA!$J$14,1,0)))</f>
        <v>1</v>
      </c>
    </row>
    <row r="38" spans="1:76" x14ac:dyDescent="0.25">
      <c r="A38" s="20" t="s">
        <v>65</v>
      </c>
      <c r="B38" s="21" t="str">
        <f>IF(Ujian!B45="","",Ujian!B45)</f>
        <v>  234620</v>
      </c>
      <c r="C38" s="57" t="str">
        <f>IF(Ujian!C45="","",Ujian!C45)</f>
        <v>  Isti Qomah</v>
      </c>
      <c r="D38" s="125" t="str">
        <f>IF(Ujian!D45="","",IF(LEFT(Ujian!D45,1)=SEKOR!D$2,1,0))</f>
        <v/>
      </c>
      <c r="E38" s="125">
        <f>IF(Ujian!E45="","",IF(LEFT(Ujian!E45,1)=SEKOR!E$2,1,0))</f>
        <v>1</v>
      </c>
      <c r="F38" s="125">
        <f>IF(Ujian!F45="","",IF(LEFT(Ujian!F45,1)=SEKOR!F$2,1,0))</f>
        <v>1</v>
      </c>
      <c r="G38" s="125">
        <f>IF(Ujian!G45="","",IF(LEFT(Ujian!G45,1)=SEKOR!G$2,1,0))</f>
        <v>0</v>
      </c>
      <c r="H38" s="125">
        <f>IF(Ujian!H45="","",IF(LEFT(Ujian!H45,1)=SEKOR!H$2,1,0))</f>
        <v>0</v>
      </c>
      <c r="I38" s="125">
        <f>IF(Ujian!I45="","",IF(LEFT(Ujian!I45,1)=SEKOR!I$2,1,0))</f>
        <v>1</v>
      </c>
      <c r="J38" s="125">
        <f>IF(Ujian!J45="","",IF(LEFT(Ujian!J45,1)=SEKOR!J$2,1,0))</f>
        <v>0</v>
      </c>
      <c r="K38" s="125">
        <f>IF(Ujian!K45="","",IF(LEFT(Ujian!K45,1)=SEKOR!K$2,1,0))</f>
        <v>1</v>
      </c>
      <c r="L38" s="125">
        <f>IF(Ujian!L45="","",IF(LEFT(Ujian!L45,1)=SEKOR!L$2,1,0))</f>
        <v>1</v>
      </c>
      <c r="M38" s="125">
        <f>IF(Ujian!M45="","",IF(LEFT(Ujian!M45,1)=SEKOR!M$2,1,0))</f>
        <v>1</v>
      </c>
      <c r="N38" s="125" t="str">
        <f>IF(Ujian!N45="","",IF(LEFT(Ujian!N45,1)=SEKOR!N$2,1,0))</f>
        <v/>
      </c>
      <c r="O38" s="125">
        <f>IF(Ujian!O45="","",IF(LEFT(Ujian!O45,1)=SEKOR!O$2,1,0))</f>
        <v>1</v>
      </c>
      <c r="P38" s="125">
        <f>IF(Ujian!P45="","",IF(LEFT(Ujian!P45,1)=SEKOR!P$2,1,0))</f>
        <v>0</v>
      </c>
      <c r="Q38" s="125">
        <f>IF(Ujian!Q45="","",IF(LEFT(Ujian!Q45,1)=SEKOR!Q$2,1,0))</f>
        <v>1</v>
      </c>
      <c r="R38" s="125" t="str">
        <f>IF(Ujian!R45="","",IF(LEFT(Ujian!R45,1)=SEKOR!R$2,1,0))</f>
        <v/>
      </c>
      <c r="S38" s="125">
        <f>IF(Ujian!S45="","",IF(LEFT(Ujian!S45,1)=SEKOR!S$2,1,0))</f>
        <v>1</v>
      </c>
      <c r="T38" s="125">
        <f>IF(Ujian!T45="","",IF(LEFT(Ujian!T45,1)=SEKOR!T$2,1,0))</f>
        <v>1</v>
      </c>
      <c r="U38" s="125">
        <f>IF(Ujian!U45="","",IF(LEFT(Ujian!U45,1)=SEKOR!U$2,1,0))</f>
        <v>1</v>
      </c>
      <c r="V38" s="125">
        <f>IF(Ujian!V45="","",IF(LEFT(Ujian!V45,1)=SEKOR!V$2,1,0))</f>
        <v>0</v>
      </c>
      <c r="W38" s="125">
        <f>IF(Ujian!W45="","",IF(LEFT(Ujian!W45,1)=SEKOR!W$2,1,0))</f>
        <v>1</v>
      </c>
      <c r="X38" s="125">
        <f>IF(Ujian!X45="","",IF(LEFT(Ujian!X45,1)=SEKOR!X$2,1,0))</f>
        <v>0</v>
      </c>
      <c r="Y38" s="125">
        <f>IF(Ujian!Y45="","",IF(LEFT(Ujian!Y45,1)=SEKOR!Y$2,1,0))</f>
        <v>1</v>
      </c>
      <c r="Z38" s="125" t="str">
        <f>IF(Ujian!Z45="","",IF(LEFT(Ujian!Z45,1)=SEKOR!Z$2,1,0))</f>
        <v/>
      </c>
      <c r="AA38" s="125">
        <f>IF(Ujian!AA45="","",IF(LEFT(Ujian!AA45,1)=SEKOR!AA$2,1,0))</f>
        <v>1</v>
      </c>
      <c r="AB38" s="125">
        <f>IF(Ujian!AB45="","",IF(LEFT(Ujian!AB45,1)=SEKOR!AB$2,1,0))</f>
        <v>1</v>
      </c>
      <c r="AC38" s="125">
        <f>IF(Ujian!AC45="","",IF(LEFT(Ujian!AC45,1)=SEKOR!AC$2,1,0))</f>
        <v>1</v>
      </c>
      <c r="AD38" s="125">
        <f>IF(Ujian!AD45="","",IF(LEFT(Ujian!AD45,1)=SEKOR!AD$2,1,0))</f>
        <v>1</v>
      </c>
      <c r="AE38" s="125">
        <f>IF(Ujian!AE45="","",IF(LEFT(Ujian!AE45,1)=SEKOR!AE$2,1,0))</f>
        <v>0</v>
      </c>
      <c r="AF38" s="125">
        <f>IF(Ujian!AF45="","",IF(LEFT(Ujian!AF45,1)=SEKOR!AF$2,1,0))</f>
        <v>0</v>
      </c>
      <c r="AG38" s="125">
        <f>IF(Ujian!AG45="","",IF(LEFT(Ujian!AG45,1)=SEKOR!AG$2,1,0))</f>
        <v>1</v>
      </c>
      <c r="AH38" s="125">
        <f>IF(Ujian!AH45="","",IF(LEFT(Ujian!AH45,1)=SEKOR!AH$2,1,0))</f>
        <v>0</v>
      </c>
      <c r="AI38" s="125">
        <f>IF(Ujian!AI45="","",IF(LEFT(Ujian!AI45,1)=SEKOR!AI$2,1,0))</f>
        <v>1</v>
      </c>
      <c r="AJ38" s="125">
        <f>IF(Ujian!AJ45="","",IF(LEFT(Ujian!AJ45,1)=SEKOR!AJ$2,1,0))</f>
        <v>0</v>
      </c>
      <c r="AK38" s="125" t="str">
        <f>IF(Ujian!AK45="","",IF(LEFT(Ujian!AK45,1)=SEKOR!AK$2,1,0))</f>
        <v/>
      </c>
      <c r="AL38" s="125">
        <f>IF(Ujian!AL45="","",IF(LEFT(Ujian!AL45,1)=SEKOR!AL$2,1,0))</f>
        <v>1</v>
      </c>
      <c r="AM38" s="125">
        <f>IF(Ujian!AM45="","",IF(LEFT(Ujian!AM45,1)=SEKOR!AM$2,1,0))</f>
        <v>0</v>
      </c>
      <c r="AN38" s="125">
        <f>IF(Ujian!AN45="","",IF(LEFT(Ujian!AN45,1)=SEKOR!AN$2,1,0))</f>
        <v>1</v>
      </c>
      <c r="AO38" s="125">
        <f>IF(Ujian!AO45="","",IF(LEFT(Ujian!AO45,1)=SEKOR!AO$2,1,0))</f>
        <v>0</v>
      </c>
      <c r="AP38" s="125">
        <f>IF(Ujian!AP45="","",IF(LEFT(Ujian!AP45,1)=SEKOR!AP$2,1,0))</f>
        <v>1</v>
      </c>
      <c r="AQ38" s="125">
        <f>IF(Ujian!AQ45="","",IF(LEFT(Ujian!AQ45,1)=SEKOR!AQ$2,1,0))</f>
        <v>1</v>
      </c>
      <c r="AR38" s="125">
        <f>IF(Ujian!AR45="","",IF(LEFT(Ujian!AR45,1)=SEKOR!AR$2,1,0))</f>
        <v>1</v>
      </c>
      <c r="AS38" s="125">
        <f>IF(Ujian!AS45="","",IF(LEFT(Ujian!AS45,1)=SEKOR!AS$2,1,0))</f>
        <v>0</v>
      </c>
      <c r="AT38" s="125">
        <f>IF(Ujian!AT45="","",IF(LEFT(Ujian!AT45,1)=SEKOR!AT$2,1,0))</f>
        <v>0</v>
      </c>
      <c r="AU38" s="125">
        <f>IF(Ujian!AU45="","",IF(LEFT(Ujian!AU45,1)=SEKOR!AU$2,1,0))</f>
        <v>1</v>
      </c>
      <c r="AV38" s="125">
        <f>IF(Ujian!AV45="","",IF(LEFT(Ujian!AV45,1)=SEKOR!AV$2,1,0))</f>
        <v>1</v>
      </c>
      <c r="AW38" s="125" t="str">
        <f>IF(Ujian!AW45="","",IF(LEFT(Ujian!AW45,1)=SEKOR!AW$2,1,0))</f>
        <v/>
      </c>
      <c r="AX38" s="125" t="str">
        <f>IF(Ujian!AX45="","",IF(LEFT(Ujian!AX45,1)=SEKOR!AX$2,1,0))</f>
        <v/>
      </c>
      <c r="AY38" s="125" t="str">
        <f>IF(Ujian!AY45="","",IF(LEFT(Ujian!AY45,1)=SEKOR!AY$2,1,0))</f>
        <v/>
      </c>
      <c r="AZ38" s="125" t="str">
        <f>IF(Ujian!AZ45="","",IF(LEFT(Ujian!AZ45,1)=SEKOR!AZ$2,1,0))</f>
        <v/>
      </c>
      <c r="BA38" s="125" t="str">
        <f>IF(Ujian!BA45="","",IF(LEFT(Ujian!BA45,1)=SEKOR!BA$2,1,0))</f>
        <v/>
      </c>
      <c r="BB38" s="125" t="str">
        <f>IF(Ujian!BB45="","",IF(LEFT(Ujian!BB45,1)=SEKOR!BB$2,1,0))</f>
        <v/>
      </c>
      <c r="BC38" s="125" t="str">
        <f>IF(Ujian!BC45="","",IF(LEFT(Ujian!BC45,1)=SEKOR!BC$2,1,0))</f>
        <v/>
      </c>
      <c r="BD38" s="125" t="str">
        <f>IF(Ujian!BD45="","",IF(LEFT(Ujian!BD45,1)=SEKOR!BD$2,1,0))</f>
        <v/>
      </c>
      <c r="BE38" s="125" t="str">
        <f>IF(Ujian!BE45="","",IF(LEFT(Ujian!BE45,1)=SEKOR!BE$2,1,0))</f>
        <v/>
      </c>
      <c r="BF38" s="125" t="str">
        <f>IF(Ujian!BF45="","",IF(LEFT(Ujian!BF45,1)=SEKOR!BF$2,1,0))</f>
        <v/>
      </c>
      <c r="BG38" s="125" t="str">
        <f>IF(Ujian!BG45="","",IF(LEFT(Ujian!BG45,1)=SEKOR!BG$2,1,0))</f>
        <v/>
      </c>
      <c r="BH38" s="125" t="str">
        <f>IF(Ujian!BH45="","",IF(LEFT(Ujian!BH45,1)=SEKOR!BH$2,1,0))</f>
        <v/>
      </c>
      <c r="BI38" s="125" t="str">
        <f>IF(Ujian!BI45="","",IF(LEFT(Ujian!BI45,1)=SEKOR!BI$2,1,0))</f>
        <v/>
      </c>
      <c r="BJ38" s="125" t="str">
        <f>IF(Ujian!BJ45="","",IF(LEFT(Ujian!BJ45,1)=SEKOR!BJ$2,1,0))</f>
        <v/>
      </c>
      <c r="BK38" s="125" t="str">
        <f>IF(Ujian!BK45="","",IF(LEFT(Ujian!BK45,1)=SEKOR!BK$2,1,0))</f>
        <v/>
      </c>
      <c r="BL38" s="18">
        <f t="shared" si="0"/>
        <v>40</v>
      </c>
      <c r="BM38" s="18">
        <f>COUNTIF($D38:$BK38,"")+DATA!$F$14-DATA!$F$12</f>
        <v>20</v>
      </c>
      <c r="BN38" s="17">
        <f>IF(COUNTIF($D38:$BK38,1)&gt;DATA!$F$14,DATA!$F$14,COUNTIF($D38:$BK38,1))</f>
        <v>26</v>
      </c>
      <c r="BO38" s="17">
        <f>IF((BN38+COUNTIF($D38:$BK38,0))&lt;=DATA!$F$14,COUNTIF($D38:$BK38,0),DATA!$F$14-SEKOR!BN38)</f>
        <v>14</v>
      </c>
      <c r="BP38" s="4">
        <f>IF(BL38=0,"",BN38/DATA!$F$14*100)</f>
        <v>65</v>
      </c>
      <c r="BQ38" s="121">
        <f t="shared" si="1"/>
        <v>83.870967741935488</v>
      </c>
      <c r="BR38" s="2">
        <f>IF(Praktik!$E38=0,"",Praktik!$E38)</f>
        <v>90</v>
      </c>
      <c r="BS38" s="2">
        <f>IF(BR38="","",(BP38*DATAINFO!$O$4)+(SEKOR!BR38*DATAINFO!$O$5)/(DATAINFO!$O$4+DATAINFO!$O$5))</f>
        <v>95</v>
      </c>
      <c r="BT38" s="2">
        <f>IF(BL38=0,"",IF(DATA!$F$18="TIDAK",ROUNDUP((IF!$L$8*SEKOR!$BP38)+IF!$L$9,0),IF($BR38="","",ROUNDUP((IF!$L$20*$BS38)+IF!$L$21,0))))</f>
        <v>82</v>
      </c>
      <c r="BU38" s="47">
        <f>IF(BP38="","",IF(SEKOR!BP38&gt;=DATA!$J$12,1,0))</f>
        <v>0</v>
      </c>
      <c r="BV38" s="47">
        <f>IF(BQ38="","",IF(SEKOR!BQ38&gt;=DATA!$J$12,1,0))</f>
        <v>1</v>
      </c>
      <c r="BW38" s="47">
        <f>IF(BR38="","",IF(SEKOR!BR38&gt;=DATA!$J$12,1,0))</f>
        <v>1</v>
      </c>
      <c r="BX38" s="47">
        <f>IF(BT38="","",IF(DATA!$J$14="",IF(SEKOR!BT38&gt;=DATA!$J$12,1,0),IF(SEKOR!BT38&gt;=DATA!$J$14,1,0)))</f>
        <v>1</v>
      </c>
    </row>
    <row r="39" spans="1:76" x14ac:dyDescent="0.25">
      <c r="A39" s="20" t="s">
        <v>66</v>
      </c>
      <c r="B39" s="21" t="str">
        <f>IF(Ujian!B46="","",Ujian!B46)</f>
        <v>  234621</v>
      </c>
      <c r="C39" s="57" t="str">
        <f>IF(Ujian!C46="","",Ujian!C46)</f>
        <v>  Jamiatul Putri</v>
      </c>
      <c r="D39" s="125">
        <f>IF(Ujian!D46="","",IF(LEFT(Ujian!D46,1)=SEKOR!D$2,1,0))</f>
        <v>0</v>
      </c>
      <c r="E39" s="125">
        <f>IF(Ujian!E46="","",IF(LEFT(Ujian!E46,1)=SEKOR!E$2,1,0))</f>
        <v>1</v>
      </c>
      <c r="F39" s="125">
        <f>IF(Ujian!F46="","",IF(LEFT(Ujian!F46,1)=SEKOR!F$2,1,0))</f>
        <v>0</v>
      </c>
      <c r="G39" s="125">
        <f>IF(Ujian!G46="","",IF(LEFT(Ujian!G46,1)=SEKOR!G$2,1,0))</f>
        <v>1</v>
      </c>
      <c r="H39" s="125">
        <f>IF(Ujian!H46="","",IF(LEFT(Ujian!H46,1)=SEKOR!H$2,1,0))</f>
        <v>0</v>
      </c>
      <c r="I39" s="125">
        <f>IF(Ujian!I46="","",IF(LEFT(Ujian!I46,1)=SEKOR!I$2,1,0))</f>
        <v>0</v>
      </c>
      <c r="J39" s="125" t="str">
        <f>IF(Ujian!J46="","",IF(LEFT(Ujian!J46,1)=SEKOR!J$2,1,0))</f>
        <v/>
      </c>
      <c r="K39" s="125">
        <f>IF(Ujian!K46="","",IF(LEFT(Ujian!K46,1)=SEKOR!K$2,1,0))</f>
        <v>0</v>
      </c>
      <c r="L39" s="125">
        <f>IF(Ujian!L46="","",IF(LEFT(Ujian!L46,1)=SEKOR!L$2,1,0))</f>
        <v>1</v>
      </c>
      <c r="M39" s="125">
        <f>IF(Ujian!M46="","",IF(LEFT(Ujian!M46,1)=SEKOR!M$2,1,0))</f>
        <v>0</v>
      </c>
      <c r="N39" s="125">
        <f>IF(Ujian!N46="","",IF(LEFT(Ujian!N46,1)=SEKOR!N$2,1,0))</f>
        <v>0</v>
      </c>
      <c r="O39" s="125">
        <f>IF(Ujian!O46="","",IF(LEFT(Ujian!O46,1)=SEKOR!O$2,1,0))</f>
        <v>0</v>
      </c>
      <c r="P39" s="125">
        <f>IF(Ujian!P46="","",IF(LEFT(Ujian!P46,1)=SEKOR!P$2,1,0))</f>
        <v>0</v>
      </c>
      <c r="Q39" s="125">
        <f>IF(Ujian!Q46="","",IF(LEFT(Ujian!Q46,1)=SEKOR!Q$2,1,0))</f>
        <v>1</v>
      </c>
      <c r="R39" s="125">
        <f>IF(Ujian!R46="","",IF(LEFT(Ujian!R46,1)=SEKOR!R$2,1,0))</f>
        <v>0</v>
      </c>
      <c r="S39" s="125" t="str">
        <f>IF(Ujian!S46="","",IF(LEFT(Ujian!S46,1)=SEKOR!S$2,1,0))</f>
        <v/>
      </c>
      <c r="T39" s="125">
        <f>IF(Ujian!T46="","",IF(LEFT(Ujian!T46,1)=SEKOR!T$2,1,0))</f>
        <v>1</v>
      </c>
      <c r="U39" s="125">
        <f>IF(Ujian!U46="","",IF(LEFT(Ujian!U46,1)=SEKOR!U$2,1,0))</f>
        <v>1</v>
      </c>
      <c r="V39" s="125" t="str">
        <f>IF(Ujian!V46="","",IF(LEFT(Ujian!V46,1)=SEKOR!V$2,1,0))</f>
        <v/>
      </c>
      <c r="W39" s="125">
        <f>IF(Ujian!W46="","",IF(LEFT(Ujian!W46,1)=SEKOR!W$2,1,0))</f>
        <v>1</v>
      </c>
      <c r="X39" s="125">
        <f>IF(Ujian!X46="","",IF(LEFT(Ujian!X46,1)=SEKOR!X$2,1,0))</f>
        <v>0</v>
      </c>
      <c r="Y39" s="125">
        <f>IF(Ujian!Y46="","",IF(LEFT(Ujian!Y46,1)=SEKOR!Y$2,1,0))</f>
        <v>0</v>
      </c>
      <c r="Z39" s="125">
        <f>IF(Ujian!Z46="","",IF(LEFT(Ujian!Z46,1)=SEKOR!Z$2,1,0))</f>
        <v>0</v>
      </c>
      <c r="AA39" s="125">
        <f>IF(Ujian!AA46="","",IF(LEFT(Ujian!AA46,1)=SEKOR!AA$2,1,0))</f>
        <v>0</v>
      </c>
      <c r="AB39" s="125">
        <f>IF(Ujian!AB46="","",IF(LEFT(Ujian!AB46,1)=SEKOR!AB$2,1,0))</f>
        <v>0</v>
      </c>
      <c r="AC39" s="125">
        <f>IF(Ujian!AC46="","",IF(LEFT(Ujian!AC46,1)=SEKOR!AC$2,1,0))</f>
        <v>1</v>
      </c>
      <c r="AD39" s="125" t="str">
        <f>IF(Ujian!AD46="","",IF(LEFT(Ujian!AD46,1)=SEKOR!AD$2,1,0))</f>
        <v/>
      </c>
      <c r="AE39" s="125">
        <f>IF(Ujian!AE46="","",IF(LEFT(Ujian!AE46,1)=SEKOR!AE$2,1,0))</f>
        <v>1</v>
      </c>
      <c r="AF39" s="125">
        <f>IF(Ujian!AF46="","",IF(LEFT(Ujian!AF46,1)=SEKOR!AF$2,1,0))</f>
        <v>1</v>
      </c>
      <c r="AG39" s="125" t="str">
        <f>IF(Ujian!AG46="","",IF(LEFT(Ujian!AG46,1)=SEKOR!AG$2,1,0))</f>
        <v/>
      </c>
      <c r="AH39" s="125">
        <f>IF(Ujian!AH46="","",IF(LEFT(Ujian!AH46,1)=SEKOR!AH$2,1,0))</f>
        <v>0</v>
      </c>
      <c r="AI39" s="125">
        <f>IF(Ujian!AI46="","",IF(LEFT(Ujian!AI46,1)=SEKOR!AI$2,1,0))</f>
        <v>1</v>
      </c>
      <c r="AJ39" s="125">
        <f>IF(Ujian!AJ46="","",IF(LEFT(Ujian!AJ46,1)=SEKOR!AJ$2,1,0))</f>
        <v>1</v>
      </c>
      <c r="AK39" s="125">
        <f>IF(Ujian!AK46="","",IF(LEFT(Ujian!AK46,1)=SEKOR!AK$2,1,0))</f>
        <v>0</v>
      </c>
      <c r="AL39" s="125">
        <f>IF(Ujian!AL46="","",IF(LEFT(Ujian!AL46,1)=SEKOR!AL$2,1,0))</f>
        <v>0</v>
      </c>
      <c r="AM39" s="125">
        <f>IF(Ujian!AM46="","",IF(LEFT(Ujian!AM46,1)=SEKOR!AM$2,1,0))</f>
        <v>0</v>
      </c>
      <c r="AN39" s="125">
        <f>IF(Ujian!AN46="","",IF(LEFT(Ujian!AN46,1)=SEKOR!AN$2,1,0))</f>
        <v>1</v>
      </c>
      <c r="AO39" s="125">
        <f>IF(Ujian!AO46="","",IF(LEFT(Ujian!AO46,1)=SEKOR!AO$2,1,0))</f>
        <v>0</v>
      </c>
      <c r="AP39" s="125">
        <f>IF(Ujian!AP46="","",IF(LEFT(Ujian!AP46,1)=SEKOR!AP$2,1,0))</f>
        <v>1</v>
      </c>
      <c r="AQ39" s="125">
        <f>IF(Ujian!AQ46="","",IF(LEFT(Ujian!AQ46,1)=SEKOR!AQ$2,1,0))</f>
        <v>0</v>
      </c>
      <c r="AR39" s="125">
        <f>IF(Ujian!AR46="","",IF(LEFT(Ujian!AR46,1)=SEKOR!AR$2,1,0))</f>
        <v>1</v>
      </c>
      <c r="AS39" s="125">
        <f>IF(Ujian!AS46="","",IF(LEFT(Ujian!AS46,1)=SEKOR!AS$2,1,0))</f>
        <v>0</v>
      </c>
      <c r="AT39" s="125">
        <f>IF(Ujian!AT46="","",IF(LEFT(Ujian!AT46,1)=SEKOR!AT$2,1,0))</f>
        <v>0</v>
      </c>
      <c r="AU39" s="125">
        <f>IF(Ujian!AU46="","",IF(LEFT(Ujian!AU46,1)=SEKOR!AU$2,1,0))</f>
        <v>1</v>
      </c>
      <c r="AV39" s="125">
        <f>IF(Ujian!AV46="","",IF(LEFT(Ujian!AV46,1)=SEKOR!AV$2,1,0))</f>
        <v>0</v>
      </c>
      <c r="AW39" s="125" t="str">
        <f>IF(Ujian!AW46="","",IF(LEFT(Ujian!AW46,1)=SEKOR!AW$2,1,0))</f>
        <v/>
      </c>
      <c r="AX39" s="125" t="str">
        <f>IF(Ujian!AX46="","",IF(LEFT(Ujian!AX46,1)=SEKOR!AX$2,1,0))</f>
        <v/>
      </c>
      <c r="AY39" s="125" t="str">
        <f>IF(Ujian!AY46="","",IF(LEFT(Ujian!AY46,1)=SEKOR!AY$2,1,0))</f>
        <v/>
      </c>
      <c r="AZ39" s="125" t="str">
        <f>IF(Ujian!AZ46="","",IF(LEFT(Ujian!AZ46,1)=SEKOR!AZ$2,1,0))</f>
        <v/>
      </c>
      <c r="BA39" s="125" t="str">
        <f>IF(Ujian!BA46="","",IF(LEFT(Ujian!BA46,1)=SEKOR!BA$2,1,0))</f>
        <v/>
      </c>
      <c r="BB39" s="125" t="str">
        <f>IF(Ujian!BB46="","",IF(LEFT(Ujian!BB46,1)=SEKOR!BB$2,1,0))</f>
        <v/>
      </c>
      <c r="BC39" s="125" t="str">
        <f>IF(Ujian!BC46="","",IF(LEFT(Ujian!BC46,1)=SEKOR!BC$2,1,0))</f>
        <v/>
      </c>
      <c r="BD39" s="125" t="str">
        <f>IF(Ujian!BD46="","",IF(LEFT(Ujian!BD46,1)=SEKOR!BD$2,1,0))</f>
        <v/>
      </c>
      <c r="BE39" s="125" t="str">
        <f>IF(Ujian!BE46="","",IF(LEFT(Ujian!BE46,1)=SEKOR!BE$2,1,0))</f>
        <v/>
      </c>
      <c r="BF39" s="125" t="str">
        <f>IF(Ujian!BF46="","",IF(LEFT(Ujian!BF46,1)=SEKOR!BF$2,1,0))</f>
        <v/>
      </c>
      <c r="BG39" s="125" t="str">
        <f>IF(Ujian!BG46="","",IF(LEFT(Ujian!BG46,1)=SEKOR!BG$2,1,0))</f>
        <v/>
      </c>
      <c r="BH39" s="125" t="str">
        <f>IF(Ujian!BH46="","",IF(LEFT(Ujian!BH46,1)=SEKOR!BH$2,1,0))</f>
        <v/>
      </c>
      <c r="BI39" s="125" t="str">
        <f>IF(Ujian!BI46="","",IF(LEFT(Ujian!BI46,1)=SEKOR!BI$2,1,0))</f>
        <v/>
      </c>
      <c r="BJ39" s="125" t="str">
        <f>IF(Ujian!BJ46="","",IF(LEFT(Ujian!BJ46,1)=SEKOR!BJ$2,1,0))</f>
        <v/>
      </c>
      <c r="BK39" s="125" t="str">
        <f>IF(Ujian!BK46="","",IF(LEFT(Ujian!BK46,1)=SEKOR!BK$2,1,0))</f>
        <v/>
      </c>
      <c r="BL39" s="18">
        <f t="shared" si="0"/>
        <v>40</v>
      </c>
      <c r="BM39" s="18">
        <f>COUNTIF($D39:$BK39,"")+DATA!$F$14-DATA!$F$12</f>
        <v>20</v>
      </c>
      <c r="BN39" s="17">
        <f>IF(COUNTIF($D39:$BK39,1)&gt;DATA!$F$14,DATA!$F$14,COUNTIF($D39:$BK39,1))</f>
        <v>16</v>
      </c>
      <c r="BO39" s="17">
        <f>IF((BN39+COUNTIF($D39:$BK39,0))&lt;=DATA!$F$14,COUNTIF($D39:$BK39,0),DATA!$F$14-SEKOR!BN39)</f>
        <v>24</v>
      </c>
      <c r="BP39" s="4">
        <f>IF(BL39=0,"",BN39/DATA!$F$14*100)</f>
        <v>40</v>
      </c>
      <c r="BQ39" s="121">
        <f t="shared" si="1"/>
        <v>51.612903225806448</v>
      </c>
      <c r="BR39" s="2">
        <f>IF(Praktik!$E39=0,"",Praktik!$E39)</f>
        <v>90</v>
      </c>
      <c r="BS39" s="2">
        <f>IF(BR39="","",(BP39*DATAINFO!$O$4)+(SEKOR!BR39*DATAINFO!$O$5)/(DATAINFO!$O$4+DATAINFO!$O$5))</f>
        <v>70</v>
      </c>
      <c r="BT39" s="2">
        <f>IF(BL39=0,"",IF(DATA!$F$18="TIDAK",ROUNDUP((IF!$L$8*SEKOR!$BP39)+IF!$L$9,0),IF($BR39="","",ROUNDUP((IF!$L$20*$BS39)+IF!$L$21,0))))</f>
        <v>65</v>
      </c>
      <c r="BU39" s="47">
        <f>IF(BP39="","",IF(SEKOR!BP39&gt;=DATA!$J$12,1,0))</f>
        <v>0</v>
      </c>
      <c r="BV39" s="47">
        <f>IF(BQ39="","",IF(SEKOR!BQ39&gt;=DATA!$J$12,1,0))</f>
        <v>0</v>
      </c>
      <c r="BW39" s="47">
        <f>IF(BR39="","",IF(SEKOR!BR39&gt;=DATA!$J$12,1,0))</f>
        <v>1</v>
      </c>
      <c r="BX39" s="47">
        <f>IF(BT39="","",IF(DATA!$J$14="",IF(SEKOR!BT39&gt;=DATA!$J$12,1,0),IF(SEKOR!BT39&gt;=DATA!$J$14,1,0)))</f>
        <v>1</v>
      </c>
    </row>
    <row r="40" spans="1:76" x14ac:dyDescent="0.25">
      <c r="A40" s="20" t="s">
        <v>67</v>
      </c>
      <c r="B40" s="21" t="str">
        <f>IF(Ujian!B47="","",Ujian!B47)</f>
        <v>  234658</v>
      </c>
      <c r="C40" s="57" t="str">
        <f>IF(Ujian!C47="","",Ujian!C47)</f>
        <v>  M. Hasan</v>
      </c>
      <c r="D40" s="125">
        <f>IF(Ujian!D47="","",IF(LEFT(Ujian!D47,1)=SEKOR!D$2,1,0))</f>
        <v>1</v>
      </c>
      <c r="E40" s="125">
        <f>IF(Ujian!E47="","",IF(LEFT(Ujian!E47,1)=SEKOR!E$2,1,0))</f>
        <v>0</v>
      </c>
      <c r="F40" s="125">
        <f>IF(Ujian!F47="","",IF(LEFT(Ujian!F47,1)=SEKOR!F$2,1,0))</f>
        <v>1</v>
      </c>
      <c r="G40" s="125">
        <f>IF(Ujian!G47="","",IF(LEFT(Ujian!G47,1)=SEKOR!G$2,1,0))</f>
        <v>1</v>
      </c>
      <c r="H40" s="125">
        <f>IF(Ujian!H47="","",IF(LEFT(Ujian!H47,1)=SEKOR!H$2,1,0))</f>
        <v>1</v>
      </c>
      <c r="I40" s="125">
        <f>IF(Ujian!I47="","",IF(LEFT(Ujian!I47,1)=SEKOR!I$2,1,0))</f>
        <v>1</v>
      </c>
      <c r="J40" s="125">
        <f>IF(Ujian!J47="","",IF(LEFT(Ujian!J47,1)=SEKOR!J$2,1,0))</f>
        <v>1</v>
      </c>
      <c r="K40" s="125">
        <f>IF(Ujian!K47="","",IF(LEFT(Ujian!K47,1)=SEKOR!K$2,1,0))</f>
        <v>0</v>
      </c>
      <c r="L40" s="125" t="str">
        <f>IF(Ujian!L47="","",IF(LEFT(Ujian!L47,1)=SEKOR!L$2,1,0))</f>
        <v/>
      </c>
      <c r="M40" s="125">
        <f>IF(Ujian!M47="","",IF(LEFT(Ujian!M47,1)=SEKOR!M$2,1,0))</f>
        <v>0</v>
      </c>
      <c r="N40" s="125">
        <f>IF(Ujian!N47="","",IF(LEFT(Ujian!N47,1)=SEKOR!N$2,1,0))</f>
        <v>0</v>
      </c>
      <c r="O40" s="125">
        <f>IF(Ujian!O47="","",IF(LEFT(Ujian!O47,1)=SEKOR!O$2,1,0))</f>
        <v>1</v>
      </c>
      <c r="P40" s="125">
        <f>IF(Ujian!P47="","",IF(LEFT(Ujian!P47,1)=SEKOR!P$2,1,0))</f>
        <v>1</v>
      </c>
      <c r="Q40" s="125">
        <f>IF(Ujian!Q47="","",IF(LEFT(Ujian!Q47,1)=SEKOR!Q$2,1,0))</f>
        <v>1</v>
      </c>
      <c r="R40" s="125">
        <f>IF(Ujian!R47="","",IF(LEFT(Ujian!R47,1)=SEKOR!R$2,1,0))</f>
        <v>0</v>
      </c>
      <c r="S40" s="125">
        <f>IF(Ujian!S47="","",IF(LEFT(Ujian!S47,1)=SEKOR!S$2,1,0))</f>
        <v>1</v>
      </c>
      <c r="T40" s="125">
        <f>IF(Ujian!T47="","",IF(LEFT(Ujian!T47,1)=SEKOR!T$2,1,0))</f>
        <v>1</v>
      </c>
      <c r="U40" s="125" t="str">
        <f>IF(Ujian!U47="","",IF(LEFT(Ujian!U47,1)=SEKOR!U$2,1,0))</f>
        <v/>
      </c>
      <c r="V40" s="125">
        <f>IF(Ujian!V47="","",IF(LEFT(Ujian!V47,1)=SEKOR!V$2,1,0))</f>
        <v>1</v>
      </c>
      <c r="W40" s="125">
        <f>IF(Ujian!W47="","",IF(LEFT(Ujian!W47,1)=SEKOR!W$2,1,0))</f>
        <v>1</v>
      </c>
      <c r="X40" s="125">
        <f>IF(Ujian!X47="","",IF(LEFT(Ujian!X47,1)=SEKOR!X$2,1,0))</f>
        <v>0</v>
      </c>
      <c r="Y40" s="125">
        <f>IF(Ujian!Y47="","",IF(LEFT(Ujian!Y47,1)=SEKOR!Y$2,1,0))</f>
        <v>1</v>
      </c>
      <c r="Z40" s="125">
        <f>IF(Ujian!Z47="","",IF(LEFT(Ujian!Z47,1)=SEKOR!Z$2,1,0))</f>
        <v>0</v>
      </c>
      <c r="AA40" s="125">
        <f>IF(Ujian!AA47="","",IF(LEFT(Ujian!AA47,1)=SEKOR!AA$2,1,0))</f>
        <v>1</v>
      </c>
      <c r="AB40" s="125">
        <f>IF(Ujian!AB47="","",IF(LEFT(Ujian!AB47,1)=SEKOR!AB$2,1,0))</f>
        <v>0</v>
      </c>
      <c r="AC40" s="125" t="str">
        <f>IF(Ujian!AC47="","",IF(LEFT(Ujian!AC47,1)=SEKOR!AC$2,1,0))</f>
        <v/>
      </c>
      <c r="AD40" s="125">
        <f>IF(Ujian!AD47="","",IF(LEFT(Ujian!AD47,1)=SEKOR!AD$2,1,0))</f>
        <v>1</v>
      </c>
      <c r="AE40" s="125">
        <f>IF(Ujian!AE47="","",IF(LEFT(Ujian!AE47,1)=SEKOR!AE$2,1,0))</f>
        <v>0</v>
      </c>
      <c r="AF40" s="125">
        <f>IF(Ujian!AF47="","",IF(LEFT(Ujian!AF47,1)=SEKOR!AF$2,1,0))</f>
        <v>1</v>
      </c>
      <c r="AG40" s="125">
        <f>IF(Ujian!AG47="","",IF(LEFT(Ujian!AG47,1)=SEKOR!AG$2,1,0))</f>
        <v>1</v>
      </c>
      <c r="AH40" s="125">
        <f>IF(Ujian!AH47="","",IF(LEFT(Ujian!AH47,1)=SEKOR!AH$2,1,0))</f>
        <v>0</v>
      </c>
      <c r="AI40" s="125">
        <f>IF(Ujian!AI47="","",IF(LEFT(Ujian!AI47,1)=SEKOR!AI$2,1,0))</f>
        <v>1</v>
      </c>
      <c r="AJ40" s="125">
        <f>IF(Ujian!AJ47="","",IF(LEFT(Ujian!AJ47,1)=SEKOR!AJ$2,1,0))</f>
        <v>1</v>
      </c>
      <c r="AK40" s="125">
        <f>IF(Ujian!AK47="","",IF(LEFT(Ujian!AK47,1)=SEKOR!AK$2,1,0))</f>
        <v>1</v>
      </c>
      <c r="AL40" s="125">
        <f>IF(Ujian!AL47="","",IF(LEFT(Ujian!AL47,1)=SEKOR!AL$2,1,0))</f>
        <v>1</v>
      </c>
      <c r="AM40" s="125">
        <f>IF(Ujian!AM47="","",IF(LEFT(Ujian!AM47,1)=SEKOR!AM$2,1,0))</f>
        <v>1</v>
      </c>
      <c r="AN40" s="125">
        <f>IF(Ujian!AN47="","",IF(LEFT(Ujian!AN47,1)=SEKOR!AN$2,1,0))</f>
        <v>1</v>
      </c>
      <c r="AO40" s="125" t="str">
        <f>IF(Ujian!AO47="","",IF(LEFT(Ujian!AO47,1)=SEKOR!AO$2,1,0))</f>
        <v/>
      </c>
      <c r="AP40" s="125">
        <f>IF(Ujian!AP47="","",IF(LEFT(Ujian!AP47,1)=SEKOR!AP$2,1,0))</f>
        <v>0</v>
      </c>
      <c r="AQ40" s="125">
        <f>IF(Ujian!AQ47="","",IF(LEFT(Ujian!AQ47,1)=SEKOR!AQ$2,1,0))</f>
        <v>1</v>
      </c>
      <c r="AR40" s="125">
        <f>IF(Ujian!AR47="","",IF(LEFT(Ujian!AR47,1)=SEKOR!AR$2,1,0))</f>
        <v>1</v>
      </c>
      <c r="AS40" s="125" t="str">
        <f>IF(Ujian!AS47="","",IF(LEFT(Ujian!AS47,1)=SEKOR!AS$2,1,0))</f>
        <v/>
      </c>
      <c r="AT40" s="125">
        <f>IF(Ujian!AT47="","",IF(LEFT(Ujian!AT47,1)=SEKOR!AT$2,1,0))</f>
        <v>1</v>
      </c>
      <c r="AU40" s="125">
        <f>IF(Ujian!AU47="","",IF(LEFT(Ujian!AU47,1)=SEKOR!AU$2,1,0))</f>
        <v>1</v>
      </c>
      <c r="AV40" s="125">
        <f>IF(Ujian!AV47="","",IF(LEFT(Ujian!AV47,1)=SEKOR!AV$2,1,0))</f>
        <v>1</v>
      </c>
      <c r="AW40" s="125" t="str">
        <f>IF(Ujian!AW47="","",IF(LEFT(Ujian!AW47,1)=SEKOR!AW$2,1,0))</f>
        <v/>
      </c>
      <c r="AX40" s="125" t="str">
        <f>IF(Ujian!AX47="","",IF(LEFT(Ujian!AX47,1)=SEKOR!AX$2,1,0))</f>
        <v/>
      </c>
      <c r="AY40" s="125" t="str">
        <f>IF(Ujian!AY47="","",IF(LEFT(Ujian!AY47,1)=SEKOR!AY$2,1,0))</f>
        <v/>
      </c>
      <c r="AZ40" s="125" t="str">
        <f>IF(Ujian!AZ47="","",IF(LEFT(Ujian!AZ47,1)=SEKOR!AZ$2,1,0))</f>
        <v/>
      </c>
      <c r="BA40" s="125" t="str">
        <f>IF(Ujian!BA47="","",IF(LEFT(Ujian!BA47,1)=SEKOR!BA$2,1,0))</f>
        <v/>
      </c>
      <c r="BB40" s="125" t="str">
        <f>IF(Ujian!BB47="","",IF(LEFT(Ujian!BB47,1)=SEKOR!BB$2,1,0))</f>
        <v/>
      </c>
      <c r="BC40" s="125" t="str">
        <f>IF(Ujian!BC47="","",IF(LEFT(Ujian!BC47,1)=SEKOR!BC$2,1,0))</f>
        <v/>
      </c>
      <c r="BD40" s="125" t="str">
        <f>IF(Ujian!BD47="","",IF(LEFT(Ujian!BD47,1)=SEKOR!BD$2,1,0))</f>
        <v/>
      </c>
      <c r="BE40" s="125" t="str">
        <f>IF(Ujian!BE47="","",IF(LEFT(Ujian!BE47,1)=SEKOR!BE$2,1,0))</f>
        <v/>
      </c>
      <c r="BF40" s="125" t="str">
        <f>IF(Ujian!BF47="","",IF(LEFT(Ujian!BF47,1)=SEKOR!BF$2,1,0))</f>
        <v/>
      </c>
      <c r="BG40" s="125" t="str">
        <f>IF(Ujian!BG47="","",IF(LEFT(Ujian!BG47,1)=SEKOR!BG$2,1,0))</f>
        <v/>
      </c>
      <c r="BH40" s="125" t="str">
        <f>IF(Ujian!BH47="","",IF(LEFT(Ujian!BH47,1)=SEKOR!BH$2,1,0))</f>
        <v/>
      </c>
      <c r="BI40" s="125" t="str">
        <f>IF(Ujian!BI47="","",IF(LEFT(Ujian!BI47,1)=SEKOR!BI$2,1,0))</f>
        <v/>
      </c>
      <c r="BJ40" s="125" t="str">
        <f>IF(Ujian!BJ47="","",IF(LEFT(Ujian!BJ47,1)=SEKOR!BJ$2,1,0))</f>
        <v/>
      </c>
      <c r="BK40" s="125" t="str">
        <f>IF(Ujian!BK47="","",IF(LEFT(Ujian!BK47,1)=SEKOR!BK$2,1,0))</f>
        <v/>
      </c>
      <c r="BL40" s="18">
        <f t="shared" si="0"/>
        <v>40</v>
      </c>
      <c r="BM40" s="18">
        <f>COUNTIF($D40:$BK40,"")+DATA!$F$14-DATA!$F$12</f>
        <v>20</v>
      </c>
      <c r="BN40" s="17">
        <f>IF(COUNTIF($D40:$BK40,1)&gt;DATA!$F$14,DATA!$F$14,COUNTIF($D40:$BK40,1))</f>
        <v>29</v>
      </c>
      <c r="BO40" s="17">
        <f>IF((BN40+COUNTIF($D40:$BK40,0))&lt;=DATA!$F$14,COUNTIF($D40:$BK40,0),DATA!$F$14-SEKOR!BN40)</f>
        <v>11</v>
      </c>
      <c r="BP40" s="4">
        <f>IF(BL40=0,"",BN40/DATA!$F$14*100)</f>
        <v>72.5</v>
      </c>
      <c r="BQ40" s="121">
        <f t="shared" si="1"/>
        <v>93.548387096774192</v>
      </c>
      <c r="BR40" s="2">
        <f>IF(Praktik!$E40=0,"",Praktik!$E40)</f>
        <v>90</v>
      </c>
      <c r="BS40" s="2">
        <f>IF(BR40="","",(BP40*DATAINFO!$O$4)+(SEKOR!BR40*DATAINFO!$O$5)/(DATAINFO!$O$4+DATAINFO!$O$5))</f>
        <v>102.5</v>
      </c>
      <c r="BT40" s="2">
        <f>IF(BL40=0,"",IF(DATA!$F$18="TIDAK",ROUNDUP((IF!$L$8*SEKOR!$BP40)+IF!$L$9,0),IF($BR40="","",ROUNDUP((IF!$L$20*$BS40)+IF!$L$21,0))))</f>
        <v>87</v>
      </c>
      <c r="BU40" s="47">
        <f>IF(BP40="","",IF(SEKOR!BP40&gt;=DATA!$J$12,1,0))</f>
        <v>1</v>
      </c>
      <c r="BV40" s="47">
        <f>IF(BQ40="","",IF(SEKOR!BQ40&gt;=DATA!$J$12,1,0))</f>
        <v>1</v>
      </c>
      <c r="BW40" s="47">
        <f>IF(BR40="","",IF(SEKOR!BR40&gt;=DATA!$J$12,1,0))</f>
        <v>1</v>
      </c>
      <c r="BX40" s="47">
        <f>IF(BT40="","",IF(DATA!$J$14="",IF(SEKOR!BT40&gt;=DATA!$J$12,1,0),IF(SEKOR!BT40&gt;=DATA!$J$14,1,0)))</f>
        <v>1</v>
      </c>
    </row>
    <row r="41" spans="1:76" x14ac:dyDescent="0.25">
      <c r="A41" s="20" t="s">
        <v>68</v>
      </c>
      <c r="B41" s="21" t="str">
        <f>IF(Ujian!B48="","",Ujian!B48)</f>
        <v>  234639</v>
      </c>
      <c r="C41" s="57" t="str">
        <f>IF(Ujian!C48="","",Ujian!C48)</f>
        <v>  Monalisa</v>
      </c>
      <c r="D41" s="125">
        <f>IF(Ujian!D48="","",IF(LEFT(Ujian!D48,1)=SEKOR!D$2,1,0))</f>
        <v>1</v>
      </c>
      <c r="E41" s="125">
        <f>IF(Ujian!E48="","",IF(LEFT(Ujian!E48,1)=SEKOR!E$2,1,0))</f>
        <v>1</v>
      </c>
      <c r="F41" s="125" t="str">
        <f>IF(Ujian!F48="","",IF(LEFT(Ujian!F48,1)=SEKOR!F$2,1,0))</f>
        <v/>
      </c>
      <c r="G41" s="125">
        <f>IF(Ujian!G48="","",IF(LEFT(Ujian!G48,1)=SEKOR!G$2,1,0))</f>
        <v>0</v>
      </c>
      <c r="H41" s="125">
        <f>IF(Ujian!H48="","",IF(LEFT(Ujian!H48,1)=SEKOR!H$2,1,0))</f>
        <v>0</v>
      </c>
      <c r="I41" s="125">
        <f>IF(Ujian!I48="","",IF(LEFT(Ujian!I48,1)=SEKOR!I$2,1,0))</f>
        <v>0</v>
      </c>
      <c r="J41" s="125">
        <f>IF(Ujian!J48="","",IF(LEFT(Ujian!J48,1)=SEKOR!J$2,1,0))</f>
        <v>1</v>
      </c>
      <c r="K41" s="125">
        <f>IF(Ujian!K48="","",IF(LEFT(Ujian!K48,1)=SEKOR!K$2,1,0))</f>
        <v>1</v>
      </c>
      <c r="L41" s="125">
        <f>IF(Ujian!L48="","",IF(LEFT(Ujian!L48,1)=SEKOR!L$2,1,0))</f>
        <v>0</v>
      </c>
      <c r="M41" s="125">
        <f>IF(Ujian!M48="","",IF(LEFT(Ujian!M48,1)=SEKOR!M$2,1,0))</f>
        <v>0</v>
      </c>
      <c r="N41" s="125">
        <f>IF(Ujian!N48="","",IF(LEFT(Ujian!N48,1)=SEKOR!N$2,1,0))</f>
        <v>1</v>
      </c>
      <c r="O41" s="125" t="str">
        <f>IF(Ujian!O48="","",IF(LEFT(Ujian!O48,1)=SEKOR!O$2,1,0))</f>
        <v/>
      </c>
      <c r="P41" s="125">
        <f>IF(Ujian!P48="","",IF(LEFT(Ujian!P48,1)=SEKOR!P$2,1,0))</f>
        <v>0</v>
      </c>
      <c r="Q41" s="125">
        <f>IF(Ujian!Q48="","",IF(LEFT(Ujian!Q48,1)=SEKOR!Q$2,1,0))</f>
        <v>0</v>
      </c>
      <c r="R41" s="125">
        <f>IF(Ujian!R48="","",IF(LEFT(Ujian!R48,1)=SEKOR!R$2,1,0))</f>
        <v>1</v>
      </c>
      <c r="S41" s="125">
        <f>IF(Ujian!S48="","",IF(LEFT(Ujian!S48,1)=SEKOR!S$2,1,0))</f>
        <v>0</v>
      </c>
      <c r="T41" s="125">
        <f>IF(Ujian!T48="","",IF(LEFT(Ujian!T48,1)=SEKOR!T$2,1,0))</f>
        <v>0</v>
      </c>
      <c r="U41" s="125">
        <f>IF(Ujian!U48="","",IF(LEFT(Ujian!U48,1)=SEKOR!U$2,1,0))</f>
        <v>1</v>
      </c>
      <c r="V41" s="125">
        <f>IF(Ujian!V48="","",IF(LEFT(Ujian!V48,1)=SEKOR!V$2,1,0))</f>
        <v>0</v>
      </c>
      <c r="W41" s="125">
        <f>IF(Ujian!W48="","",IF(LEFT(Ujian!W48,1)=SEKOR!W$2,1,0))</f>
        <v>0</v>
      </c>
      <c r="X41" s="125">
        <f>IF(Ujian!X48="","",IF(LEFT(Ujian!X48,1)=SEKOR!X$2,1,0))</f>
        <v>0</v>
      </c>
      <c r="Y41" s="125">
        <f>IF(Ujian!Y48="","",IF(LEFT(Ujian!Y48,1)=SEKOR!Y$2,1,0))</f>
        <v>1</v>
      </c>
      <c r="Z41" s="125">
        <f>IF(Ujian!Z48="","",IF(LEFT(Ujian!Z48,1)=SEKOR!Z$2,1,0))</f>
        <v>1</v>
      </c>
      <c r="AA41" s="125">
        <f>IF(Ujian!AA48="","",IF(LEFT(Ujian!AA48,1)=SEKOR!AA$2,1,0))</f>
        <v>0</v>
      </c>
      <c r="AB41" s="125">
        <f>IF(Ujian!AB48="","",IF(LEFT(Ujian!AB48,1)=SEKOR!AB$2,1,0))</f>
        <v>0</v>
      </c>
      <c r="AC41" s="125">
        <f>IF(Ujian!AC48="","",IF(LEFT(Ujian!AC48,1)=SEKOR!AC$2,1,0))</f>
        <v>1</v>
      </c>
      <c r="AD41" s="125">
        <f>IF(Ujian!AD48="","",IF(LEFT(Ujian!AD48,1)=SEKOR!AD$2,1,0))</f>
        <v>0</v>
      </c>
      <c r="AE41" s="125">
        <f>IF(Ujian!AE48="","",IF(LEFT(Ujian!AE48,1)=SEKOR!AE$2,1,0))</f>
        <v>0</v>
      </c>
      <c r="AF41" s="125">
        <f>IF(Ujian!AF48="","",IF(LEFT(Ujian!AF48,1)=SEKOR!AF$2,1,0))</f>
        <v>0</v>
      </c>
      <c r="AG41" s="125">
        <f>IF(Ujian!AG48="","",IF(LEFT(Ujian!AG48,1)=SEKOR!AG$2,1,0))</f>
        <v>1</v>
      </c>
      <c r="AH41" s="125">
        <f>IF(Ujian!AH48="","",IF(LEFT(Ujian!AH48,1)=SEKOR!AH$2,1,0))</f>
        <v>0</v>
      </c>
      <c r="AI41" s="125">
        <f>IF(Ujian!AI48="","",IF(LEFT(Ujian!AI48,1)=SEKOR!AI$2,1,0))</f>
        <v>0</v>
      </c>
      <c r="AJ41" s="125" t="str">
        <f>IF(Ujian!AJ48="","",IF(LEFT(Ujian!AJ48,1)=SEKOR!AJ$2,1,0))</f>
        <v/>
      </c>
      <c r="AK41" s="125">
        <f>IF(Ujian!AK48="","",IF(LEFT(Ujian!AK48,1)=SEKOR!AK$2,1,0))</f>
        <v>0</v>
      </c>
      <c r="AL41" s="125">
        <f>IF(Ujian!AL48="","",IF(LEFT(Ujian!AL48,1)=SEKOR!AL$2,1,0))</f>
        <v>0</v>
      </c>
      <c r="AM41" s="125">
        <f>IF(Ujian!AM48="","",IF(LEFT(Ujian!AM48,1)=SEKOR!AM$2,1,0))</f>
        <v>0</v>
      </c>
      <c r="AN41" s="125">
        <f>IF(Ujian!AN48="","",IF(LEFT(Ujian!AN48,1)=SEKOR!AN$2,1,0))</f>
        <v>1</v>
      </c>
      <c r="AO41" s="125">
        <f>IF(Ujian!AO48="","",IF(LEFT(Ujian!AO48,1)=SEKOR!AO$2,1,0))</f>
        <v>0</v>
      </c>
      <c r="AP41" s="125">
        <f>IF(Ujian!AP48="","",IF(LEFT(Ujian!AP48,1)=SEKOR!AP$2,1,0))</f>
        <v>0</v>
      </c>
      <c r="AQ41" s="125">
        <f>IF(Ujian!AQ48="","",IF(LEFT(Ujian!AQ48,1)=SEKOR!AQ$2,1,0))</f>
        <v>0</v>
      </c>
      <c r="AR41" s="125">
        <f>IF(Ujian!AR48="","",IF(LEFT(Ujian!AR48,1)=SEKOR!AR$2,1,0))</f>
        <v>0</v>
      </c>
      <c r="AS41" s="125">
        <f>IF(Ujian!AS48="","",IF(LEFT(Ujian!AS48,1)=SEKOR!AS$2,1,0))</f>
        <v>0</v>
      </c>
      <c r="AT41" s="125" t="str">
        <f>IF(Ujian!AT48="","",IF(LEFT(Ujian!AT48,1)=SEKOR!AT$2,1,0))</f>
        <v/>
      </c>
      <c r="AU41" s="125">
        <f>IF(Ujian!AU48="","",IF(LEFT(Ujian!AU48,1)=SEKOR!AU$2,1,0))</f>
        <v>0</v>
      </c>
      <c r="AV41" s="125" t="str">
        <f>IF(Ujian!AV48="","",IF(LEFT(Ujian!AV48,1)=SEKOR!AV$2,1,0))</f>
        <v/>
      </c>
      <c r="AW41" s="125" t="str">
        <f>IF(Ujian!AW48="","",IF(LEFT(Ujian!AW48,1)=SEKOR!AW$2,1,0))</f>
        <v/>
      </c>
      <c r="AX41" s="125" t="str">
        <f>IF(Ujian!AX48="","",IF(LEFT(Ujian!AX48,1)=SEKOR!AX$2,1,0))</f>
        <v/>
      </c>
      <c r="AY41" s="125" t="str">
        <f>IF(Ujian!AY48="","",IF(LEFT(Ujian!AY48,1)=SEKOR!AY$2,1,0))</f>
        <v/>
      </c>
      <c r="AZ41" s="125" t="str">
        <f>IF(Ujian!AZ48="","",IF(LEFT(Ujian!AZ48,1)=SEKOR!AZ$2,1,0))</f>
        <v/>
      </c>
      <c r="BA41" s="125" t="str">
        <f>IF(Ujian!BA48="","",IF(LEFT(Ujian!BA48,1)=SEKOR!BA$2,1,0))</f>
        <v/>
      </c>
      <c r="BB41" s="125" t="str">
        <f>IF(Ujian!BB48="","",IF(LEFT(Ujian!BB48,1)=SEKOR!BB$2,1,0))</f>
        <v/>
      </c>
      <c r="BC41" s="125" t="str">
        <f>IF(Ujian!BC48="","",IF(LEFT(Ujian!BC48,1)=SEKOR!BC$2,1,0))</f>
        <v/>
      </c>
      <c r="BD41" s="125" t="str">
        <f>IF(Ujian!BD48="","",IF(LEFT(Ujian!BD48,1)=SEKOR!BD$2,1,0))</f>
        <v/>
      </c>
      <c r="BE41" s="125" t="str">
        <f>IF(Ujian!BE48="","",IF(LEFT(Ujian!BE48,1)=SEKOR!BE$2,1,0))</f>
        <v/>
      </c>
      <c r="BF41" s="125" t="str">
        <f>IF(Ujian!BF48="","",IF(LEFT(Ujian!BF48,1)=SEKOR!BF$2,1,0))</f>
        <v/>
      </c>
      <c r="BG41" s="125" t="str">
        <f>IF(Ujian!BG48="","",IF(LEFT(Ujian!BG48,1)=SEKOR!BG$2,1,0))</f>
        <v/>
      </c>
      <c r="BH41" s="125" t="str">
        <f>IF(Ujian!BH48="","",IF(LEFT(Ujian!BH48,1)=SEKOR!BH$2,1,0))</f>
        <v/>
      </c>
      <c r="BI41" s="125" t="str">
        <f>IF(Ujian!BI48="","",IF(LEFT(Ujian!BI48,1)=SEKOR!BI$2,1,0))</f>
        <v/>
      </c>
      <c r="BJ41" s="125" t="str">
        <f>IF(Ujian!BJ48="","",IF(LEFT(Ujian!BJ48,1)=SEKOR!BJ$2,1,0))</f>
        <v/>
      </c>
      <c r="BK41" s="125" t="str">
        <f>IF(Ujian!BK48="","",IF(LEFT(Ujian!BK48,1)=SEKOR!BK$2,1,0))</f>
        <v/>
      </c>
      <c r="BL41" s="18">
        <f t="shared" si="0"/>
        <v>40</v>
      </c>
      <c r="BM41" s="18">
        <f>COUNTIF($D41:$BK41,"")+DATA!$F$14-DATA!$F$12</f>
        <v>20</v>
      </c>
      <c r="BN41" s="17">
        <f>IF(COUNTIF($D41:$BK41,1)&gt;DATA!$F$14,DATA!$F$14,COUNTIF($D41:$BK41,1))</f>
        <v>12</v>
      </c>
      <c r="BO41" s="17">
        <f>IF((BN41+COUNTIF($D41:$BK41,0))&lt;=DATA!$F$14,COUNTIF($D41:$BK41,0),DATA!$F$14-SEKOR!BN41)</f>
        <v>28</v>
      </c>
      <c r="BP41" s="4">
        <f>IF(BL41=0,"",BN41/DATA!$F$14*100)</f>
        <v>30</v>
      </c>
      <c r="BQ41" s="121">
        <f t="shared" si="1"/>
        <v>38.70967741935484</v>
      </c>
      <c r="BR41" s="2">
        <f>IF(Praktik!$E41=0,"",Praktik!$E41)</f>
        <v>90</v>
      </c>
      <c r="BS41" s="2">
        <f>IF(BR41="","",(BP41*DATAINFO!$O$4)+(SEKOR!BR41*DATAINFO!$O$5)/(DATAINFO!$O$4+DATAINFO!$O$5))</f>
        <v>60</v>
      </c>
      <c r="BT41" s="2">
        <f>IF(BL41=0,"",IF(DATA!$F$18="TIDAK",ROUNDUP((IF!$L$8*SEKOR!$BP41)+IF!$L$9,0),IF($BR41="","",ROUNDUP((IF!$L$20*$BS41)+IF!$L$21,0))))</f>
        <v>59</v>
      </c>
      <c r="BU41" s="47">
        <f>IF(BP41="","",IF(SEKOR!BP41&gt;=DATA!$J$12,1,0))</f>
        <v>0</v>
      </c>
      <c r="BV41" s="47">
        <f>IF(BQ41="","",IF(SEKOR!BQ41&gt;=DATA!$J$12,1,0))</f>
        <v>0</v>
      </c>
      <c r="BW41" s="47">
        <f>IF(BR41="","",IF(SEKOR!BR41&gt;=DATA!$J$12,1,0))</f>
        <v>1</v>
      </c>
      <c r="BX41" s="47">
        <f>IF(BT41="","",IF(DATA!$J$14="",IF(SEKOR!BT41&gt;=DATA!$J$12,1,0),IF(SEKOR!BT41&gt;=DATA!$J$14,1,0)))</f>
        <v>0</v>
      </c>
    </row>
    <row r="42" spans="1:76" x14ac:dyDescent="0.25">
      <c r="A42" s="20" t="s">
        <v>69</v>
      </c>
      <c r="B42" s="21" t="str">
        <f>IF(Ujian!B49="","",Ujian!B49)</f>
        <v>  234640</v>
      </c>
      <c r="C42" s="57" t="str">
        <f>IF(Ujian!C49="","",Ujian!C49)</f>
        <v>  Muflihah</v>
      </c>
      <c r="D42" s="125">
        <f>IF(Ujian!D49="","",IF(LEFT(Ujian!D49,1)=SEKOR!D$2,1,0))</f>
        <v>0</v>
      </c>
      <c r="E42" s="125">
        <f>IF(Ujian!E49="","",IF(LEFT(Ujian!E49,1)=SEKOR!E$2,1,0))</f>
        <v>1</v>
      </c>
      <c r="F42" s="125">
        <f>IF(Ujian!F49="","",IF(LEFT(Ujian!F49,1)=SEKOR!F$2,1,0))</f>
        <v>0</v>
      </c>
      <c r="G42" s="125">
        <f>IF(Ujian!G49="","",IF(LEFT(Ujian!G49,1)=SEKOR!G$2,1,0))</f>
        <v>1</v>
      </c>
      <c r="H42" s="125">
        <f>IF(Ujian!H49="","",IF(LEFT(Ujian!H49,1)=SEKOR!H$2,1,0))</f>
        <v>0</v>
      </c>
      <c r="I42" s="125">
        <f>IF(Ujian!I49="","",IF(LEFT(Ujian!I49,1)=SEKOR!I$2,1,0))</f>
        <v>1</v>
      </c>
      <c r="J42" s="125">
        <f>IF(Ujian!J49="","",IF(LEFT(Ujian!J49,1)=SEKOR!J$2,1,0))</f>
        <v>1</v>
      </c>
      <c r="K42" s="125">
        <f>IF(Ujian!K49="","",IF(LEFT(Ujian!K49,1)=SEKOR!K$2,1,0))</f>
        <v>1</v>
      </c>
      <c r="L42" s="125">
        <f>IF(Ujian!L49="","",IF(LEFT(Ujian!L49,1)=SEKOR!L$2,1,0))</f>
        <v>0</v>
      </c>
      <c r="M42" s="125">
        <f>IF(Ujian!M49="","",IF(LEFT(Ujian!M49,1)=SEKOR!M$2,1,0))</f>
        <v>0</v>
      </c>
      <c r="N42" s="125">
        <f>IF(Ujian!N49="","",IF(LEFT(Ujian!N49,1)=SEKOR!N$2,1,0))</f>
        <v>0</v>
      </c>
      <c r="O42" s="125">
        <f>IF(Ujian!O49="","",IF(LEFT(Ujian!O49,1)=SEKOR!O$2,1,0))</f>
        <v>0</v>
      </c>
      <c r="P42" s="125">
        <f>IF(Ujian!P49="","",IF(LEFT(Ujian!P49,1)=SEKOR!P$2,1,0))</f>
        <v>1</v>
      </c>
      <c r="Q42" s="125">
        <f>IF(Ujian!Q49="","",IF(LEFT(Ujian!Q49,1)=SEKOR!Q$2,1,0))</f>
        <v>0</v>
      </c>
      <c r="R42" s="125">
        <f>IF(Ujian!R49="","",IF(LEFT(Ujian!R49,1)=SEKOR!R$2,1,0))</f>
        <v>0</v>
      </c>
      <c r="S42" s="125">
        <f>IF(Ujian!S49="","",IF(LEFT(Ujian!S49,1)=SEKOR!S$2,1,0))</f>
        <v>0</v>
      </c>
      <c r="T42" s="125" t="str">
        <f>IF(Ujian!T49="","",IF(LEFT(Ujian!T49,1)=SEKOR!T$2,1,0))</f>
        <v/>
      </c>
      <c r="U42" s="125">
        <f>IF(Ujian!U49="","",IF(LEFT(Ujian!U49,1)=SEKOR!U$2,1,0))</f>
        <v>1</v>
      </c>
      <c r="V42" s="125">
        <f>IF(Ujian!V49="","",IF(LEFT(Ujian!V49,1)=SEKOR!V$2,1,0))</f>
        <v>1</v>
      </c>
      <c r="W42" s="125" t="str">
        <f>IF(Ujian!W49="","",IF(LEFT(Ujian!W49,1)=SEKOR!W$2,1,0))</f>
        <v/>
      </c>
      <c r="X42" s="125">
        <f>IF(Ujian!X49="","",IF(LEFT(Ujian!X49,1)=SEKOR!X$2,1,0))</f>
        <v>0</v>
      </c>
      <c r="Y42" s="125">
        <f>IF(Ujian!Y49="","",IF(LEFT(Ujian!Y49,1)=SEKOR!Y$2,1,0))</f>
        <v>0</v>
      </c>
      <c r="Z42" s="125">
        <f>IF(Ujian!Z49="","",IF(LEFT(Ujian!Z49,1)=SEKOR!Z$2,1,0))</f>
        <v>0</v>
      </c>
      <c r="AA42" s="125">
        <f>IF(Ujian!AA49="","",IF(LEFT(Ujian!AA49,1)=SEKOR!AA$2,1,0))</f>
        <v>1</v>
      </c>
      <c r="AB42" s="125">
        <f>IF(Ujian!AB49="","",IF(LEFT(Ujian!AB49,1)=SEKOR!AB$2,1,0))</f>
        <v>0</v>
      </c>
      <c r="AC42" s="125" t="str">
        <f>IF(Ujian!AC49="","",IF(LEFT(Ujian!AC49,1)=SEKOR!AC$2,1,0))</f>
        <v/>
      </c>
      <c r="AD42" s="125">
        <f>IF(Ujian!AD49="","",IF(LEFT(Ujian!AD49,1)=SEKOR!AD$2,1,0))</f>
        <v>0</v>
      </c>
      <c r="AE42" s="125">
        <f>IF(Ujian!AE49="","",IF(LEFT(Ujian!AE49,1)=SEKOR!AE$2,1,0))</f>
        <v>0</v>
      </c>
      <c r="AF42" s="125">
        <f>IF(Ujian!AF49="","",IF(LEFT(Ujian!AF49,1)=SEKOR!AF$2,1,0))</f>
        <v>0</v>
      </c>
      <c r="AG42" s="125">
        <f>IF(Ujian!AG49="","",IF(LEFT(Ujian!AG49,1)=SEKOR!AG$2,1,0))</f>
        <v>0</v>
      </c>
      <c r="AH42" s="125">
        <f>IF(Ujian!AH49="","",IF(LEFT(Ujian!AH49,1)=SEKOR!AH$2,1,0))</f>
        <v>0</v>
      </c>
      <c r="AI42" s="125" t="str">
        <f>IF(Ujian!AI49="","",IF(LEFT(Ujian!AI49,1)=SEKOR!AI$2,1,0))</f>
        <v/>
      </c>
      <c r="AJ42" s="125">
        <f>IF(Ujian!AJ49="","",IF(LEFT(Ujian!AJ49,1)=SEKOR!AJ$2,1,0))</f>
        <v>1</v>
      </c>
      <c r="AK42" s="125">
        <f>IF(Ujian!AK49="","",IF(LEFT(Ujian!AK49,1)=SEKOR!AK$2,1,0))</f>
        <v>0</v>
      </c>
      <c r="AL42" s="125">
        <f>IF(Ujian!AL49="","",IF(LEFT(Ujian!AL49,1)=SEKOR!AL$2,1,0))</f>
        <v>1</v>
      </c>
      <c r="AM42" s="125">
        <f>IF(Ujian!AM49="","",IF(LEFT(Ujian!AM49,1)=SEKOR!AM$2,1,0))</f>
        <v>0</v>
      </c>
      <c r="AN42" s="125">
        <f>IF(Ujian!AN49="","",IF(LEFT(Ujian!AN49,1)=SEKOR!AN$2,1,0))</f>
        <v>1</v>
      </c>
      <c r="AO42" s="125">
        <f>IF(Ujian!AO49="","",IF(LEFT(Ujian!AO49,1)=SEKOR!AO$2,1,0))</f>
        <v>0</v>
      </c>
      <c r="AP42" s="125">
        <f>IF(Ujian!AP49="","",IF(LEFT(Ujian!AP49,1)=SEKOR!AP$2,1,0))</f>
        <v>0</v>
      </c>
      <c r="AQ42" s="125">
        <f>IF(Ujian!AQ49="","",IF(LEFT(Ujian!AQ49,1)=SEKOR!AQ$2,1,0))</f>
        <v>0</v>
      </c>
      <c r="AR42" s="125">
        <f>IF(Ujian!AR49="","",IF(LEFT(Ujian!AR49,1)=SEKOR!AR$2,1,0))</f>
        <v>1</v>
      </c>
      <c r="AS42" s="125">
        <f>IF(Ujian!AS49="","",IF(LEFT(Ujian!AS49,1)=SEKOR!AS$2,1,0))</f>
        <v>1</v>
      </c>
      <c r="AT42" s="125" t="str">
        <f>IF(Ujian!AT49="","",IF(LEFT(Ujian!AT49,1)=SEKOR!AT$2,1,0))</f>
        <v/>
      </c>
      <c r="AU42" s="125">
        <f>IF(Ujian!AU49="","",IF(LEFT(Ujian!AU49,1)=SEKOR!AU$2,1,0))</f>
        <v>1</v>
      </c>
      <c r="AV42" s="125">
        <f>IF(Ujian!AV49="","",IF(LEFT(Ujian!AV49,1)=SEKOR!AV$2,1,0))</f>
        <v>0</v>
      </c>
      <c r="AW42" s="125" t="str">
        <f>IF(Ujian!AW49="","",IF(LEFT(Ujian!AW49,1)=SEKOR!AW$2,1,0))</f>
        <v/>
      </c>
      <c r="AX42" s="125" t="str">
        <f>IF(Ujian!AX49="","",IF(LEFT(Ujian!AX49,1)=SEKOR!AX$2,1,0))</f>
        <v/>
      </c>
      <c r="AY42" s="125" t="str">
        <f>IF(Ujian!AY49="","",IF(LEFT(Ujian!AY49,1)=SEKOR!AY$2,1,0))</f>
        <v/>
      </c>
      <c r="AZ42" s="125" t="str">
        <f>IF(Ujian!AZ49="","",IF(LEFT(Ujian!AZ49,1)=SEKOR!AZ$2,1,0))</f>
        <v/>
      </c>
      <c r="BA42" s="125" t="str">
        <f>IF(Ujian!BA49="","",IF(LEFT(Ujian!BA49,1)=SEKOR!BA$2,1,0))</f>
        <v/>
      </c>
      <c r="BB42" s="125" t="str">
        <f>IF(Ujian!BB49="","",IF(LEFT(Ujian!BB49,1)=SEKOR!BB$2,1,0))</f>
        <v/>
      </c>
      <c r="BC42" s="125" t="str">
        <f>IF(Ujian!BC49="","",IF(LEFT(Ujian!BC49,1)=SEKOR!BC$2,1,0))</f>
        <v/>
      </c>
      <c r="BD42" s="125" t="str">
        <f>IF(Ujian!BD49="","",IF(LEFT(Ujian!BD49,1)=SEKOR!BD$2,1,0))</f>
        <v/>
      </c>
      <c r="BE42" s="125" t="str">
        <f>IF(Ujian!BE49="","",IF(LEFT(Ujian!BE49,1)=SEKOR!BE$2,1,0))</f>
        <v/>
      </c>
      <c r="BF42" s="125" t="str">
        <f>IF(Ujian!BF49="","",IF(LEFT(Ujian!BF49,1)=SEKOR!BF$2,1,0))</f>
        <v/>
      </c>
      <c r="BG42" s="125" t="str">
        <f>IF(Ujian!BG49="","",IF(LEFT(Ujian!BG49,1)=SEKOR!BG$2,1,0))</f>
        <v/>
      </c>
      <c r="BH42" s="125" t="str">
        <f>IF(Ujian!BH49="","",IF(LEFT(Ujian!BH49,1)=SEKOR!BH$2,1,0))</f>
        <v/>
      </c>
      <c r="BI42" s="125" t="str">
        <f>IF(Ujian!BI49="","",IF(LEFT(Ujian!BI49,1)=SEKOR!BI$2,1,0))</f>
        <v/>
      </c>
      <c r="BJ42" s="125" t="str">
        <f>IF(Ujian!BJ49="","",IF(LEFT(Ujian!BJ49,1)=SEKOR!BJ$2,1,0))</f>
        <v/>
      </c>
      <c r="BK42" s="125" t="str">
        <f>IF(Ujian!BK49="","",IF(LEFT(Ujian!BK49,1)=SEKOR!BK$2,1,0))</f>
        <v/>
      </c>
      <c r="BL42" s="18">
        <f t="shared" si="0"/>
        <v>40</v>
      </c>
      <c r="BM42" s="18">
        <f>COUNTIF($D42:$BK42,"")+DATA!$F$14-DATA!$F$12</f>
        <v>20</v>
      </c>
      <c r="BN42" s="17">
        <f>IF(COUNTIF($D42:$BK42,1)&gt;DATA!$F$14,DATA!$F$14,COUNTIF($D42:$BK42,1))</f>
        <v>15</v>
      </c>
      <c r="BO42" s="17">
        <f>IF((BN42+COUNTIF($D42:$BK42,0))&lt;=DATA!$F$14,COUNTIF($D42:$BK42,0),DATA!$F$14-SEKOR!BN42)</f>
        <v>25</v>
      </c>
      <c r="BP42" s="4">
        <f>IF(BL42=0,"",BN42/DATA!$F$14*100)</f>
        <v>37.5</v>
      </c>
      <c r="BQ42" s="121">
        <f t="shared" si="1"/>
        <v>48.387096774193552</v>
      </c>
      <c r="BR42" s="2">
        <f>IF(Praktik!$E42=0,"",Praktik!$E42)</f>
        <v>90</v>
      </c>
      <c r="BS42" s="2">
        <f>IF(BR42="","",(BP42*DATAINFO!$O$4)+(SEKOR!BR42*DATAINFO!$O$5)/(DATAINFO!$O$4+DATAINFO!$O$5))</f>
        <v>67.5</v>
      </c>
      <c r="BT42" s="2">
        <f>IF(BL42=0,"",IF(DATA!$F$18="TIDAK",ROUNDUP((IF!$L$8*SEKOR!$BP42)+IF!$L$9,0),IF($BR42="","",ROUNDUP((IF!$L$20*$BS42)+IF!$L$21,0))))</f>
        <v>64</v>
      </c>
      <c r="BU42" s="47">
        <f>IF(BP42="","",IF(SEKOR!BP42&gt;=DATA!$J$12,1,0))</f>
        <v>0</v>
      </c>
      <c r="BV42" s="47">
        <f>IF(BQ42="","",IF(SEKOR!BQ42&gt;=DATA!$J$12,1,0))</f>
        <v>0</v>
      </c>
      <c r="BW42" s="47">
        <f>IF(BR42="","",IF(SEKOR!BR42&gt;=DATA!$J$12,1,0))</f>
        <v>1</v>
      </c>
      <c r="BX42" s="47">
        <f>IF(BT42="","",IF(DATA!$J$14="",IF(SEKOR!BT42&gt;=DATA!$J$12,1,0),IF(SEKOR!BT42&gt;=DATA!$J$14,1,0)))</f>
        <v>1</v>
      </c>
    </row>
    <row r="43" spans="1:76" x14ac:dyDescent="0.25">
      <c r="A43" s="20" t="s">
        <v>70</v>
      </c>
      <c r="B43" s="21" t="str">
        <f>IF(Ujian!B50="","",Ujian!B50)</f>
        <v>  234655</v>
      </c>
      <c r="C43" s="57" t="str">
        <f>IF(Ujian!C50="","",Ujian!C50)</f>
        <v>  Muhammad Hafiz</v>
      </c>
      <c r="D43" s="125">
        <f>IF(Ujian!D50="","",IF(LEFT(Ujian!D50,1)=SEKOR!D$2,1,0))</f>
        <v>1</v>
      </c>
      <c r="E43" s="125" t="str">
        <f>IF(Ujian!E50="","",IF(LEFT(Ujian!E50,1)=SEKOR!E$2,1,0))</f>
        <v/>
      </c>
      <c r="F43" s="125">
        <f>IF(Ujian!F50="","",IF(LEFT(Ujian!F50,1)=SEKOR!F$2,1,0))</f>
        <v>1</v>
      </c>
      <c r="G43" s="125">
        <f>IF(Ujian!G50="","",IF(LEFT(Ujian!G50,1)=SEKOR!G$2,1,0))</f>
        <v>0</v>
      </c>
      <c r="H43" s="125">
        <f>IF(Ujian!H50="","",IF(LEFT(Ujian!H50,1)=SEKOR!H$2,1,0))</f>
        <v>0</v>
      </c>
      <c r="I43" s="125">
        <f>IF(Ujian!I50="","",IF(LEFT(Ujian!I50,1)=SEKOR!I$2,1,0))</f>
        <v>0</v>
      </c>
      <c r="J43" s="125">
        <f>IF(Ujian!J50="","",IF(LEFT(Ujian!J50,1)=SEKOR!J$2,1,0))</f>
        <v>1</v>
      </c>
      <c r="K43" s="125">
        <f>IF(Ujian!K50="","",IF(LEFT(Ujian!K50,1)=SEKOR!K$2,1,0))</f>
        <v>1</v>
      </c>
      <c r="L43" s="125">
        <f>IF(Ujian!L50="","",IF(LEFT(Ujian!L50,1)=SEKOR!L$2,1,0))</f>
        <v>0</v>
      </c>
      <c r="M43" s="125">
        <f>IF(Ujian!M50="","",IF(LEFT(Ujian!M50,1)=SEKOR!M$2,1,0))</f>
        <v>0</v>
      </c>
      <c r="N43" s="125">
        <f>IF(Ujian!N50="","",IF(LEFT(Ujian!N50,1)=SEKOR!N$2,1,0))</f>
        <v>0</v>
      </c>
      <c r="O43" s="125">
        <f>IF(Ujian!O50="","",IF(LEFT(Ujian!O50,1)=SEKOR!O$2,1,0))</f>
        <v>1</v>
      </c>
      <c r="P43" s="125">
        <f>IF(Ujian!P50="","",IF(LEFT(Ujian!P50,1)=SEKOR!P$2,1,0))</f>
        <v>0</v>
      </c>
      <c r="Q43" s="125">
        <f>IF(Ujian!Q50="","",IF(LEFT(Ujian!Q50,1)=SEKOR!Q$2,1,0))</f>
        <v>1</v>
      </c>
      <c r="R43" s="125">
        <f>IF(Ujian!R50="","",IF(LEFT(Ujian!R50,1)=SEKOR!R$2,1,0))</f>
        <v>0</v>
      </c>
      <c r="S43" s="125">
        <f>IF(Ujian!S50="","",IF(LEFT(Ujian!S50,1)=SEKOR!S$2,1,0))</f>
        <v>1</v>
      </c>
      <c r="T43" s="125">
        <f>IF(Ujian!T50="","",IF(LEFT(Ujian!T50,1)=SEKOR!T$2,1,0))</f>
        <v>1</v>
      </c>
      <c r="U43" s="125">
        <f>IF(Ujian!U50="","",IF(LEFT(Ujian!U50,1)=SEKOR!U$2,1,0))</f>
        <v>1</v>
      </c>
      <c r="V43" s="125">
        <f>IF(Ujian!V50="","",IF(LEFT(Ujian!V50,1)=SEKOR!V$2,1,0))</f>
        <v>0</v>
      </c>
      <c r="W43" s="125">
        <f>IF(Ujian!W50="","",IF(LEFT(Ujian!W50,1)=SEKOR!W$2,1,0))</f>
        <v>0</v>
      </c>
      <c r="X43" s="125">
        <f>IF(Ujian!X50="","",IF(LEFT(Ujian!X50,1)=SEKOR!X$2,1,0))</f>
        <v>1</v>
      </c>
      <c r="Y43" s="125">
        <f>IF(Ujian!Y50="","",IF(LEFT(Ujian!Y50,1)=SEKOR!Y$2,1,0))</f>
        <v>0</v>
      </c>
      <c r="Z43" s="125" t="str">
        <f>IF(Ujian!Z50="","",IF(LEFT(Ujian!Z50,1)=SEKOR!Z$2,1,0))</f>
        <v/>
      </c>
      <c r="AA43" s="125">
        <f>IF(Ujian!AA50="","",IF(LEFT(Ujian!AA50,1)=SEKOR!AA$2,1,0))</f>
        <v>1</v>
      </c>
      <c r="AB43" s="125">
        <f>IF(Ujian!AB50="","",IF(LEFT(Ujian!AB50,1)=SEKOR!AB$2,1,0))</f>
        <v>0</v>
      </c>
      <c r="AC43" s="125">
        <f>IF(Ujian!AC50="","",IF(LEFT(Ujian!AC50,1)=SEKOR!AC$2,1,0))</f>
        <v>1</v>
      </c>
      <c r="AD43" s="125">
        <f>IF(Ujian!AD50="","",IF(LEFT(Ujian!AD50,1)=SEKOR!AD$2,1,0))</f>
        <v>0</v>
      </c>
      <c r="AE43" s="125">
        <f>IF(Ujian!AE50="","",IF(LEFT(Ujian!AE50,1)=SEKOR!AE$2,1,0))</f>
        <v>0</v>
      </c>
      <c r="AF43" s="125">
        <f>IF(Ujian!AF50="","",IF(LEFT(Ujian!AF50,1)=SEKOR!AF$2,1,0))</f>
        <v>0</v>
      </c>
      <c r="AG43" s="125">
        <f>IF(Ujian!AG50="","",IF(LEFT(Ujian!AG50,1)=SEKOR!AG$2,1,0))</f>
        <v>1</v>
      </c>
      <c r="AH43" s="125">
        <f>IF(Ujian!AH50="","",IF(LEFT(Ujian!AH50,1)=SEKOR!AH$2,1,0))</f>
        <v>0</v>
      </c>
      <c r="AI43" s="125">
        <f>IF(Ujian!AI50="","",IF(LEFT(Ujian!AI50,1)=SEKOR!AI$2,1,0))</f>
        <v>1</v>
      </c>
      <c r="AJ43" s="125">
        <f>IF(Ujian!AJ50="","",IF(LEFT(Ujian!AJ50,1)=SEKOR!AJ$2,1,0))</f>
        <v>1</v>
      </c>
      <c r="AK43" s="125">
        <f>IF(Ujian!AK50="","",IF(LEFT(Ujian!AK50,1)=SEKOR!AK$2,1,0))</f>
        <v>0</v>
      </c>
      <c r="AL43" s="125" t="str">
        <f>IF(Ujian!AL50="","",IF(LEFT(Ujian!AL50,1)=SEKOR!AL$2,1,0))</f>
        <v/>
      </c>
      <c r="AM43" s="125" t="str">
        <f>IF(Ujian!AM50="","",IF(LEFT(Ujian!AM50,1)=SEKOR!AM$2,1,0))</f>
        <v/>
      </c>
      <c r="AN43" s="125">
        <f>IF(Ujian!AN50="","",IF(LEFT(Ujian!AN50,1)=SEKOR!AN$2,1,0))</f>
        <v>1</v>
      </c>
      <c r="AO43" s="125">
        <f>IF(Ujian!AO50="","",IF(LEFT(Ujian!AO50,1)=SEKOR!AO$2,1,0))</f>
        <v>0</v>
      </c>
      <c r="AP43" s="125">
        <f>IF(Ujian!AP50="","",IF(LEFT(Ujian!AP50,1)=SEKOR!AP$2,1,0))</f>
        <v>1</v>
      </c>
      <c r="AQ43" s="125">
        <f>IF(Ujian!AQ50="","",IF(LEFT(Ujian!AQ50,1)=SEKOR!AQ$2,1,0))</f>
        <v>1</v>
      </c>
      <c r="AR43" s="125">
        <f>IF(Ujian!AR50="","",IF(LEFT(Ujian!AR50,1)=SEKOR!AR$2,1,0))</f>
        <v>1</v>
      </c>
      <c r="AS43" s="125">
        <f>IF(Ujian!AS50="","",IF(LEFT(Ujian!AS50,1)=SEKOR!AS$2,1,0))</f>
        <v>1</v>
      </c>
      <c r="AT43" s="125">
        <f>IF(Ujian!AT50="","",IF(LEFT(Ujian!AT50,1)=SEKOR!AT$2,1,0))</f>
        <v>0</v>
      </c>
      <c r="AU43" s="125">
        <f>IF(Ujian!AU50="","",IF(LEFT(Ujian!AU50,1)=SEKOR!AU$2,1,0))</f>
        <v>1</v>
      </c>
      <c r="AV43" s="125" t="str">
        <f>IF(Ujian!AV50="","",IF(LEFT(Ujian!AV50,1)=SEKOR!AV$2,1,0))</f>
        <v/>
      </c>
      <c r="AW43" s="125" t="str">
        <f>IF(Ujian!AW50="","",IF(LEFT(Ujian!AW50,1)=SEKOR!AW$2,1,0))</f>
        <v/>
      </c>
      <c r="AX43" s="125" t="str">
        <f>IF(Ujian!AX50="","",IF(LEFT(Ujian!AX50,1)=SEKOR!AX$2,1,0))</f>
        <v/>
      </c>
      <c r="AY43" s="125" t="str">
        <f>IF(Ujian!AY50="","",IF(LEFT(Ujian!AY50,1)=SEKOR!AY$2,1,0))</f>
        <v/>
      </c>
      <c r="AZ43" s="125" t="str">
        <f>IF(Ujian!AZ50="","",IF(LEFT(Ujian!AZ50,1)=SEKOR!AZ$2,1,0))</f>
        <v/>
      </c>
      <c r="BA43" s="125" t="str">
        <f>IF(Ujian!BA50="","",IF(LEFT(Ujian!BA50,1)=SEKOR!BA$2,1,0))</f>
        <v/>
      </c>
      <c r="BB43" s="125" t="str">
        <f>IF(Ujian!BB50="","",IF(LEFT(Ujian!BB50,1)=SEKOR!BB$2,1,0))</f>
        <v/>
      </c>
      <c r="BC43" s="125" t="str">
        <f>IF(Ujian!BC50="","",IF(LEFT(Ujian!BC50,1)=SEKOR!BC$2,1,0))</f>
        <v/>
      </c>
      <c r="BD43" s="125" t="str">
        <f>IF(Ujian!BD50="","",IF(LEFT(Ujian!BD50,1)=SEKOR!BD$2,1,0))</f>
        <v/>
      </c>
      <c r="BE43" s="125" t="str">
        <f>IF(Ujian!BE50="","",IF(LEFT(Ujian!BE50,1)=SEKOR!BE$2,1,0))</f>
        <v/>
      </c>
      <c r="BF43" s="125" t="str">
        <f>IF(Ujian!BF50="","",IF(LEFT(Ujian!BF50,1)=SEKOR!BF$2,1,0))</f>
        <v/>
      </c>
      <c r="BG43" s="125" t="str">
        <f>IF(Ujian!BG50="","",IF(LEFT(Ujian!BG50,1)=SEKOR!BG$2,1,0))</f>
        <v/>
      </c>
      <c r="BH43" s="125" t="str">
        <f>IF(Ujian!BH50="","",IF(LEFT(Ujian!BH50,1)=SEKOR!BH$2,1,0))</f>
        <v/>
      </c>
      <c r="BI43" s="125" t="str">
        <f>IF(Ujian!BI50="","",IF(LEFT(Ujian!BI50,1)=SEKOR!BI$2,1,0))</f>
        <v/>
      </c>
      <c r="BJ43" s="125" t="str">
        <f>IF(Ujian!BJ50="","",IF(LEFT(Ujian!BJ50,1)=SEKOR!BJ$2,1,0))</f>
        <v/>
      </c>
      <c r="BK43" s="125" t="str">
        <f>IF(Ujian!BK50="","",IF(LEFT(Ujian!BK50,1)=SEKOR!BK$2,1,0))</f>
        <v/>
      </c>
      <c r="BL43" s="18">
        <f t="shared" si="0"/>
        <v>40</v>
      </c>
      <c r="BM43" s="18">
        <f>COUNTIF($D43:$BK43,"")+DATA!$F$14-DATA!$F$12</f>
        <v>20</v>
      </c>
      <c r="BN43" s="17">
        <f>IF(COUNTIF($D43:$BK43,1)&gt;DATA!$F$14,DATA!$F$14,COUNTIF($D43:$BK43,1))</f>
        <v>21</v>
      </c>
      <c r="BO43" s="17">
        <f>IF((BN43+COUNTIF($D43:$BK43,0))&lt;=DATA!$F$14,COUNTIF($D43:$BK43,0),DATA!$F$14-SEKOR!BN43)</f>
        <v>19</v>
      </c>
      <c r="BP43" s="4">
        <f>IF(BL43=0,"",BN43/DATA!$F$14*100)</f>
        <v>52.5</v>
      </c>
      <c r="BQ43" s="121">
        <f t="shared" si="1"/>
        <v>67.741935483870961</v>
      </c>
      <c r="BR43" s="2">
        <f>IF(Praktik!$E43=0,"",Praktik!$E43)</f>
        <v>90</v>
      </c>
      <c r="BS43" s="2">
        <f>IF(BR43="","",(BP43*DATAINFO!$O$4)+(SEKOR!BR43*DATAINFO!$O$5)/(DATAINFO!$O$4+DATAINFO!$O$5))</f>
        <v>82.5</v>
      </c>
      <c r="BT43" s="2">
        <f>IF(BL43=0,"",IF(DATA!$F$18="TIDAK",ROUNDUP((IF!$L$8*SEKOR!$BP43)+IF!$L$9,0),IF($BR43="","",ROUNDUP((IF!$L$20*$BS43)+IF!$L$21,0))))</f>
        <v>74</v>
      </c>
      <c r="BU43" s="47">
        <f>IF(BP43="","",IF(SEKOR!BP43&gt;=DATA!$J$12,1,0))</f>
        <v>0</v>
      </c>
      <c r="BV43" s="47">
        <f>IF(BQ43="","",IF(SEKOR!BQ43&gt;=DATA!$J$12,1,0))</f>
        <v>0</v>
      </c>
      <c r="BW43" s="47">
        <f>IF(BR43="","",IF(SEKOR!BR43&gt;=DATA!$J$12,1,0))</f>
        <v>1</v>
      </c>
      <c r="BX43" s="47">
        <f>IF(BT43="","",IF(DATA!$J$14="",IF(SEKOR!BT43&gt;=DATA!$J$12,1,0),IF(SEKOR!BT43&gt;=DATA!$J$14,1,0)))</f>
        <v>1</v>
      </c>
    </row>
    <row r="44" spans="1:76" x14ac:dyDescent="0.25">
      <c r="A44" s="20" t="s">
        <v>71</v>
      </c>
      <c r="B44" s="21" t="str">
        <f>IF(Ujian!B51="","",Ujian!B51)</f>
        <v>  234657</v>
      </c>
      <c r="C44" s="57" t="str">
        <f>IF(Ujian!C51="","",Ujian!C51)</f>
        <v>  Muhammad Hariadi Hana</v>
      </c>
      <c r="D44" s="125">
        <f>IF(Ujian!D51="","",IF(LEFT(Ujian!D51,1)=SEKOR!D$2,1,0))</f>
        <v>1</v>
      </c>
      <c r="E44" s="125" t="str">
        <f>IF(Ujian!E51="","",IF(LEFT(Ujian!E51,1)=SEKOR!E$2,1,0))</f>
        <v/>
      </c>
      <c r="F44" s="125" t="str">
        <f>IF(Ujian!F51="","",IF(LEFT(Ujian!F51,1)=SEKOR!F$2,1,0))</f>
        <v/>
      </c>
      <c r="G44" s="125">
        <f>IF(Ujian!G51="","",IF(LEFT(Ujian!G51,1)=SEKOR!G$2,1,0))</f>
        <v>1</v>
      </c>
      <c r="H44" s="125">
        <f>IF(Ujian!H51="","",IF(LEFT(Ujian!H51,1)=SEKOR!H$2,1,0))</f>
        <v>0</v>
      </c>
      <c r="I44" s="125">
        <f>IF(Ujian!I51="","",IF(LEFT(Ujian!I51,1)=SEKOR!I$2,1,0))</f>
        <v>1</v>
      </c>
      <c r="J44" s="125">
        <f>IF(Ujian!J51="","",IF(LEFT(Ujian!J51,1)=SEKOR!J$2,1,0))</f>
        <v>1</v>
      </c>
      <c r="K44" s="125">
        <f>IF(Ujian!K51="","",IF(LEFT(Ujian!K51,1)=SEKOR!K$2,1,0))</f>
        <v>0</v>
      </c>
      <c r="L44" s="125">
        <f>IF(Ujian!L51="","",IF(LEFT(Ujian!L51,1)=SEKOR!L$2,1,0))</f>
        <v>0</v>
      </c>
      <c r="M44" s="125">
        <f>IF(Ujian!M51="","",IF(LEFT(Ujian!M51,1)=SEKOR!M$2,1,0))</f>
        <v>1</v>
      </c>
      <c r="N44" s="125">
        <f>IF(Ujian!N51="","",IF(LEFT(Ujian!N51,1)=SEKOR!N$2,1,0))</f>
        <v>0</v>
      </c>
      <c r="O44" s="125">
        <f>IF(Ujian!O51="","",IF(LEFT(Ujian!O51,1)=SEKOR!O$2,1,0))</f>
        <v>1</v>
      </c>
      <c r="P44" s="125">
        <f>IF(Ujian!P51="","",IF(LEFT(Ujian!P51,1)=SEKOR!P$2,1,0))</f>
        <v>0</v>
      </c>
      <c r="Q44" s="125">
        <f>IF(Ujian!Q51="","",IF(LEFT(Ujian!Q51,1)=SEKOR!Q$2,1,0))</f>
        <v>1</v>
      </c>
      <c r="R44" s="125">
        <f>IF(Ujian!R51="","",IF(LEFT(Ujian!R51,1)=SEKOR!R$2,1,0))</f>
        <v>0</v>
      </c>
      <c r="S44" s="125">
        <f>IF(Ujian!S51="","",IF(LEFT(Ujian!S51,1)=SEKOR!S$2,1,0))</f>
        <v>1</v>
      </c>
      <c r="T44" s="125">
        <f>IF(Ujian!T51="","",IF(LEFT(Ujian!T51,1)=SEKOR!T$2,1,0))</f>
        <v>1</v>
      </c>
      <c r="U44" s="125">
        <f>IF(Ujian!U51="","",IF(LEFT(Ujian!U51,1)=SEKOR!U$2,1,0))</f>
        <v>1</v>
      </c>
      <c r="V44" s="125">
        <f>IF(Ujian!V51="","",IF(LEFT(Ujian!V51,1)=SEKOR!V$2,1,0))</f>
        <v>1</v>
      </c>
      <c r="W44" s="125">
        <f>IF(Ujian!W51="","",IF(LEFT(Ujian!W51,1)=SEKOR!W$2,1,0))</f>
        <v>1</v>
      </c>
      <c r="X44" s="125">
        <f>IF(Ujian!X51="","",IF(LEFT(Ujian!X51,1)=SEKOR!X$2,1,0))</f>
        <v>0</v>
      </c>
      <c r="Y44" s="125">
        <f>IF(Ujian!Y51="","",IF(LEFT(Ujian!Y51,1)=SEKOR!Y$2,1,0))</f>
        <v>1</v>
      </c>
      <c r="Z44" s="125">
        <f>IF(Ujian!Z51="","",IF(LEFT(Ujian!Z51,1)=SEKOR!Z$2,1,0))</f>
        <v>0</v>
      </c>
      <c r="AA44" s="125">
        <f>IF(Ujian!AA51="","",IF(LEFT(Ujian!AA51,1)=SEKOR!AA$2,1,0))</f>
        <v>1</v>
      </c>
      <c r="AB44" s="125">
        <f>IF(Ujian!AB51="","",IF(LEFT(Ujian!AB51,1)=SEKOR!AB$2,1,0))</f>
        <v>1</v>
      </c>
      <c r="AC44" s="125">
        <f>IF(Ujian!AC51="","",IF(LEFT(Ujian!AC51,1)=SEKOR!AC$2,1,0))</f>
        <v>1</v>
      </c>
      <c r="AD44" s="125">
        <f>IF(Ujian!AD51="","",IF(LEFT(Ujian!AD51,1)=SEKOR!AD$2,1,0))</f>
        <v>1</v>
      </c>
      <c r="AE44" s="125">
        <f>IF(Ujian!AE51="","",IF(LEFT(Ujian!AE51,1)=SEKOR!AE$2,1,0))</f>
        <v>0</v>
      </c>
      <c r="AF44" s="125">
        <f>IF(Ujian!AF51="","",IF(LEFT(Ujian!AF51,1)=SEKOR!AF$2,1,0))</f>
        <v>1</v>
      </c>
      <c r="AG44" s="125" t="str">
        <f>IF(Ujian!AG51="","",IF(LEFT(Ujian!AG51,1)=SEKOR!AG$2,1,0))</f>
        <v/>
      </c>
      <c r="AH44" s="125" t="str">
        <f>IF(Ujian!AH51="","",IF(LEFT(Ujian!AH51,1)=SEKOR!AH$2,1,0))</f>
        <v/>
      </c>
      <c r="AI44" s="125">
        <f>IF(Ujian!AI51="","",IF(LEFT(Ujian!AI51,1)=SEKOR!AI$2,1,0))</f>
        <v>1</v>
      </c>
      <c r="AJ44" s="125">
        <f>IF(Ujian!AJ51="","",IF(LEFT(Ujian!AJ51,1)=SEKOR!AJ$2,1,0))</f>
        <v>1</v>
      </c>
      <c r="AK44" s="125">
        <f>IF(Ujian!AK51="","",IF(LEFT(Ujian!AK51,1)=SEKOR!AK$2,1,0))</f>
        <v>1</v>
      </c>
      <c r="AL44" s="125">
        <f>IF(Ujian!AL51="","",IF(LEFT(Ujian!AL51,1)=SEKOR!AL$2,1,0))</f>
        <v>1</v>
      </c>
      <c r="AM44" s="125">
        <f>IF(Ujian!AM51="","",IF(LEFT(Ujian!AM51,1)=SEKOR!AM$2,1,0))</f>
        <v>0</v>
      </c>
      <c r="AN44" s="125">
        <f>IF(Ujian!AN51="","",IF(LEFT(Ujian!AN51,1)=SEKOR!AN$2,1,0))</f>
        <v>1</v>
      </c>
      <c r="AO44" s="125" t="str">
        <f>IF(Ujian!AO51="","",IF(LEFT(Ujian!AO51,1)=SEKOR!AO$2,1,0))</f>
        <v/>
      </c>
      <c r="AP44" s="125">
        <f>IF(Ujian!AP51="","",IF(LEFT(Ujian!AP51,1)=SEKOR!AP$2,1,0))</f>
        <v>1</v>
      </c>
      <c r="AQ44" s="125">
        <f>IF(Ujian!AQ51="","",IF(LEFT(Ujian!AQ51,1)=SEKOR!AQ$2,1,0))</f>
        <v>1</v>
      </c>
      <c r="AR44" s="125">
        <f>IF(Ujian!AR51="","",IF(LEFT(Ujian!AR51,1)=SEKOR!AR$2,1,0))</f>
        <v>1</v>
      </c>
      <c r="AS44" s="125">
        <f>IF(Ujian!AS51="","",IF(LEFT(Ujian!AS51,1)=SEKOR!AS$2,1,0))</f>
        <v>0</v>
      </c>
      <c r="AT44" s="125">
        <f>IF(Ujian!AT51="","",IF(LEFT(Ujian!AT51,1)=SEKOR!AT$2,1,0))</f>
        <v>1</v>
      </c>
      <c r="AU44" s="125">
        <f>IF(Ujian!AU51="","",IF(LEFT(Ujian!AU51,1)=SEKOR!AU$2,1,0))</f>
        <v>1</v>
      </c>
      <c r="AV44" s="125">
        <f>IF(Ujian!AV51="","",IF(LEFT(Ujian!AV51,1)=SEKOR!AV$2,1,0))</f>
        <v>1</v>
      </c>
      <c r="AW44" s="125" t="str">
        <f>IF(Ujian!AW51="","",IF(LEFT(Ujian!AW51,1)=SEKOR!AW$2,1,0))</f>
        <v/>
      </c>
      <c r="AX44" s="125" t="str">
        <f>IF(Ujian!AX51="","",IF(LEFT(Ujian!AX51,1)=SEKOR!AX$2,1,0))</f>
        <v/>
      </c>
      <c r="AY44" s="125" t="str">
        <f>IF(Ujian!AY51="","",IF(LEFT(Ujian!AY51,1)=SEKOR!AY$2,1,0))</f>
        <v/>
      </c>
      <c r="AZ44" s="125" t="str">
        <f>IF(Ujian!AZ51="","",IF(LEFT(Ujian!AZ51,1)=SEKOR!AZ$2,1,0))</f>
        <v/>
      </c>
      <c r="BA44" s="125" t="str">
        <f>IF(Ujian!BA51="","",IF(LEFT(Ujian!BA51,1)=SEKOR!BA$2,1,0))</f>
        <v/>
      </c>
      <c r="BB44" s="125" t="str">
        <f>IF(Ujian!BB51="","",IF(LEFT(Ujian!BB51,1)=SEKOR!BB$2,1,0))</f>
        <v/>
      </c>
      <c r="BC44" s="125" t="str">
        <f>IF(Ujian!BC51="","",IF(LEFT(Ujian!BC51,1)=SEKOR!BC$2,1,0))</f>
        <v/>
      </c>
      <c r="BD44" s="125" t="str">
        <f>IF(Ujian!BD51="","",IF(LEFT(Ujian!BD51,1)=SEKOR!BD$2,1,0))</f>
        <v/>
      </c>
      <c r="BE44" s="125" t="str">
        <f>IF(Ujian!BE51="","",IF(LEFT(Ujian!BE51,1)=SEKOR!BE$2,1,0))</f>
        <v/>
      </c>
      <c r="BF44" s="125" t="str">
        <f>IF(Ujian!BF51="","",IF(LEFT(Ujian!BF51,1)=SEKOR!BF$2,1,0))</f>
        <v/>
      </c>
      <c r="BG44" s="125" t="str">
        <f>IF(Ujian!BG51="","",IF(LEFT(Ujian!BG51,1)=SEKOR!BG$2,1,0))</f>
        <v/>
      </c>
      <c r="BH44" s="125" t="str">
        <f>IF(Ujian!BH51="","",IF(LEFT(Ujian!BH51,1)=SEKOR!BH$2,1,0))</f>
        <v/>
      </c>
      <c r="BI44" s="125" t="str">
        <f>IF(Ujian!BI51="","",IF(LEFT(Ujian!BI51,1)=SEKOR!BI$2,1,0))</f>
        <v/>
      </c>
      <c r="BJ44" s="125" t="str">
        <f>IF(Ujian!BJ51="","",IF(LEFT(Ujian!BJ51,1)=SEKOR!BJ$2,1,0))</f>
        <v/>
      </c>
      <c r="BK44" s="125" t="str">
        <f>IF(Ujian!BK51="","",IF(LEFT(Ujian!BK51,1)=SEKOR!BK$2,1,0))</f>
        <v/>
      </c>
      <c r="BL44" s="18">
        <f t="shared" si="0"/>
        <v>40</v>
      </c>
      <c r="BM44" s="18">
        <f>COUNTIF($D44:$BK44,"")+DATA!$F$14-DATA!$F$12</f>
        <v>20</v>
      </c>
      <c r="BN44" s="17">
        <f>IF(COUNTIF($D44:$BK44,1)&gt;DATA!$F$14,DATA!$F$14,COUNTIF($D44:$BK44,1))</f>
        <v>29</v>
      </c>
      <c r="BO44" s="17">
        <f>IF((BN44+COUNTIF($D44:$BK44,0))&lt;=DATA!$F$14,COUNTIF($D44:$BK44,0),DATA!$F$14-SEKOR!BN44)</f>
        <v>11</v>
      </c>
      <c r="BP44" s="4">
        <f>IF(BL44=0,"",BN44/DATA!$F$14*100)</f>
        <v>72.5</v>
      </c>
      <c r="BQ44" s="121">
        <f t="shared" si="1"/>
        <v>93.548387096774192</v>
      </c>
      <c r="BR44" s="2">
        <f>IF(Praktik!$E44=0,"",Praktik!$E44)</f>
        <v>90</v>
      </c>
      <c r="BS44" s="2">
        <f>IF(BR44="","",(BP44*DATAINFO!$O$4)+(SEKOR!BR44*DATAINFO!$O$5)/(DATAINFO!$O$4+DATAINFO!$O$5))</f>
        <v>102.5</v>
      </c>
      <c r="BT44" s="2">
        <f>IF(BL44=0,"",IF(DATA!$F$18="TIDAK",ROUNDUP((IF!$L$8*SEKOR!$BP44)+IF!$L$9,0),IF($BR44="","",ROUNDUP((IF!$L$20*$BS44)+IF!$L$21,0))))</f>
        <v>87</v>
      </c>
      <c r="BU44" s="47">
        <f>IF(BP44="","",IF(SEKOR!BP44&gt;=DATA!$J$12,1,0))</f>
        <v>1</v>
      </c>
      <c r="BV44" s="47">
        <f>IF(BQ44="","",IF(SEKOR!BQ44&gt;=DATA!$J$12,1,0))</f>
        <v>1</v>
      </c>
      <c r="BW44" s="47">
        <f>IF(BR44="","",IF(SEKOR!BR44&gt;=DATA!$J$12,1,0))</f>
        <v>1</v>
      </c>
      <c r="BX44" s="47">
        <f>IF(BT44="","",IF(DATA!$J$14="",IF(SEKOR!BT44&gt;=DATA!$J$12,1,0),IF(SEKOR!BT44&gt;=DATA!$J$14,1,0)))</f>
        <v>1</v>
      </c>
    </row>
    <row r="45" spans="1:76" x14ac:dyDescent="0.25">
      <c r="A45" s="20" t="s">
        <v>72</v>
      </c>
      <c r="B45" s="21" t="str">
        <f>IF(Ujian!B52="","",Ujian!B52)</f>
        <v>  234659</v>
      </c>
      <c r="C45" s="57" t="str">
        <f>IF(Ujian!C52="","",Ujian!C52)</f>
        <v>  Muhammad Ihza Al Muhajir</v>
      </c>
      <c r="D45" s="125" t="str">
        <f>IF(Ujian!D52="","",IF(LEFT(Ujian!D52,1)=SEKOR!D$2,1,0))</f>
        <v/>
      </c>
      <c r="E45" s="125">
        <f>IF(Ujian!E52="","",IF(LEFT(Ujian!E52,1)=SEKOR!E$2,1,0))</f>
        <v>1</v>
      </c>
      <c r="F45" s="125">
        <f>IF(Ujian!F52="","",IF(LEFT(Ujian!F52,1)=SEKOR!F$2,1,0))</f>
        <v>0</v>
      </c>
      <c r="G45" s="125">
        <f>IF(Ujian!G52="","",IF(LEFT(Ujian!G52,1)=SEKOR!G$2,1,0))</f>
        <v>1</v>
      </c>
      <c r="H45" s="125">
        <f>IF(Ujian!H52="","",IF(LEFT(Ujian!H52,1)=SEKOR!H$2,1,0))</f>
        <v>0</v>
      </c>
      <c r="I45" s="125" t="str">
        <f>IF(Ujian!I52="","",IF(LEFT(Ujian!I52,1)=SEKOR!I$2,1,0))</f>
        <v/>
      </c>
      <c r="J45" s="125">
        <f>IF(Ujian!J52="","",IF(LEFT(Ujian!J52,1)=SEKOR!J$2,1,0))</f>
        <v>1</v>
      </c>
      <c r="K45" s="125">
        <f>IF(Ujian!K52="","",IF(LEFT(Ujian!K52,1)=SEKOR!K$2,1,0))</f>
        <v>0</v>
      </c>
      <c r="L45" s="125">
        <f>IF(Ujian!L52="","",IF(LEFT(Ujian!L52,1)=SEKOR!L$2,1,0))</f>
        <v>1</v>
      </c>
      <c r="M45" s="125">
        <f>IF(Ujian!M52="","",IF(LEFT(Ujian!M52,1)=SEKOR!M$2,1,0))</f>
        <v>1</v>
      </c>
      <c r="N45" s="125" t="str">
        <f>IF(Ujian!N52="","",IF(LEFT(Ujian!N52,1)=SEKOR!N$2,1,0))</f>
        <v/>
      </c>
      <c r="O45" s="125">
        <f>IF(Ujian!O52="","",IF(LEFT(Ujian!O52,1)=SEKOR!O$2,1,0))</f>
        <v>0</v>
      </c>
      <c r="P45" s="125">
        <f>IF(Ujian!P52="","",IF(LEFT(Ujian!P52,1)=SEKOR!P$2,1,0))</f>
        <v>1</v>
      </c>
      <c r="Q45" s="125">
        <f>IF(Ujian!Q52="","",IF(LEFT(Ujian!Q52,1)=SEKOR!Q$2,1,0))</f>
        <v>1</v>
      </c>
      <c r="R45" s="125">
        <f>IF(Ujian!R52="","",IF(LEFT(Ujian!R52,1)=SEKOR!R$2,1,0))</f>
        <v>0</v>
      </c>
      <c r="S45" s="125">
        <f>IF(Ujian!S52="","",IF(LEFT(Ujian!S52,1)=SEKOR!S$2,1,0))</f>
        <v>1</v>
      </c>
      <c r="T45" s="125">
        <f>IF(Ujian!T52="","",IF(LEFT(Ujian!T52,1)=SEKOR!T$2,1,0))</f>
        <v>1</v>
      </c>
      <c r="U45" s="125">
        <f>IF(Ujian!U52="","",IF(LEFT(Ujian!U52,1)=SEKOR!U$2,1,0))</f>
        <v>1</v>
      </c>
      <c r="V45" s="125">
        <f>IF(Ujian!V52="","",IF(LEFT(Ujian!V52,1)=SEKOR!V$2,1,0))</f>
        <v>1</v>
      </c>
      <c r="W45" s="125">
        <f>IF(Ujian!W52="","",IF(LEFT(Ujian!W52,1)=SEKOR!W$2,1,0))</f>
        <v>1</v>
      </c>
      <c r="X45" s="125">
        <f>IF(Ujian!X52="","",IF(LEFT(Ujian!X52,1)=SEKOR!X$2,1,0))</f>
        <v>0</v>
      </c>
      <c r="Y45" s="125" t="str">
        <f>IF(Ujian!Y52="","",IF(LEFT(Ujian!Y52,1)=SEKOR!Y$2,1,0))</f>
        <v/>
      </c>
      <c r="Z45" s="125" t="str">
        <f>IF(Ujian!Z52="","",IF(LEFT(Ujian!Z52,1)=SEKOR!Z$2,1,0))</f>
        <v/>
      </c>
      <c r="AA45" s="125">
        <f>IF(Ujian!AA52="","",IF(LEFT(Ujian!AA52,1)=SEKOR!AA$2,1,0))</f>
        <v>1</v>
      </c>
      <c r="AB45" s="125">
        <f>IF(Ujian!AB52="","",IF(LEFT(Ujian!AB52,1)=SEKOR!AB$2,1,0))</f>
        <v>1</v>
      </c>
      <c r="AC45" s="125">
        <f>IF(Ujian!AC52="","",IF(LEFT(Ujian!AC52,1)=SEKOR!AC$2,1,0))</f>
        <v>1</v>
      </c>
      <c r="AD45" s="125">
        <f>IF(Ujian!AD52="","",IF(LEFT(Ujian!AD52,1)=SEKOR!AD$2,1,0))</f>
        <v>1</v>
      </c>
      <c r="AE45" s="125">
        <f>IF(Ujian!AE52="","",IF(LEFT(Ujian!AE52,1)=SEKOR!AE$2,1,0))</f>
        <v>0</v>
      </c>
      <c r="AF45" s="125">
        <f>IF(Ujian!AF52="","",IF(LEFT(Ujian!AF52,1)=SEKOR!AF$2,1,0))</f>
        <v>1</v>
      </c>
      <c r="AG45" s="125">
        <f>IF(Ujian!AG52="","",IF(LEFT(Ujian!AG52,1)=SEKOR!AG$2,1,0))</f>
        <v>0</v>
      </c>
      <c r="AH45" s="125">
        <f>IF(Ujian!AH52="","",IF(LEFT(Ujian!AH52,1)=SEKOR!AH$2,1,0))</f>
        <v>0</v>
      </c>
      <c r="AI45" s="125">
        <f>IF(Ujian!AI52="","",IF(LEFT(Ujian!AI52,1)=SEKOR!AI$2,1,0))</f>
        <v>1</v>
      </c>
      <c r="AJ45" s="125">
        <f>IF(Ujian!AJ52="","",IF(LEFT(Ujian!AJ52,1)=SEKOR!AJ$2,1,0))</f>
        <v>1</v>
      </c>
      <c r="AK45" s="125">
        <f>IF(Ujian!AK52="","",IF(LEFT(Ujian!AK52,1)=SEKOR!AK$2,1,0))</f>
        <v>1</v>
      </c>
      <c r="AL45" s="125">
        <f>IF(Ujian!AL52="","",IF(LEFT(Ujian!AL52,1)=SEKOR!AL$2,1,0))</f>
        <v>1</v>
      </c>
      <c r="AM45" s="125">
        <f>IF(Ujian!AM52="","",IF(LEFT(Ujian!AM52,1)=SEKOR!AM$2,1,0))</f>
        <v>0</v>
      </c>
      <c r="AN45" s="125">
        <f>IF(Ujian!AN52="","",IF(LEFT(Ujian!AN52,1)=SEKOR!AN$2,1,0))</f>
        <v>1</v>
      </c>
      <c r="AO45" s="125">
        <f>IF(Ujian!AO52="","",IF(LEFT(Ujian!AO52,1)=SEKOR!AO$2,1,0))</f>
        <v>0</v>
      </c>
      <c r="AP45" s="125">
        <f>IF(Ujian!AP52="","",IF(LEFT(Ujian!AP52,1)=SEKOR!AP$2,1,0))</f>
        <v>1</v>
      </c>
      <c r="AQ45" s="125">
        <f>IF(Ujian!AQ52="","",IF(LEFT(Ujian!AQ52,1)=SEKOR!AQ$2,1,0))</f>
        <v>1</v>
      </c>
      <c r="AR45" s="125">
        <f>IF(Ujian!AR52="","",IF(LEFT(Ujian!AR52,1)=SEKOR!AR$2,1,0))</f>
        <v>1</v>
      </c>
      <c r="AS45" s="125">
        <f>IF(Ujian!AS52="","",IF(LEFT(Ujian!AS52,1)=SEKOR!AS$2,1,0))</f>
        <v>0</v>
      </c>
      <c r="AT45" s="125">
        <f>IF(Ujian!AT52="","",IF(LEFT(Ujian!AT52,1)=SEKOR!AT$2,1,0))</f>
        <v>0</v>
      </c>
      <c r="AU45" s="125">
        <f>IF(Ujian!AU52="","",IF(LEFT(Ujian!AU52,1)=SEKOR!AU$2,1,0))</f>
        <v>1</v>
      </c>
      <c r="AV45" s="125">
        <f>IF(Ujian!AV52="","",IF(LEFT(Ujian!AV52,1)=SEKOR!AV$2,1,0))</f>
        <v>1</v>
      </c>
      <c r="AW45" s="125" t="str">
        <f>IF(Ujian!AW52="","",IF(LEFT(Ujian!AW52,1)=SEKOR!AW$2,1,0))</f>
        <v/>
      </c>
      <c r="AX45" s="125" t="str">
        <f>IF(Ujian!AX52="","",IF(LEFT(Ujian!AX52,1)=SEKOR!AX$2,1,0))</f>
        <v/>
      </c>
      <c r="AY45" s="125" t="str">
        <f>IF(Ujian!AY52="","",IF(LEFT(Ujian!AY52,1)=SEKOR!AY$2,1,0))</f>
        <v/>
      </c>
      <c r="AZ45" s="125" t="str">
        <f>IF(Ujian!AZ52="","",IF(LEFT(Ujian!AZ52,1)=SEKOR!AZ$2,1,0))</f>
        <v/>
      </c>
      <c r="BA45" s="125" t="str">
        <f>IF(Ujian!BA52="","",IF(LEFT(Ujian!BA52,1)=SEKOR!BA$2,1,0))</f>
        <v/>
      </c>
      <c r="BB45" s="125" t="str">
        <f>IF(Ujian!BB52="","",IF(LEFT(Ujian!BB52,1)=SEKOR!BB$2,1,0))</f>
        <v/>
      </c>
      <c r="BC45" s="125" t="str">
        <f>IF(Ujian!BC52="","",IF(LEFT(Ujian!BC52,1)=SEKOR!BC$2,1,0))</f>
        <v/>
      </c>
      <c r="BD45" s="125" t="str">
        <f>IF(Ujian!BD52="","",IF(LEFT(Ujian!BD52,1)=SEKOR!BD$2,1,0))</f>
        <v/>
      </c>
      <c r="BE45" s="125" t="str">
        <f>IF(Ujian!BE52="","",IF(LEFT(Ujian!BE52,1)=SEKOR!BE$2,1,0))</f>
        <v/>
      </c>
      <c r="BF45" s="125" t="str">
        <f>IF(Ujian!BF52="","",IF(LEFT(Ujian!BF52,1)=SEKOR!BF$2,1,0))</f>
        <v/>
      </c>
      <c r="BG45" s="125" t="str">
        <f>IF(Ujian!BG52="","",IF(LEFT(Ujian!BG52,1)=SEKOR!BG$2,1,0))</f>
        <v/>
      </c>
      <c r="BH45" s="125" t="str">
        <f>IF(Ujian!BH52="","",IF(LEFT(Ujian!BH52,1)=SEKOR!BH$2,1,0))</f>
        <v/>
      </c>
      <c r="BI45" s="125" t="str">
        <f>IF(Ujian!BI52="","",IF(LEFT(Ujian!BI52,1)=SEKOR!BI$2,1,0))</f>
        <v/>
      </c>
      <c r="BJ45" s="125" t="str">
        <f>IF(Ujian!BJ52="","",IF(LEFT(Ujian!BJ52,1)=SEKOR!BJ$2,1,0))</f>
        <v/>
      </c>
      <c r="BK45" s="125" t="str">
        <f>IF(Ujian!BK52="","",IF(LEFT(Ujian!BK52,1)=SEKOR!BK$2,1,0))</f>
        <v/>
      </c>
      <c r="BL45" s="18">
        <f t="shared" si="0"/>
        <v>40</v>
      </c>
      <c r="BM45" s="18">
        <f>COUNTIF($D45:$BK45,"")+DATA!$F$14-DATA!$F$12</f>
        <v>20</v>
      </c>
      <c r="BN45" s="17">
        <f>IF(COUNTIF($D45:$BK45,1)&gt;DATA!$F$14,DATA!$F$14,COUNTIF($D45:$BK45,1))</f>
        <v>27</v>
      </c>
      <c r="BO45" s="17">
        <f>IF((BN45+COUNTIF($D45:$BK45,0))&lt;=DATA!$F$14,COUNTIF($D45:$BK45,0),DATA!$F$14-SEKOR!BN45)</f>
        <v>13</v>
      </c>
      <c r="BP45" s="4">
        <f>IF(BL45=0,"",BN45/DATA!$F$14*100)</f>
        <v>67.5</v>
      </c>
      <c r="BQ45" s="121">
        <f t="shared" si="1"/>
        <v>87.096774193548384</v>
      </c>
      <c r="BR45" s="2">
        <f>IF(Praktik!$E45=0,"",Praktik!$E45)</f>
        <v>90</v>
      </c>
      <c r="BS45" s="2">
        <f>IF(BR45="","",(BP45*DATAINFO!$O$4)+(SEKOR!BR45*DATAINFO!$O$5)/(DATAINFO!$O$4+DATAINFO!$O$5))</f>
        <v>97.5</v>
      </c>
      <c r="BT45" s="2">
        <f>IF(BL45=0,"",IF(DATA!$F$18="TIDAK",ROUNDUP((IF!$L$8*SEKOR!$BP45)+IF!$L$9,0),IF($BR45="","",ROUNDUP((IF!$L$20*$BS45)+IF!$L$21,0))))</f>
        <v>84</v>
      </c>
      <c r="BU45" s="47">
        <f>IF(BP45="","",IF(SEKOR!BP45&gt;=DATA!$J$12,1,0))</f>
        <v>0</v>
      </c>
      <c r="BV45" s="47">
        <f>IF(BQ45="","",IF(SEKOR!BQ45&gt;=DATA!$J$12,1,0))</f>
        <v>1</v>
      </c>
      <c r="BW45" s="47">
        <f>IF(BR45="","",IF(SEKOR!BR45&gt;=DATA!$J$12,1,0))</f>
        <v>1</v>
      </c>
      <c r="BX45" s="47">
        <f>IF(BT45="","",IF(DATA!$J$14="",IF(SEKOR!BT45&gt;=DATA!$J$12,1,0),IF(SEKOR!BT45&gt;=DATA!$J$14,1,0)))</f>
        <v>1</v>
      </c>
    </row>
    <row r="46" spans="1:76" x14ac:dyDescent="0.25">
      <c r="A46" s="20" t="s">
        <v>73</v>
      </c>
      <c r="B46" s="21" t="str">
        <f>IF(Ujian!B53="","",Ujian!B53)</f>
        <v>  234668</v>
      </c>
      <c r="C46" s="57" t="str">
        <f>IF(Ujian!C53="","",Ujian!C53)</f>
        <v>  Muhammad Ramadan</v>
      </c>
      <c r="D46" s="125" t="str">
        <f>IF(Ujian!D53="","",IF(LEFT(Ujian!D53,1)=SEKOR!D$2,1,0))</f>
        <v/>
      </c>
      <c r="E46" s="125">
        <f>IF(Ujian!E53="","",IF(LEFT(Ujian!E53,1)=SEKOR!E$2,1,0))</f>
        <v>0</v>
      </c>
      <c r="F46" s="125">
        <f>IF(Ujian!F53="","",IF(LEFT(Ujian!F53,1)=SEKOR!F$2,1,0))</f>
        <v>0</v>
      </c>
      <c r="G46" s="125">
        <f>IF(Ujian!G53="","",IF(LEFT(Ujian!G53,1)=SEKOR!G$2,1,0))</f>
        <v>0</v>
      </c>
      <c r="H46" s="125" t="str">
        <f>IF(Ujian!H53="","",IF(LEFT(Ujian!H53,1)=SEKOR!H$2,1,0))</f>
        <v/>
      </c>
      <c r="I46" s="125">
        <f>IF(Ujian!I53="","",IF(LEFT(Ujian!I53,1)=SEKOR!I$2,1,0))</f>
        <v>0</v>
      </c>
      <c r="J46" s="125">
        <f>IF(Ujian!J53="","",IF(LEFT(Ujian!J53,1)=SEKOR!J$2,1,0))</f>
        <v>0</v>
      </c>
      <c r="K46" s="125">
        <f>IF(Ujian!K53="","",IF(LEFT(Ujian!K53,1)=SEKOR!K$2,1,0))</f>
        <v>1</v>
      </c>
      <c r="L46" s="125">
        <f>IF(Ujian!L53="","",IF(LEFT(Ujian!L53,1)=SEKOR!L$2,1,0))</f>
        <v>0</v>
      </c>
      <c r="M46" s="125">
        <f>IF(Ujian!M53="","",IF(LEFT(Ujian!M53,1)=SEKOR!M$2,1,0))</f>
        <v>0</v>
      </c>
      <c r="N46" s="125">
        <f>IF(Ujian!N53="","",IF(LEFT(Ujian!N53,1)=SEKOR!N$2,1,0))</f>
        <v>0</v>
      </c>
      <c r="O46" s="125">
        <f>IF(Ujian!O53="","",IF(LEFT(Ujian!O53,1)=SEKOR!O$2,1,0))</f>
        <v>1</v>
      </c>
      <c r="P46" s="125">
        <f>IF(Ujian!P53="","",IF(LEFT(Ujian!P53,1)=SEKOR!P$2,1,0))</f>
        <v>0</v>
      </c>
      <c r="Q46" s="125">
        <f>IF(Ujian!Q53="","",IF(LEFT(Ujian!Q53,1)=SEKOR!Q$2,1,0))</f>
        <v>1</v>
      </c>
      <c r="R46" s="125">
        <f>IF(Ujian!R53="","",IF(LEFT(Ujian!R53,1)=SEKOR!R$2,1,0))</f>
        <v>0</v>
      </c>
      <c r="S46" s="125">
        <f>IF(Ujian!S53="","",IF(LEFT(Ujian!S53,1)=SEKOR!S$2,1,0))</f>
        <v>0</v>
      </c>
      <c r="T46" s="125">
        <f>IF(Ujian!T53="","",IF(LEFT(Ujian!T53,1)=SEKOR!T$2,1,0))</f>
        <v>1</v>
      </c>
      <c r="U46" s="125">
        <f>IF(Ujian!U53="","",IF(LEFT(Ujian!U53,1)=SEKOR!U$2,1,0))</f>
        <v>0</v>
      </c>
      <c r="V46" s="125">
        <f>IF(Ujian!V53="","",IF(LEFT(Ujian!V53,1)=SEKOR!V$2,1,0))</f>
        <v>0</v>
      </c>
      <c r="W46" s="125">
        <f>IF(Ujian!W53="","",IF(LEFT(Ujian!W53,1)=SEKOR!W$2,1,0))</f>
        <v>0</v>
      </c>
      <c r="X46" s="125">
        <f>IF(Ujian!X53="","",IF(LEFT(Ujian!X53,1)=SEKOR!X$2,1,0))</f>
        <v>1</v>
      </c>
      <c r="Y46" s="125">
        <f>IF(Ujian!Y53="","",IF(LEFT(Ujian!Y53,1)=SEKOR!Y$2,1,0))</f>
        <v>1</v>
      </c>
      <c r="Z46" s="125">
        <f>IF(Ujian!Z53="","",IF(LEFT(Ujian!Z53,1)=SEKOR!Z$2,1,0))</f>
        <v>1</v>
      </c>
      <c r="AA46" s="125">
        <f>IF(Ujian!AA53="","",IF(LEFT(Ujian!AA53,1)=SEKOR!AA$2,1,0))</f>
        <v>0</v>
      </c>
      <c r="AB46" s="125">
        <f>IF(Ujian!AB53="","",IF(LEFT(Ujian!AB53,1)=SEKOR!AB$2,1,0))</f>
        <v>0</v>
      </c>
      <c r="AC46" s="125">
        <f>IF(Ujian!AC53="","",IF(LEFT(Ujian!AC53,1)=SEKOR!AC$2,1,0))</f>
        <v>0</v>
      </c>
      <c r="AD46" s="125">
        <f>IF(Ujian!AD53="","",IF(LEFT(Ujian!AD53,1)=SEKOR!AD$2,1,0))</f>
        <v>1</v>
      </c>
      <c r="AE46" s="125">
        <f>IF(Ujian!AE53="","",IF(LEFT(Ujian!AE53,1)=SEKOR!AE$2,1,0))</f>
        <v>0</v>
      </c>
      <c r="AF46" s="125">
        <f>IF(Ujian!AF53="","",IF(LEFT(Ujian!AF53,1)=SEKOR!AF$2,1,0))</f>
        <v>0</v>
      </c>
      <c r="AG46" s="125">
        <f>IF(Ujian!AG53="","",IF(LEFT(Ujian!AG53,1)=SEKOR!AG$2,1,0))</f>
        <v>0</v>
      </c>
      <c r="AH46" s="125">
        <f>IF(Ujian!AH53="","",IF(LEFT(Ujian!AH53,1)=SEKOR!AH$2,1,0))</f>
        <v>0</v>
      </c>
      <c r="AI46" s="125">
        <f>IF(Ujian!AI53="","",IF(LEFT(Ujian!AI53,1)=SEKOR!AI$2,1,0))</f>
        <v>0</v>
      </c>
      <c r="AJ46" s="125">
        <f>IF(Ujian!AJ53="","",IF(LEFT(Ujian!AJ53,1)=SEKOR!AJ$2,1,0))</f>
        <v>0</v>
      </c>
      <c r="AK46" s="125">
        <f>IF(Ujian!AK53="","",IF(LEFT(Ujian!AK53,1)=SEKOR!AK$2,1,0))</f>
        <v>0</v>
      </c>
      <c r="AL46" s="125">
        <f>IF(Ujian!AL53="","",IF(LEFT(Ujian!AL53,1)=SEKOR!AL$2,1,0))</f>
        <v>0</v>
      </c>
      <c r="AM46" s="125">
        <f>IF(Ujian!AM53="","",IF(LEFT(Ujian!AM53,1)=SEKOR!AM$2,1,0))</f>
        <v>0</v>
      </c>
      <c r="AN46" s="125" t="str">
        <f>IF(Ujian!AN53="","",IF(LEFT(Ujian!AN53,1)=SEKOR!AN$2,1,0))</f>
        <v/>
      </c>
      <c r="AO46" s="125">
        <f>IF(Ujian!AO53="","",IF(LEFT(Ujian!AO53,1)=SEKOR!AO$2,1,0))</f>
        <v>0</v>
      </c>
      <c r="AP46" s="125">
        <f>IF(Ujian!AP53="","",IF(LEFT(Ujian!AP53,1)=SEKOR!AP$2,1,0))</f>
        <v>0</v>
      </c>
      <c r="AQ46" s="125">
        <f>IF(Ujian!AQ53="","",IF(LEFT(Ujian!AQ53,1)=SEKOR!AQ$2,1,0))</f>
        <v>0</v>
      </c>
      <c r="AR46" s="125" t="str">
        <f>IF(Ujian!AR53="","",IF(LEFT(Ujian!AR53,1)=SEKOR!AR$2,1,0))</f>
        <v/>
      </c>
      <c r="AS46" s="125">
        <f>IF(Ujian!AS53="","",IF(LEFT(Ujian!AS53,1)=SEKOR!AS$2,1,0))</f>
        <v>0</v>
      </c>
      <c r="AT46" s="125" t="str">
        <f>IF(Ujian!AT53="","",IF(LEFT(Ujian!AT53,1)=SEKOR!AT$2,1,0))</f>
        <v/>
      </c>
      <c r="AU46" s="125">
        <f>IF(Ujian!AU53="","",IF(LEFT(Ujian!AU53,1)=SEKOR!AU$2,1,0))</f>
        <v>0</v>
      </c>
      <c r="AV46" s="125">
        <f>IF(Ujian!AV53="","",IF(LEFT(Ujian!AV53,1)=SEKOR!AV$2,1,0))</f>
        <v>1</v>
      </c>
      <c r="AW46" s="125" t="str">
        <f>IF(Ujian!AW53="","",IF(LEFT(Ujian!AW53,1)=SEKOR!AW$2,1,0))</f>
        <v/>
      </c>
      <c r="AX46" s="125" t="str">
        <f>IF(Ujian!AX53="","",IF(LEFT(Ujian!AX53,1)=SEKOR!AX$2,1,0))</f>
        <v/>
      </c>
      <c r="AY46" s="125" t="str">
        <f>IF(Ujian!AY53="","",IF(LEFT(Ujian!AY53,1)=SEKOR!AY$2,1,0))</f>
        <v/>
      </c>
      <c r="AZ46" s="125" t="str">
        <f>IF(Ujian!AZ53="","",IF(LEFT(Ujian!AZ53,1)=SEKOR!AZ$2,1,0))</f>
        <v/>
      </c>
      <c r="BA46" s="125" t="str">
        <f>IF(Ujian!BA53="","",IF(LEFT(Ujian!BA53,1)=SEKOR!BA$2,1,0))</f>
        <v/>
      </c>
      <c r="BB46" s="125" t="str">
        <f>IF(Ujian!BB53="","",IF(LEFT(Ujian!BB53,1)=SEKOR!BB$2,1,0))</f>
        <v/>
      </c>
      <c r="BC46" s="125" t="str">
        <f>IF(Ujian!BC53="","",IF(LEFT(Ujian!BC53,1)=SEKOR!BC$2,1,0))</f>
        <v/>
      </c>
      <c r="BD46" s="125" t="str">
        <f>IF(Ujian!BD53="","",IF(LEFT(Ujian!BD53,1)=SEKOR!BD$2,1,0))</f>
        <v/>
      </c>
      <c r="BE46" s="125" t="str">
        <f>IF(Ujian!BE53="","",IF(LEFT(Ujian!BE53,1)=SEKOR!BE$2,1,0))</f>
        <v/>
      </c>
      <c r="BF46" s="125" t="str">
        <f>IF(Ujian!BF53="","",IF(LEFT(Ujian!BF53,1)=SEKOR!BF$2,1,0))</f>
        <v/>
      </c>
      <c r="BG46" s="125" t="str">
        <f>IF(Ujian!BG53="","",IF(LEFT(Ujian!BG53,1)=SEKOR!BG$2,1,0))</f>
        <v/>
      </c>
      <c r="BH46" s="125" t="str">
        <f>IF(Ujian!BH53="","",IF(LEFT(Ujian!BH53,1)=SEKOR!BH$2,1,0))</f>
        <v/>
      </c>
      <c r="BI46" s="125" t="str">
        <f>IF(Ujian!BI53="","",IF(LEFT(Ujian!BI53,1)=SEKOR!BI$2,1,0))</f>
        <v/>
      </c>
      <c r="BJ46" s="125" t="str">
        <f>IF(Ujian!BJ53="","",IF(LEFT(Ujian!BJ53,1)=SEKOR!BJ$2,1,0))</f>
        <v/>
      </c>
      <c r="BK46" s="125" t="str">
        <f>IF(Ujian!BK53="","",IF(LEFT(Ujian!BK53,1)=SEKOR!BK$2,1,0))</f>
        <v/>
      </c>
      <c r="BL46" s="18">
        <f t="shared" si="0"/>
        <v>40</v>
      </c>
      <c r="BM46" s="18">
        <f>COUNTIF($D46:$BK46,"")+DATA!$F$14-DATA!$F$12</f>
        <v>20</v>
      </c>
      <c r="BN46" s="17">
        <f>IF(COUNTIF($D46:$BK46,1)&gt;DATA!$F$14,DATA!$F$14,COUNTIF($D46:$BK46,1))</f>
        <v>9</v>
      </c>
      <c r="BO46" s="17">
        <f>IF((BN46+COUNTIF($D46:$BK46,0))&lt;=DATA!$F$14,COUNTIF($D46:$BK46,0),DATA!$F$14-SEKOR!BN46)</f>
        <v>31</v>
      </c>
      <c r="BP46" s="4">
        <f>IF(BL46=0,"",BN46/DATA!$F$14*100)</f>
        <v>22.5</v>
      </c>
      <c r="BQ46" s="121">
        <f t="shared" si="1"/>
        <v>29.032258064516132</v>
      </c>
      <c r="BR46" s="2">
        <f>IF(Praktik!$E46=0,"",Praktik!$E46)</f>
        <v>90</v>
      </c>
      <c r="BS46" s="2">
        <f>IF(BR46="","",(BP46*DATAINFO!$O$4)+(SEKOR!BR46*DATAINFO!$O$5)/(DATAINFO!$O$4+DATAINFO!$O$5))</f>
        <v>52.5</v>
      </c>
      <c r="BT46" s="2">
        <f>IF(BL46=0,"",IF(DATA!$F$18="TIDAK",ROUNDUP((IF!$L$8*SEKOR!$BP46)+IF!$L$9,0),IF($BR46="","",ROUNDUP((IF!$L$20*$BS46)+IF!$L$21,0))))</f>
        <v>54</v>
      </c>
      <c r="BU46" s="47">
        <f>IF(BP46="","",IF(SEKOR!BP46&gt;=DATA!$J$12,1,0))</f>
        <v>0</v>
      </c>
      <c r="BV46" s="47">
        <f>IF(BQ46="","",IF(SEKOR!BQ46&gt;=DATA!$J$12,1,0))</f>
        <v>0</v>
      </c>
      <c r="BW46" s="47">
        <f>IF(BR46="","",IF(SEKOR!BR46&gt;=DATA!$J$12,1,0))</f>
        <v>1</v>
      </c>
      <c r="BX46" s="47">
        <f>IF(BT46="","",IF(DATA!$J$14="",IF(SEKOR!BT46&gt;=DATA!$J$12,1,0),IF(SEKOR!BT46&gt;=DATA!$J$14,1,0)))</f>
        <v>0</v>
      </c>
    </row>
    <row r="47" spans="1:76" x14ac:dyDescent="0.25">
      <c r="A47" s="20" t="s">
        <v>74</v>
      </c>
      <c r="B47" s="21" t="str">
        <f>IF(Ujian!B54="","",Ujian!B54)</f>
        <v>  234673</v>
      </c>
      <c r="C47" s="57" t="str">
        <f>IF(Ujian!C54="","",Ujian!C54)</f>
        <v>  Muhammad Rizky</v>
      </c>
      <c r="D47" s="125">
        <f>IF(Ujian!D54="","",IF(LEFT(Ujian!D54,1)=SEKOR!D$2,1,0))</f>
        <v>0</v>
      </c>
      <c r="E47" s="125">
        <f>IF(Ujian!E54="","",IF(LEFT(Ujian!E54,1)=SEKOR!E$2,1,0))</f>
        <v>1</v>
      </c>
      <c r="F47" s="125">
        <f>IF(Ujian!F54="","",IF(LEFT(Ujian!F54,1)=SEKOR!F$2,1,0))</f>
        <v>0</v>
      </c>
      <c r="G47" s="125">
        <f>IF(Ujian!G54="","",IF(LEFT(Ujian!G54,1)=SEKOR!G$2,1,0))</f>
        <v>1</v>
      </c>
      <c r="H47" s="125">
        <f>IF(Ujian!H54="","",IF(LEFT(Ujian!H54,1)=SEKOR!H$2,1,0))</f>
        <v>0</v>
      </c>
      <c r="I47" s="125">
        <f>IF(Ujian!I54="","",IF(LEFT(Ujian!I54,1)=SEKOR!I$2,1,0))</f>
        <v>1</v>
      </c>
      <c r="J47" s="125">
        <f>IF(Ujian!J54="","",IF(LEFT(Ujian!J54,1)=SEKOR!J$2,1,0))</f>
        <v>0</v>
      </c>
      <c r="K47" s="125">
        <f>IF(Ujian!K54="","",IF(LEFT(Ujian!K54,1)=SEKOR!K$2,1,0))</f>
        <v>0</v>
      </c>
      <c r="L47" s="125">
        <f>IF(Ujian!L54="","",IF(LEFT(Ujian!L54,1)=SEKOR!L$2,1,0))</f>
        <v>0</v>
      </c>
      <c r="M47" s="125">
        <f>IF(Ujian!M54="","",IF(LEFT(Ujian!M54,1)=SEKOR!M$2,1,0))</f>
        <v>1</v>
      </c>
      <c r="N47" s="125" t="str">
        <f>IF(Ujian!N54="","",IF(LEFT(Ujian!N54,1)=SEKOR!N$2,1,0))</f>
        <v/>
      </c>
      <c r="O47" s="125">
        <f>IF(Ujian!O54="","",IF(LEFT(Ujian!O54,1)=SEKOR!O$2,1,0))</f>
        <v>1</v>
      </c>
      <c r="P47" s="125">
        <f>IF(Ujian!P54="","",IF(LEFT(Ujian!P54,1)=SEKOR!P$2,1,0))</f>
        <v>0</v>
      </c>
      <c r="Q47" s="125">
        <f>IF(Ujian!Q54="","",IF(LEFT(Ujian!Q54,1)=SEKOR!Q$2,1,0))</f>
        <v>1</v>
      </c>
      <c r="R47" s="125">
        <f>IF(Ujian!R54="","",IF(LEFT(Ujian!R54,1)=SEKOR!R$2,1,0))</f>
        <v>0</v>
      </c>
      <c r="S47" s="125">
        <f>IF(Ujian!S54="","",IF(LEFT(Ujian!S54,1)=SEKOR!S$2,1,0))</f>
        <v>0</v>
      </c>
      <c r="T47" s="125">
        <f>IF(Ujian!T54="","",IF(LEFT(Ujian!T54,1)=SEKOR!T$2,1,0))</f>
        <v>1</v>
      </c>
      <c r="U47" s="125">
        <f>IF(Ujian!U54="","",IF(LEFT(Ujian!U54,1)=SEKOR!U$2,1,0))</f>
        <v>0</v>
      </c>
      <c r="V47" s="125">
        <f>IF(Ujian!V54="","",IF(LEFT(Ujian!V54,1)=SEKOR!V$2,1,0))</f>
        <v>0</v>
      </c>
      <c r="W47" s="125">
        <f>IF(Ujian!W54="","",IF(LEFT(Ujian!W54,1)=SEKOR!W$2,1,0))</f>
        <v>1</v>
      </c>
      <c r="X47" s="125" t="str">
        <f>IF(Ujian!X54="","",IF(LEFT(Ujian!X54,1)=SEKOR!X$2,1,0))</f>
        <v/>
      </c>
      <c r="Y47" s="125">
        <f>IF(Ujian!Y54="","",IF(LEFT(Ujian!Y54,1)=SEKOR!Y$2,1,0))</f>
        <v>1</v>
      </c>
      <c r="Z47" s="125">
        <f>IF(Ujian!Z54="","",IF(LEFT(Ujian!Z54,1)=SEKOR!Z$2,1,0))</f>
        <v>0</v>
      </c>
      <c r="AA47" s="125" t="str">
        <f>IF(Ujian!AA54="","",IF(LEFT(Ujian!AA54,1)=SEKOR!AA$2,1,0))</f>
        <v/>
      </c>
      <c r="AB47" s="125">
        <f>IF(Ujian!AB54="","",IF(LEFT(Ujian!AB54,1)=SEKOR!AB$2,1,0))</f>
        <v>0</v>
      </c>
      <c r="AC47" s="125">
        <f>IF(Ujian!AC54="","",IF(LEFT(Ujian!AC54,1)=SEKOR!AC$2,1,0))</f>
        <v>1</v>
      </c>
      <c r="AD47" s="125">
        <f>IF(Ujian!AD54="","",IF(LEFT(Ujian!AD54,1)=SEKOR!AD$2,1,0))</f>
        <v>0</v>
      </c>
      <c r="AE47" s="125">
        <f>IF(Ujian!AE54="","",IF(LEFT(Ujian!AE54,1)=SEKOR!AE$2,1,0))</f>
        <v>1</v>
      </c>
      <c r="AF47" s="125" t="str">
        <f>IF(Ujian!AF54="","",IF(LEFT(Ujian!AF54,1)=SEKOR!AF$2,1,0))</f>
        <v/>
      </c>
      <c r="AG47" s="125" t="str">
        <f>IF(Ujian!AG54="","",IF(LEFT(Ujian!AG54,1)=SEKOR!AG$2,1,0))</f>
        <v/>
      </c>
      <c r="AH47" s="125">
        <f>IF(Ujian!AH54="","",IF(LEFT(Ujian!AH54,1)=SEKOR!AH$2,1,0))</f>
        <v>0</v>
      </c>
      <c r="AI47" s="125">
        <f>IF(Ujian!AI54="","",IF(LEFT(Ujian!AI54,1)=SEKOR!AI$2,1,0))</f>
        <v>1</v>
      </c>
      <c r="AJ47" s="125">
        <f>IF(Ujian!AJ54="","",IF(LEFT(Ujian!AJ54,1)=SEKOR!AJ$2,1,0))</f>
        <v>1</v>
      </c>
      <c r="AK47" s="125">
        <f>IF(Ujian!AK54="","",IF(LEFT(Ujian!AK54,1)=SEKOR!AK$2,1,0))</f>
        <v>0</v>
      </c>
      <c r="AL47" s="125">
        <f>IF(Ujian!AL54="","",IF(LEFT(Ujian!AL54,1)=SEKOR!AL$2,1,0))</f>
        <v>0</v>
      </c>
      <c r="AM47" s="125">
        <f>IF(Ujian!AM54="","",IF(LEFT(Ujian!AM54,1)=SEKOR!AM$2,1,0))</f>
        <v>0</v>
      </c>
      <c r="AN47" s="125">
        <f>IF(Ujian!AN54="","",IF(LEFT(Ujian!AN54,1)=SEKOR!AN$2,1,0))</f>
        <v>0</v>
      </c>
      <c r="AO47" s="125">
        <f>IF(Ujian!AO54="","",IF(LEFT(Ujian!AO54,1)=SEKOR!AO$2,1,0))</f>
        <v>0</v>
      </c>
      <c r="AP47" s="125">
        <f>IF(Ujian!AP54="","",IF(LEFT(Ujian!AP54,1)=SEKOR!AP$2,1,0))</f>
        <v>1</v>
      </c>
      <c r="AQ47" s="125" t="str">
        <f>IF(Ujian!AQ54="","",IF(LEFT(Ujian!AQ54,1)=SEKOR!AQ$2,1,0))</f>
        <v/>
      </c>
      <c r="AR47" s="125">
        <f>IF(Ujian!AR54="","",IF(LEFT(Ujian!AR54,1)=SEKOR!AR$2,1,0))</f>
        <v>1</v>
      </c>
      <c r="AS47" s="125">
        <f>IF(Ujian!AS54="","",IF(LEFT(Ujian!AS54,1)=SEKOR!AS$2,1,0))</f>
        <v>0</v>
      </c>
      <c r="AT47" s="125">
        <f>IF(Ujian!AT54="","",IF(LEFT(Ujian!AT54,1)=SEKOR!AT$2,1,0))</f>
        <v>0</v>
      </c>
      <c r="AU47" s="125">
        <f>IF(Ujian!AU54="","",IF(LEFT(Ujian!AU54,1)=SEKOR!AU$2,1,0))</f>
        <v>0</v>
      </c>
      <c r="AV47" s="125" t="str">
        <f>IF(Ujian!AV54="","",IF(LEFT(Ujian!AV54,1)=SEKOR!AV$2,1,0))</f>
        <v/>
      </c>
      <c r="AW47" s="125" t="str">
        <f>IF(Ujian!AW54="","",IF(LEFT(Ujian!AW54,1)=SEKOR!AW$2,1,0))</f>
        <v/>
      </c>
      <c r="AX47" s="125" t="str">
        <f>IF(Ujian!AX54="","",IF(LEFT(Ujian!AX54,1)=SEKOR!AX$2,1,0))</f>
        <v/>
      </c>
      <c r="AY47" s="125" t="str">
        <f>IF(Ujian!AY54="","",IF(LEFT(Ujian!AY54,1)=SEKOR!AY$2,1,0))</f>
        <v/>
      </c>
      <c r="AZ47" s="125" t="str">
        <f>IF(Ujian!AZ54="","",IF(LEFT(Ujian!AZ54,1)=SEKOR!AZ$2,1,0))</f>
        <v/>
      </c>
      <c r="BA47" s="125" t="str">
        <f>IF(Ujian!BA54="","",IF(LEFT(Ujian!BA54,1)=SEKOR!BA$2,1,0))</f>
        <v/>
      </c>
      <c r="BB47" s="125" t="str">
        <f>IF(Ujian!BB54="","",IF(LEFT(Ujian!BB54,1)=SEKOR!BB$2,1,0))</f>
        <v/>
      </c>
      <c r="BC47" s="125" t="str">
        <f>IF(Ujian!BC54="","",IF(LEFT(Ujian!BC54,1)=SEKOR!BC$2,1,0))</f>
        <v/>
      </c>
      <c r="BD47" s="125" t="str">
        <f>IF(Ujian!BD54="","",IF(LEFT(Ujian!BD54,1)=SEKOR!BD$2,1,0))</f>
        <v/>
      </c>
      <c r="BE47" s="125" t="str">
        <f>IF(Ujian!BE54="","",IF(LEFT(Ujian!BE54,1)=SEKOR!BE$2,1,0))</f>
        <v/>
      </c>
      <c r="BF47" s="125" t="str">
        <f>IF(Ujian!BF54="","",IF(LEFT(Ujian!BF54,1)=SEKOR!BF$2,1,0))</f>
        <v/>
      </c>
      <c r="BG47" s="125" t="str">
        <f>IF(Ujian!BG54="","",IF(LEFT(Ujian!BG54,1)=SEKOR!BG$2,1,0))</f>
        <v/>
      </c>
      <c r="BH47" s="125" t="str">
        <f>IF(Ujian!BH54="","",IF(LEFT(Ujian!BH54,1)=SEKOR!BH$2,1,0))</f>
        <v/>
      </c>
      <c r="BI47" s="125" t="str">
        <f>IF(Ujian!BI54="","",IF(LEFT(Ujian!BI54,1)=SEKOR!BI$2,1,0))</f>
        <v/>
      </c>
      <c r="BJ47" s="125" t="str">
        <f>IF(Ujian!BJ54="","",IF(LEFT(Ujian!BJ54,1)=SEKOR!BJ$2,1,0))</f>
        <v/>
      </c>
      <c r="BK47" s="125" t="str">
        <f>IF(Ujian!BK54="","",IF(LEFT(Ujian!BK54,1)=SEKOR!BK$2,1,0))</f>
        <v/>
      </c>
      <c r="BL47" s="18">
        <f t="shared" si="0"/>
        <v>38</v>
      </c>
      <c r="BM47" s="18">
        <f>COUNTIF($D47:$BK47,"")+DATA!$F$14-DATA!$F$12</f>
        <v>22</v>
      </c>
      <c r="BN47" s="17">
        <f>IF(COUNTIF($D47:$BK47,1)&gt;DATA!$F$14,DATA!$F$14,COUNTIF($D47:$BK47,1))</f>
        <v>15</v>
      </c>
      <c r="BO47" s="17">
        <f>IF((BN47+COUNTIF($D47:$BK47,0))&lt;=DATA!$F$14,COUNTIF($D47:$BK47,0),DATA!$F$14-SEKOR!BN47)</f>
        <v>23</v>
      </c>
      <c r="BP47" s="4">
        <f>IF(BL47=0,"",BN47/DATA!$F$14*100)</f>
        <v>37.5</v>
      </c>
      <c r="BQ47" s="121">
        <f t="shared" si="1"/>
        <v>48.387096774193552</v>
      </c>
      <c r="BR47" s="2">
        <f>IF(Praktik!$E47=0,"",Praktik!$E47)</f>
        <v>90</v>
      </c>
      <c r="BS47" s="2">
        <f>IF(BR47="","",(BP47*DATAINFO!$O$4)+(SEKOR!BR47*DATAINFO!$O$5)/(DATAINFO!$O$4+DATAINFO!$O$5))</f>
        <v>67.5</v>
      </c>
      <c r="BT47" s="2">
        <f>IF(BL47=0,"",IF(DATA!$F$18="TIDAK",ROUNDUP((IF!$L$8*SEKOR!$BP47)+IF!$L$9,0),IF($BR47="","",ROUNDUP((IF!$L$20*$BS47)+IF!$L$21,0))))</f>
        <v>64</v>
      </c>
      <c r="BU47" s="47">
        <f>IF(BP47="","",IF(SEKOR!BP47&gt;=DATA!$J$12,1,0))</f>
        <v>0</v>
      </c>
      <c r="BV47" s="47">
        <f>IF(BQ47="","",IF(SEKOR!BQ47&gt;=DATA!$J$12,1,0))</f>
        <v>0</v>
      </c>
      <c r="BW47" s="47">
        <f>IF(BR47="","",IF(SEKOR!BR47&gt;=DATA!$J$12,1,0))</f>
        <v>1</v>
      </c>
      <c r="BX47" s="47">
        <f>IF(BT47="","",IF(DATA!$J$14="",IF(SEKOR!BT47&gt;=DATA!$J$12,1,0),IF(SEKOR!BT47&gt;=DATA!$J$14,1,0)))</f>
        <v>1</v>
      </c>
    </row>
    <row r="48" spans="1:76" x14ac:dyDescent="0.25">
      <c r="A48" s="20" t="s">
        <v>75</v>
      </c>
      <c r="B48" s="21" t="str">
        <f>IF(Ujian!B55="","",Ujian!B55)</f>
        <v>  234677</v>
      </c>
      <c r="C48" s="57" t="str">
        <f>IF(Ujian!C55="","",Ujian!C55)</f>
        <v>  Munirah</v>
      </c>
      <c r="D48" s="125">
        <f>IF(Ujian!D55="","",IF(LEFT(Ujian!D55,1)=SEKOR!D$2,1,0))</f>
        <v>1</v>
      </c>
      <c r="E48" s="125">
        <f>IF(Ujian!E55="","",IF(LEFT(Ujian!E55,1)=SEKOR!E$2,1,0))</f>
        <v>1</v>
      </c>
      <c r="F48" s="125">
        <f>IF(Ujian!F55="","",IF(LEFT(Ujian!F55,1)=SEKOR!F$2,1,0))</f>
        <v>1</v>
      </c>
      <c r="G48" s="125">
        <f>IF(Ujian!G55="","",IF(LEFT(Ujian!G55,1)=SEKOR!G$2,1,0))</f>
        <v>1</v>
      </c>
      <c r="H48" s="125">
        <f>IF(Ujian!H55="","",IF(LEFT(Ujian!H55,1)=SEKOR!H$2,1,0))</f>
        <v>1</v>
      </c>
      <c r="I48" s="125">
        <f>IF(Ujian!I55="","",IF(LEFT(Ujian!I55,1)=SEKOR!I$2,1,0))</f>
        <v>0</v>
      </c>
      <c r="J48" s="125" t="str">
        <f>IF(Ujian!J55="","",IF(LEFT(Ujian!J55,1)=SEKOR!J$2,1,0))</f>
        <v/>
      </c>
      <c r="K48" s="125">
        <f>IF(Ujian!K55="","",IF(LEFT(Ujian!K55,1)=SEKOR!K$2,1,0))</f>
        <v>0</v>
      </c>
      <c r="L48" s="125" t="str">
        <f>IF(Ujian!L55="","",IF(LEFT(Ujian!L55,1)=SEKOR!L$2,1,0))</f>
        <v/>
      </c>
      <c r="M48" s="125">
        <f>IF(Ujian!M55="","",IF(LEFT(Ujian!M55,1)=SEKOR!M$2,1,0))</f>
        <v>1</v>
      </c>
      <c r="N48" s="125">
        <f>IF(Ujian!N55="","",IF(LEFT(Ujian!N55,1)=SEKOR!N$2,1,0))</f>
        <v>1</v>
      </c>
      <c r="O48" s="125">
        <f>IF(Ujian!O55="","",IF(LEFT(Ujian!O55,1)=SEKOR!O$2,1,0))</f>
        <v>0</v>
      </c>
      <c r="P48" s="125">
        <f>IF(Ujian!P55="","",IF(LEFT(Ujian!P55,1)=SEKOR!P$2,1,0))</f>
        <v>1</v>
      </c>
      <c r="Q48" s="125">
        <f>IF(Ujian!Q55="","",IF(LEFT(Ujian!Q55,1)=SEKOR!Q$2,1,0))</f>
        <v>0</v>
      </c>
      <c r="R48" s="125">
        <f>IF(Ujian!R55="","",IF(LEFT(Ujian!R55,1)=SEKOR!R$2,1,0))</f>
        <v>0</v>
      </c>
      <c r="S48" s="125">
        <f>IF(Ujian!S55="","",IF(LEFT(Ujian!S55,1)=SEKOR!S$2,1,0))</f>
        <v>1</v>
      </c>
      <c r="T48" s="125">
        <f>IF(Ujian!T55="","",IF(LEFT(Ujian!T55,1)=SEKOR!T$2,1,0))</f>
        <v>1</v>
      </c>
      <c r="U48" s="125">
        <f>IF(Ujian!U55="","",IF(LEFT(Ujian!U55,1)=SEKOR!U$2,1,0))</f>
        <v>1</v>
      </c>
      <c r="V48" s="125">
        <f>IF(Ujian!V55="","",IF(LEFT(Ujian!V55,1)=SEKOR!V$2,1,0))</f>
        <v>1</v>
      </c>
      <c r="W48" s="125">
        <f>IF(Ujian!W55="","",IF(LEFT(Ujian!W55,1)=SEKOR!W$2,1,0))</f>
        <v>0</v>
      </c>
      <c r="X48" s="125">
        <f>IF(Ujian!X55="","",IF(LEFT(Ujian!X55,1)=SEKOR!X$2,1,0))</f>
        <v>0</v>
      </c>
      <c r="Y48" s="125">
        <f>IF(Ujian!Y55="","",IF(LEFT(Ujian!Y55,1)=SEKOR!Y$2,1,0))</f>
        <v>1</v>
      </c>
      <c r="Z48" s="125">
        <f>IF(Ujian!Z55="","",IF(LEFT(Ujian!Z55,1)=SEKOR!Z$2,1,0))</f>
        <v>0</v>
      </c>
      <c r="AA48" s="125">
        <f>IF(Ujian!AA55="","",IF(LEFT(Ujian!AA55,1)=SEKOR!AA$2,1,0))</f>
        <v>0</v>
      </c>
      <c r="AB48" s="125">
        <f>IF(Ujian!AB55="","",IF(LEFT(Ujian!AB55,1)=SEKOR!AB$2,1,0))</f>
        <v>0</v>
      </c>
      <c r="AC48" s="125">
        <f>IF(Ujian!AC55="","",IF(LEFT(Ujian!AC55,1)=SEKOR!AC$2,1,0))</f>
        <v>0</v>
      </c>
      <c r="AD48" s="125" t="str">
        <f>IF(Ujian!AD55="","",IF(LEFT(Ujian!AD55,1)=SEKOR!AD$2,1,0))</f>
        <v/>
      </c>
      <c r="AE48" s="125">
        <f>IF(Ujian!AE55="","",IF(LEFT(Ujian!AE55,1)=SEKOR!AE$2,1,0))</f>
        <v>1</v>
      </c>
      <c r="AF48" s="125">
        <f>IF(Ujian!AF55="","",IF(LEFT(Ujian!AF55,1)=SEKOR!AF$2,1,0))</f>
        <v>0</v>
      </c>
      <c r="AG48" s="125">
        <f>IF(Ujian!AG55="","",IF(LEFT(Ujian!AG55,1)=SEKOR!AG$2,1,0))</f>
        <v>1</v>
      </c>
      <c r="AH48" s="125">
        <f>IF(Ujian!AH55="","",IF(LEFT(Ujian!AH55,1)=SEKOR!AH$2,1,0))</f>
        <v>0</v>
      </c>
      <c r="AI48" s="125">
        <f>IF(Ujian!AI55="","",IF(LEFT(Ujian!AI55,1)=SEKOR!AI$2,1,0))</f>
        <v>1</v>
      </c>
      <c r="AJ48" s="125">
        <f>IF(Ujian!AJ55="","",IF(LEFT(Ujian!AJ55,1)=SEKOR!AJ$2,1,0))</f>
        <v>1</v>
      </c>
      <c r="AK48" s="125">
        <f>IF(Ujian!AK55="","",IF(LEFT(Ujian!AK55,1)=SEKOR!AK$2,1,0))</f>
        <v>1</v>
      </c>
      <c r="AL48" s="125" t="str">
        <f>IF(Ujian!AL55="","",IF(LEFT(Ujian!AL55,1)=SEKOR!AL$2,1,0))</f>
        <v/>
      </c>
      <c r="AM48" s="125">
        <f>IF(Ujian!AM55="","",IF(LEFT(Ujian!AM55,1)=SEKOR!AM$2,1,0))</f>
        <v>0</v>
      </c>
      <c r="AN48" s="125">
        <f>IF(Ujian!AN55="","",IF(LEFT(Ujian!AN55,1)=SEKOR!AN$2,1,0))</f>
        <v>1</v>
      </c>
      <c r="AO48" s="125">
        <f>IF(Ujian!AO55="","",IF(LEFT(Ujian!AO55,1)=SEKOR!AO$2,1,0))</f>
        <v>0</v>
      </c>
      <c r="AP48" s="125" t="str">
        <f>IF(Ujian!AP55="","",IF(LEFT(Ujian!AP55,1)=SEKOR!AP$2,1,0))</f>
        <v/>
      </c>
      <c r="AQ48" s="125">
        <f>IF(Ujian!AQ55="","",IF(LEFT(Ujian!AQ55,1)=SEKOR!AQ$2,1,0))</f>
        <v>1</v>
      </c>
      <c r="AR48" s="125">
        <f>IF(Ujian!AR55="","",IF(LEFT(Ujian!AR55,1)=SEKOR!AR$2,1,0))</f>
        <v>1</v>
      </c>
      <c r="AS48" s="125">
        <f>IF(Ujian!AS55="","",IF(LEFT(Ujian!AS55,1)=SEKOR!AS$2,1,0))</f>
        <v>1</v>
      </c>
      <c r="AT48" s="125">
        <f>IF(Ujian!AT55="","",IF(LEFT(Ujian!AT55,1)=SEKOR!AT$2,1,0))</f>
        <v>0</v>
      </c>
      <c r="AU48" s="125">
        <f>IF(Ujian!AU55="","",IF(LEFT(Ujian!AU55,1)=SEKOR!AU$2,1,0))</f>
        <v>1</v>
      </c>
      <c r="AV48" s="125">
        <f>IF(Ujian!AV55="","",IF(LEFT(Ujian!AV55,1)=SEKOR!AV$2,1,0))</f>
        <v>1</v>
      </c>
      <c r="AW48" s="125" t="str">
        <f>IF(Ujian!AW55="","",IF(LEFT(Ujian!AW55,1)=SEKOR!AW$2,1,0))</f>
        <v/>
      </c>
      <c r="AX48" s="125" t="str">
        <f>IF(Ujian!AX55="","",IF(LEFT(Ujian!AX55,1)=SEKOR!AX$2,1,0))</f>
        <v/>
      </c>
      <c r="AY48" s="125" t="str">
        <f>IF(Ujian!AY55="","",IF(LEFT(Ujian!AY55,1)=SEKOR!AY$2,1,0))</f>
        <v/>
      </c>
      <c r="AZ48" s="125" t="str">
        <f>IF(Ujian!AZ55="","",IF(LEFT(Ujian!AZ55,1)=SEKOR!AZ$2,1,0))</f>
        <v/>
      </c>
      <c r="BA48" s="125" t="str">
        <f>IF(Ujian!BA55="","",IF(LEFT(Ujian!BA55,1)=SEKOR!BA$2,1,0))</f>
        <v/>
      </c>
      <c r="BB48" s="125" t="str">
        <f>IF(Ujian!BB55="","",IF(LEFT(Ujian!BB55,1)=SEKOR!BB$2,1,0))</f>
        <v/>
      </c>
      <c r="BC48" s="125" t="str">
        <f>IF(Ujian!BC55="","",IF(LEFT(Ujian!BC55,1)=SEKOR!BC$2,1,0))</f>
        <v/>
      </c>
      <c r="BD48" s="125" t="str">
        <f>IF(Ujian!BD55="","",IF(LEFT(Ujian!BD55,1)=SEKOR!BD$2,1,0))</f>
        <v/>
      </c>
      <c r="BE48" s="125" t="str">
        <f>IF(Ujian!BE55="","",IF(LEFT(Ujian!BE55,1)=SEKOR!BE$2,1,0))</f>
        <v/>
      </c>
      <c r="BF48" s="125" t="str">
        <f>IF(Ujian!BF55="","",IF(LEFT(Ujian!BF55,1)=SEKOR!BF$2,1,0))</f>
        <v/>
      </c>
      <c r="BG48" s="125" t="str">
        <f>IF(Ujian!BG55="","",IF(LEFT(Ujian!BG55,1)=SEKOR!BG$2,1,0))</f>
        <v/>
      </c>
      <c r="BH48" s="125" t="str">
        <f>IF(Ujian!BH55="","",IF(LEFT(Ujian!BH55,1)=SEKOR!BH$2,1,0))</f>
        <v/>
      </c>
      <c r="BI48" s="125" t="str">
        <f>IF(Ujian!BI55="","",IF(LEFT(Ujian!BI55,1)=SEKOR!BI$2,1,0))</f>
        <v/>
      </c>
      <c r="BJ48" s="125" t="str">
        <f>IF(Ujian!BJ55="","",IF(LEFT(Ujian!BJ55,1)=SEKOR!BJ$2,1,0))</f>
        <v/>
      </c>
      <c r="BK48" s="125" t="str">
        <f>IF(Ujian!BK55="","",IF(LEFT(Ujian!BK55,1)=SEKOR!BK$2,1,0))</f>
        <v/>
      </c>
      <c r="BL48" s="18">
        <f t="shared" si="0"/>
        <v>40</v>
      </c>
      <c r="BM48" s="18">
        <f>COUNTIF($D48:$BK48,"")+DATA!$F$14-DATA!$F$12</f>
        <v>20</v>
      </c>
      <c r="BN48" s="17">
        <f>IF(COUNTIF($D48:$BK48,1)&gt;DATA!$F$14,DATA!$F$14,COUNTIF($D48:$BK48,1))</f>
        <v>24</v>
      </c>
      <c r="BO48" s="17">
        <f>IF((BN48+COUNTIF($D48:$BK48,0))&lt;=DATA!$F$14,COUNTIF($D48:$BK48,0),DATA!$F$14-SEKOR!BN48)</f>
        <v>16</v>
      </c>
      <c r="BP48" s="4">
        <f>IF(BL48=0,"",BN48/DATA!$F$14*100)</f>
        <v>60</v>
      </c>
      <c r="BQ48" s="121">
        <f t="shared" si="1"/>
        <v>77.41935483870968</v>
      </c>
      <c r="BR48" s="2">
        <f>IF(Praktik!$E48=0,"",Praktik!$E48)</f>
        <v>90</v>
      </c>
      <c r="BS48" s="2">
        <f>IF(BR48="","",(BP48*DATAINFO!$O$4)+(SEKOR!BR48*DATAINFO!$O$5)/(DATAINFO!$O$4+DATAINFO!$O$5))</f>
        <v>90</v>
      </c>
      <c r="BT48" s="2">
        <f>IF(BL48=0,"",IF(DATA!$F$18="TIDAK",ROUNDUP((IF!$L$8*SEKOR!$BP48)+IF!$L$9,0),IF($BR48="","",ROUNDUP((IF!$L$20*$BS48)+IF!$L$21,0))))</f>
        <v>79</v>
      </c>
      <c r="BU48" s="47">
        <f>IF(BP48="","",IF(SEKOR!BP48&gt;=DATA!$J$12,1,0))</f>
        <v>0</v>
      </c>
      <c r="BV48" s="47">
        <f>IF(BQ48="","",IF(SEKOR!BQ48&gt;=DATA!$J$12,1,0))</f>
        <v>1</v>
      </c>
      <c r="BW48" s="47">
        <f>IF(BR48="","",IF(SEKOR!BR48&gt;=DATA!$J$12,1,0))</f>
        <v>1</v>
      </c>
      <c r="BX48" s="47">
        <f>IF(BT48="","",IF(DATA!$J$14="",IF(SEKOR!BT48&gt;=DATA!$J$12,1,0),IF(SEKOR!BT48&gt;=DATA!$J$14,1,0)))</f>
        <v>1</v>
      </c>
    </row>
    <row r="49" spans="1:76" x14ac:dyDescent="0.25">
      <c r="A49" s="20" t="s">
        <v>76</v>
      </c>
      <c r="B49" s="21" t="str">
        <f>IF(Ujian!B56="","",Ujian!B56)</f>
        <v>  234690</v>
      </c>
      <c r="C49" s="57" t="str">
        <f>IF(Ujian!C56="","",Ujian!C56)</f>
        <v>  Nor Rachma</v>
      </c>
      <c r="D49" s="125">
        <f>IF(Ujian!D56="","",IF(LEFT(Ujian!D56,1)=SEKOR!D$2,1,0))</f>
        <v>1</v>
      </c>
      <c r="E49" s="125">
        <f>IF(Ujian!E56="","",IF(LEFT(Ujian!E56,1)=SEKOR!E$2,1,0))</f>
        <v>1</v>
      </c>
      <c r="F49" s="125">
        <f>IF(Ujian!F56="","",IF(LEFT(Ujian!F56,1)=SEKOR!F$2,1,0))</f>
        <v>1</v>
      </c>
      <c r="G49" s="125">
        <f>IF(Ujian!G56="","",IF(LEFT(Ujian!G56,1)=SEKOR!G$2,1,0))</f>
        <v>1</v>
      </c>
      <c r="H49" s="125">
        <f>IF(Ujian!H56="","",IF(LEFT(Ujian!H56,1)=SEKOR!H$2,1,0))</f>
        <v>1</v>
      </c>
      <c r="I49" s="125">
        <f>IF(Ujian!I56="","",IF(LEFT(Ujian!I56,1)=SEKOR!I$2,1,0))</f>
        <v>1</v>
      </c>
      <c r="J49" s="125">
        <f>IF(Ujian!J56="","",IF(LEFT(Ujian!J56,1)=SEKOR!J$2,1,0))</f>
        <v>1</v>
      </c>
      <c r="K49" s="125">
        <f>IF(Ujian!K56="","",IF(LEFT(Ujian!K56,1)=SEKOR!K$2,1,0))</f>
        <v>1</v>
      </c>
      <c r="L49" s="125">
        <f>IF(Ujian!L56="","",IF(LEFT(Ujian!L56,1)=SEKOR!L$2,1,0))</f>
        <v>0</v>
      </c>
      <c r="M49" s="125">
        <f>IF(Ujian!M56="","",IF(LEFT(Ujian!M56,1)=SEKOR!M$2,1,0))</f>
        <v>0</v>
      </c>
      <c r="N49" s="125">
        <f>IF(Ujian!N56="","",IF(LEFT(Ujian!N56,1)=SEKOR!N$2,1,0))</f>
        <v>1</v>
      </c>
      <c r="O49" s="125">
        <f>IF(Ujian!O56="","",IF(LEFT(Ujian!O56,1)=SEKOR!O$2,1,0))</f>
        <v>1</v>
      </c>
      <c r="P49" s="125">
        <f>IF(Ujian!P56="","",IF(LEFT(Ujian!P56,1)=SEKOR!P$2,1,0))</f>
        <v>0</v>
      </c>
      <c r="Q49" s="125">
        <f>IF(Ujian!Q56="","",IF(LEFT(Ujian!Q56,1)=SEKOR!Q$2,1,0))</f>
        <v>1</v>
      </c>
      <c r="R49" s="125" t="str">
        <f>IF(Ujian!R56="","",IF(LEFT(Ujian!R56,1)=SEKOR!R$2,1,0))</f>
        <v/>
      </c>
      <c r="S49" s="125">
        <f>IF(Ujian!S56="","",IF(LEFT(Ujian!S56,1)=SEKOR!S$2,1,0))</f>
        <v>1</v>
      </c>
      <c r="T49" s="125">
        <f>IF(Ujian!T56="","",IF(LEFT(Ujian!T56,1)=SEKOR!T$2,1,0))</f>
        <v>1</v>
      </c>
      <c r="U49" s="125">
        <f>IF(Ujian!U56="","",IF(LEFT(Ujian!U56,1)=SEKOR!U$2,1,0))</f>
        <v>1</v>
      </c>
      <c r="V49" s="125">
        <f>IF(Ujian!V56="","",IF(LEFT(Ujian!V56,1)=SEKOR!V$2,1,0))</f>
        <v>1</v>
      </c>
      <c r="W49" s="125" t="str">
        <f>IF(Ujian!W56="","",IF(LEFT(Ujian!W56,1)=SEKOR!W$2,1,0))</f>
        <v/>
      </c>
      <c r="X49" s="125">
        <f>IF(Ujian!X56="","",IF(LEFT(Ujian!X56,1)=SEKOR!X$2,1,0))</f>
        <v>1</v>
      </c>
      <c r="Y49" s="125">
        <f>IF(Ujian!Y56="","",IF(LEFT(Ujian!Y56,1)=SEKOR!Y$2,1,0))</f>
        <v>1</v>
      </c>
      <c r="Z49" s="125">
        <f>IF(Ujian!Z56="","",IF(LEFT(Ujian!Z56,1)=SEKOR!Z$2,1,0))</f>
        <v>1</v>
      </c>
      <c r="AA49" s="125">
        <f>IF(Ujian!AA56="","",IF(LEFT(Ujian!AA56,1)=SEKOR!AA$2,1,0))</f>
        <v>1</v>
      </c>
      <c r="AB49" s="125">
        <f>IF(Ujian!AB56="","",IF(LEFT(Ujian!AB56,1)=SEKOR!AB$2,1,0))</f>
        <v>0</v>
      </c>
      <c r="AC49" s="125">
        <f>IF(Ujian!AC56="","",IF(LEFT(Ujian!AC56,1)=SEKOR!AC$2,1,0))</f>
        <v>1</v>
      </c>
      <c r="AD49" s="125">
        <f>IF(Ujian!AD56="","",IF(LEFT(Ujian!AD56,1)=SEKOR!AD$2,1,0))</f>
        <v>1</v>
      </c>
      <c r="AE49" s="125" t="str">
        <f>IF(Ujian!AE56="","",IF(LEFT(Ujian!AE56,1)=SEKOR!AE$2,1,0))</f>
        <v/>
      </c>
      <c r="AF49" s="125">
        <f>IF(Ujian!AF56="","",IF(LEFT(Ujian!AF56,1)=SEKOR!AF$2,1,0))</f>
        <v>1</v>
      </c>
      <c r="AG49" s="125" t="str">
        <f>IF(Ujian!AG56="","",IF(LEFT(Ujian!AG56,1)=SEKOR!AG$2,1,0))</f>
        <v/>
      </c>
      <c r="AH49" s="125">
        <f>IF(Ujian!AH56="","",IF(LEFT(Ujian!AH56,1)=SEKOR!AH$2,1,0))</f>
        <v>1</v>
      </c>
      <c r="AI49" s="125">
        <f>IF(Ujian!AI56="","",IF(LEFT(Ujian!AI56,1)=SEKOR!AI$2,1,0))</f>
        <v>1</v>
      </c>
      <c r="AJ49" s="125">
        <f>IF(Ujian!AJ56="","",IF(LEFT(Ujian!AJ56,1)=SEKOR!AJ$2,1,0))</f>
        <v>1</v>
      </c>
      <c r="AK49" s="125">
        <f>IF(Ujian!AK56="","",IF(LEFT(Ujian!AK56,1)=SEKOR!AK$2,1,0))</f>
        <v>1</v>
      </c>
      <c r="AL49" s="125">
        <f>IF(Ujian!AL56="","",IF(LEFT(Ujian!AL56,1)=SEKOR!AL$2,1,0))</f>
        <v>0</v>
      </c>
      <c r="AM49" s="125">
        <f>IF(Ujian!AM56="","",IF(LEFT(Ujian!AM56,1)=SEKOR!AM$2,1,0))</f>
        <v>0</v>
      </c>
      <c r="AN49" s="125">
        <f>IF(Ujian!AN56="","",IF(LEFT(Ujian!AN56,1)=SEKOR!AN$2,1,0))</f>
        <v>1</v>
      </c>
      <c r="AO49" s="125">
        <f>IF(Ujian!AO56="","",IF(LEFT(Ujian!AO56,1)=SEKOR!AO$2,1,0))</f>
        <v>0</v>
      </c>
      <c r="AP49" s="125">
        <f>IF(Ujian!AP56="","",IF(LEFT(Ujian!AP56,1)=SEKOR!AP$2,1,0))</f>
        <v>1</v>
      </c>
      <c r="AQ49" s="125" t="str">
        <f>IF(Ujian!AQ56="","",IF(LEFT(Ujian!AQ56,1)=SEKOR!AQ$2,1,0))</f>
        <v/>
      </c>
      <c r="AR49" s="125">
        <f>IF(Ujian!AR56="","",IF(LEFT(Ujian!AR56,1)=SEKOR!AR$2,1,0))</f>
        <v>1</v>
      </c>
      <c r="AS49" s="125">
        <f>IF(Ujian!AS56="","",IF(LEFT(Ujian!AS56,1)=SEKOR!AS$2,1,0))</f>
        <v>0</v>
      </c>
      <c r="AT49" s="125">
        <f>IF(Ujian!AT56="","",IF(LEFT(Ujian!AT56,1)=SEKOR!AT$2,1,0))</f>
        <v>0</v>
      </c>
      <c r="AU49" s="125">
        <f>IF(Ujian!AU56="","",IF(LEFT(Ujian!AU56,1)=SEKOR!AU$2,1,0))</f>
        <v>1</v>
      </c>
      <c r="AV49" s="125">
        <f>IF(Ujian!AV56="","",IF(LEFT(Ujian!AV56,1)=SEKOR!AV$2,1,0))</f>
        <v>0</v>
      </c>
      <c r="AW49" s="125" t="str">
        <f>IF(Ujian!AW56="","",IF(LEFT(Ujian!AW56,1)=SEKOR!AW$2,1,0))</f>
        <v/>
      </c>
      <c r="AX49" s="125" t="str">
        <f>IF(Ujian!AX56="","",IF(LEFT(Ujian!AX56,1)=SEKOR!AX$2,1,0))</f>
        <v/>
      </c>
      <c r="AY49" s="125" t="str">
        <f>IF(Ujian!AY56="","",IF(LEFT(Ujian!AY56,1)=SEKOR!AY$2,1,0))</f>
        <v/>
      </c>
      <c r="AZ49" s="125" t="str">
        <f>IF(Ujian!AZ56="","",IF(LEFT(Ujian!AZ56,1)=SEKOR!AZ$2,1,0))</f>
        <v/>
      </c>
      <c r="BA49" s="125" t="str">
        <f>IF(Ujian!BA56="","",IF(LEFT(Ujian!BA56,1)=SEKOR!BA$2,1,0))</f>
        <v/>
      </c>
      <c r="BB49" s="125" t="str">
        <f>IF(Ujian!BB56="","",IF(LEFT(Ujian!BB56,1)=SEKOR!BB$2,1,0))</f>
        <v/>
      </c>
      <c r="BC49" s="125" t="str">
        <f>IF(Ujian!BC56="","",IF(LEFT(Ujian!BC56,1)=SEKOR!BC$2,1,0))</f>
        <v/>
      </c>
      <c r="BD49" s="125" t="str">
        <f>IF(Ujian!BD56="","",IF(LEFT(Ujian!BD56,1)=SEKOR!BD$2,1,0))</f>
        <v/>
      </c>
      <c r="BE49" s="125" t="str">
        <f>IF(Ujian!BE56="","",IF(LEFT(Ujian!BE56,1)=SEKOR!BE$2,1,0))</f>
        <v/>
      </c>
      <c r="BF49" s="125" t="str">
        <f>IF(Ujian!BF56="","",IF(LEFT(Ujian!BF56,1)=SEKOR!BF$2,1,0))</f>
        <v/>
      </c>
      <c r="BG49" s="125" t="str">
        <f>IF(Ujian!BG56="","",IF(LEFT(Ujian!BG56,1)=SEKOR!BG$2,1,0))</f>
        <v/>
      </c>
      <c r="BH49" s="125" t="str">
        <f>IF(Ujian!BH56="","",IF(LEFT(Ujian!BH56,1)=SEKOR!BH$2,1,0))</f>
        <v/>
      </c>
      <c r="BI49" s="125" t="str">
        <f>IF(Ujian!BI56="","",IF(LEFT(Ujian!BI56,1)=SEKOR!BI$2,1,0))</f>
        <v/>
      </c>
      <c r="BJ49" s="125" t="str">
        <f>IF(Ujian!BJ56="","",IF(LEFT(Ujian!BJ56,1)=SEKOR!BJ$2,1,0))</f>
        <v/>
      </c>
      <c r="BK49" s="125" t="str">
        <f>IF(Ujian!BK56="","",IF(LEFT(Ujian!BK56,1)=SEKOR!BK$2,1,0))</f>
        <v/>
      </c>
      <c r="BL49" s="18">
        <f t="shared" si="0"/>
        <v>40</v>
      </c>
      <c r="BM49" s="18">
        <f>COUNTIF($D49:$BK49,"")+DATA!$F$14-DATA!$F$12</f>
        <v>20</v>
      </c>
      <c r="BN49" s="17">
        <f>IF(COUNTIF($D49:$BK49,1)&gt;DATA!$F$14,DATA!$F$14,COUNTIF($D49:$BK49,1))</f>
        <v>30</v>
      </c>
      <c r="BO49" s="17">
        <f>IF((BN49+COUNTIF($D49:$BK49,0))&lt;=DATA!$F$14,COUNTIF($D49:$BK49,0),DATA!$F$14-SEKOR!BN49)</f>
        <v>10</v>
      </c>
      <c r="BP49" s="4">
        <f>IF(BL49=0,"",BN49/DATA!$F$14*100)</f>
        <v>75</v>
      </c>
      <c r="BQ49" s="121">
        <f t="shared" si="1"/>
        <v>96.774193548387103</v>
      </c>
      <c r="BR49" s="2">
        <f>IF(Praktik!$E49=0,"",Praktik!$E49)</f>
        <v>90</v>
      </c>
      <c r="BS49" s="2">
        <f>IF(BR49="","",(BP49*DATAINFO!$O$4)+(SEKOR!BR49*DATAINFO!$O$5)/(DATAINFO!$O$4+DATAINFO!$O$5))</f>
        <v>105</v>
      </c>
      <c r="BT49" s="2">
        <f>IF(BL49=0,"",IF(DATA!$F$18="TIDAK",ROUNDUP((IF!$L$8*SEKOR!$BP49)+IF!$L$9,0),IF($BR49="","",ROUNDUP((IF!$L$20*$BS49)+IF!$L$21,0))))</f>
        <v>89</v>
      </c>
      <c r="BU49" s="47">
        <f>IF(BP49="","",IF(SEKOR!BP49&gt;=DATA!$J$12,1,0))</f>
        <v>1</v>
      </c>
      <c r="BV49" s="47">
        <f>IF(BQ49="","",IF(SEKOR!BQ49&gt;=DATA!$J$12,1,0))</f>
        <v>1</v>
      </c>
      <c r="BW49" s="47">
        <f>IF(BR49="","",IF(SEKOR!BR49&gt;=DATA!$J$12,1,0))</f>
        <v>1</v>
      </c>
      <c r="BX49" s="47">
        <f>IF(BT49="","",IF(DATA!$J$14="",IF(SEKOR!BT49&gt;=DATA!$J$12,1,0),IF(SEKOR!BT49&gt;=DATA!$J$14,1,0)))</f>
        <v>1</v>
      </c>
    </row>
    <row r="50" spans="1:76" x14ac:dyDescent="0.25">
      <c r="A50" s="20" t="s">
        <v>77</v>
      </c>
      <c r="B50" s="21" t="str">
        <f>IF(Ujian!B57="","",Ujian!B57)</f>
        <v>  234691</v>
      </c>
      <c r="C50" s="57" t="str">
        <f>IF(Ujian!C57="","",Ujian!C57)</f>
        <v>  Norbaiti</v>
      </c>
      <c r="D50" s="125">
        <f>IF(Ujian!D57="","",IF(LEFT(Ujian!D57,1)=SEKOR!D$2,1,0))</f>
        <v>1</v>
      </c>
      <c r="E50" s="125">
        <f>IF(Ujian!E57="","",IF(LEFT(Ujian!E57,1)=SEKOR!E$2,1,0))</f>
        <v>1</v>
      </c>
      <c r="F50" s="125">
        <f>IF(Ujian!F57="","",IF(LEFT(Ujian!F57,1)=SEKOR!F$2,1,0))</f>
        <v>0</v>
      </c>
      <c r="G50" s="125">
        <f>IF(Ujian!G57="","",IF(LEFT(Ujian!G57,1)=SEKOR!G$2,1,0))</f>
        <v>1</v>
      </c>
      <c r="H50" s="125">
        <f>IF(Ujian!H57="","",IF(LEFT(Ujian!H57,1)=SEKOR!H$2,1,0))</f>
        <v>1</v>
      </c>
      <c r="I50" s="125">
        <f>IF(Ujian!I57="","",IF(LEFT(Ujian!I57,1)=SEKOR!I$2,1,0))</f>
        <v>0</v>
      </c>
      <c r="J50" s="125">
        <f>IF(Ujian!J57="","",IF(LEFT(Ujian!J57,1)=SEKOR!J$2,1,0))</f>
        <v>0</v>
      </c>
      <c r="K50" s="125" t="str">
        <f>IF(Ujian!K57="","",IF(LEFT(Ujian!K57,1)=SEKOR!K$2,1,0))</f>
        <v/>
      </c>
      <c r="L50" s="125">
        <f>IF(Ujian!L57="","",IF(LEFT(Ujian!L57,1)=SEKOR!L$2,1,0))</f>
        <v>1</v>
      </c>
      <c r="M50" s="125">
        <f>IF(Ujian!M57="","",IF(LEFT(Ujian!M57,1)=SEKOR!M$2,1,0))</f>
        <v>0</v>
      </c>
      <c r="N50" s="125">
        <f>IF(Ujian!N57="","",IF(LEFT(Ujian!N57,1)=SEKOR!N$2,1,0))</f>
        <v>0</v>
      </c>
      <c r="O50" s="125">
        <f>IF(Ujian!O57="","",IF(LEFT(Ujian!O57,1)=SEKOR!O$2,1,0))</f>
        <v>0</v>
      </c>
      <c r="P50" s="125">
        <f>IF(Ujian!P57="","",IF(LEFT(Ujian!P57,1)=SEKOR!P$2,1,0))</f>
        <v>1</v>
      </c>
      <c r="Q50" s="125" t="str">
        <f>IF(Ujian!Q57="","",IF(LEFT(Ujian!Q57,1)=SEKOR!Q$2,1,0))</f>
        <v/>
      </c>
      <c r="R50" s="125">
        <f>IF(Ujian!R57="","",IF(LEFT(Ujian!R57,1)=SEKOR!R$2,1,0))</f>
        <v>0</v>
      </c>
      <c r="S50" s="125">
        <f>IF(Ujian!S57="","",IF(LEFT(Ujian!S57,1)=SEKOR!S$2,1,0))</f>
        <v>1</v>
      </c>
      <c r="T50" s="125">
        <f>IF(Ujian!T57="","",IF(LEFT(Ujian!T57,1)=SEKOR!T$2,1,0))</f>
        <v>1</v>
      </c>
      <c r="U50" s="125" t="str">
        <f>IF(Ujian!U57="","",IF(LEFT(Ujian!U57,1)=SEKOR!U$2,1,0))</f>
        <v/>
      </c>
      <c r="V50" s="125">
        <f>IF(Ujian!V57="","",IF(LEFT(Ujian!V57,1)=SEKOR!V$2,1,0))</f>
        <v>1</v>
      </c>
      <c r="W50" s="125">
        <f>IF(Ujian!W57="","",IF(LEFT(Ujian!W57,1)=SEKOR!W$2,1,0))</f>
        <v>1</v>
      </c>
      <c r="X50" s="125">
        <f>IF(Ujian!X57="","",IF(LEFT(Ujian!X57,1)=SEKOR!X$2,1,0))</f>
        <v>1</v>
      </c>
      <c r="Y50" s="125">
        <f>IF(Ujian!Y57="","",IF(LEFT(Ujian!Y57,1)=SEKOR!Y$2,1,0))</f>
        <v>0</v>
      </c>
      <c r="Z50" s="125" t="str">
        <f>IF(Ujian!Z57="","",IF(LEFT(Ujian!Z57,1)=SEKOR!Z$2,1,0))</f>
        <v/>
      </c>
      <c r="AA50" s="125">
        <f>IF(Ujian!AA57="","",IF(LEFT(Ujian!AA57,1)=SEKOR!AA$2,1,0))</f>
        <v>0</v>
      </c>
      <c r="AB50" s="125">
        <f>IF(Ujian!AB57="","",IF(LEFT(Ujian!AB57,1)=SEKOR!AB$2,1,0))</f>
        <v>0</v>
      </c>
      <c r="AC50" s="125">
        <f>IF(Ujian!AC57="","",IF(LEFT(Ujian!AC57,1)=SEKOR!AC$2,1,0))</f>
        <v>1</v>
      </c>
      <c r="AD50" s="125">
        <f>IF(Ujian!AD57="","",IF(LEFT(Ujian!AD57,1)=SEKOR!AD$2,1,0))</f>
        <v>0</v>
      </c>
      <c r="AE50" s="125">
        <f>IF(Ujian!AE57="","",IF(LEFT(Ujian!AE57,1)=SEKOR!AE$2,1,0))</f>
        <v>1</v>
      </c>
      <c r="AF50" s="125">
        <f>IF(Ujian!AF57="","",IF(LEFT(Ujian!AF57,1)=SEKOR!AF$2,1,0))</f>
        <v>0</v>
      </c>
      <c r="AG50" s="125">
        <f>IF(Ujian!AG57="","",IF(LEFT(Ujian!AG57,1)=SEKOR!AG$2,1,0))</f>
        <v>1</v>
      </c>
      <c r="AH50" s="125">
        <f>IF(Ujian!AH57="","",IF(LEFT(Ujian!AH57,1)=SEKOR!AH$2,1,0))</f>
        <v>0</v>
      </c>
      <c r="AI50" s="125">
        <f>IF(Ujian!AI57="","",IF(LEFT(Ujian!AI57,1)=SEKOR!AI$2,1,0))</f>
        <v>1</v>
      </c>
      <c r="AJ50" s="125">
        <f>IF(Ujian!AJ57="","",IF(LEFT(Ujian!AJ57,1)=SEKOR!AJ$2,1,0))</f>
        <v>0</v>
      </c>
      <c r="AK50" s="125">
        <f>IF(Ujian!AK57="","",IF(LEFT(Ujian!AK57,1)=SEKOR!AK$2,1,0))</f>
        <v>0</v>
      </c>
      <c r="AL50" s="125">
        <f>IF(Ujian!AL57="","",IF(LEFT(Ujian!AL57,1)=SEKOR!AL$2,1,0))</f>
        <v>1</v>
      </c>
      <c r="AM50" s="125">
        <f>IF(Ujian!AM57="","",IF(LEFT(Ujian!AM57,1)=SEKOR!AM$2,1,0))</f>
        <v>0</v>
      </c>
      <c r="AN50" s="125">
        <f>IF(Ujian!AN57="","",IF(LEFT(Ujian!AN57,1)=SEKOR!AN$2,1,0))</f>
        <v>1</v>
      </c>
      <c r="AO50" s="125">
        <f>IF(Ujian!AO57="","",IF(LEFT(Ujian!AO57,1)=SEKOR!AO$2,1,0))</f>
        <v>0</v>
      </c>
      <c r="AP50" s="125" t="str">
        <f>IF(Ujian!AP57="","",IF(LEFT(Ujian!AP57,1)=SEKOR!AP$2,1,0))</f>
        <v/>
      </c>
      <c r="AQ50" s="125">
        <f>IF(Ujian!AQ57="","",IF(LEFT(Ujian!AQ57,1)=SEKOR!AQ$2,1,0))</f>
        <v>0</v>
      </c>
      <c r="AR50" s="125">
        <f>IF(Ujian!AR57="","",IF(LEFT(Ujian!AR57,1)=SEKOR!AR$2,1,0))</f>
        <v>1</v>
      </c>
      <c r="AS50" s="125">
        <f>IF(Ujian!AS57="","",IF(LEFT(Ujian!AS57,1)=SEKOR!AS$2,1,0))</f>
        <v>0</v>
      </c>
      <c r="AT50" s="125">
        <f>IF(Ujian!AT57="","",IF(LEFT(Ujian!AT57,1)=SEKOR!AT$2,1,0))</f>
        <v>1</v>
      </c>
      <c r="AU50" s="125">
        <f>IF(Ujian!AU57="","",IF(LEFT(Ujian!AU57,1)=SEKOR!AU$2,1,0))</f>
        <v>1</v>
      </c>
      <c r="AV50" s="125">
        <f>IF(Ujian!AV57="","",IF(LEFT(Ujian!AV57,1)=SEKOR!AV$2,1,0))</f>
        <v>1</v>
      </c>
      <c r="AW50" s="125" t="str">
        <f>IF(Ujian!AW57="","",IF(LEFT(Ujian!AW57,1)=SEKOR!AW$2,1,0))</f>
        <v/>
      </c>
      <c r="AX50" s="125" t="str">
        <f>IF(Ujian!AX57="","",IF(LEFT(Ujian!AX57,1)=SEKOR!AX$2,1,0))</f>
        <v/>
      </c>
      <c r="AY50" s="125" t="str">
        <f>IF(Ujian!AY57="","",IF(LEFT(Ujian!AY57,1)=SEKOR!AY$2,1,0))</f>
        <v/>
      </c>
      <c r="AZ50" s="125" t="str">
        <f>IF(Ujian!AZ57="","",IF(LEFT(Ujian!AZ57,1)=SEKOR!AZ$2,1,0))</f>
        <v/>
      </c>
      <c r="BA50" s="125" t="str">
        <f>IF(Ujian!BA57="","",IF(LEFT(Ujian!BA57,1)=SEKOR!BA$2,1,0))</f>
        <v/>
      </c>
      <c r="BB50" s="125" t="str">
        <f>IF(Ujian!BB57="","",IF(LEFT(Ujian!BB57,1)=SEKOR!BB$2,1,0))</f>
        <v/>
      </c>
      <c r="BC50" s="125" t="str">
        <f>IF(Ujian!BC57="","",IF(LEFT(Ujian!BC57,1)=SEKOR!BC$2,1,0))</f>
        <v/>
      </c>
      <c r="BD50" s="125" t="str">
        <f>IF(Ujian!BD57="","",IF(LEFT(Ujian!BD57,1)=SEKOR!BD$2,1,0))</f>
        <v/>
      </c>
      <c r="BE50" s="125" t="str">
        <f>IF(Ujian!BE57="","",IF(LEFT(Ujian!BE57,1)=SEKOR!BE$2,1,0))</f>
        <v/>
      </c>
      <c r="BF50" s="125" t="str">
        <f>IF(Ujian!BF57="","",IF(LEFT(Ujian!BF57,1)=SEKOR!BF$2,1,0))</f>
        <v/>
      </c>
      <c r="BG50" s="125" t="str">
        <f>IF(Ujian!BG57="","",IF(LEFT(Ujian!BG57,1)=SEKOR!BG$2,1,0))</f>
        <v/>
      </c>
      <c r="BH50" s="125" t="str">
        <f>IF(Ujian!BH57="","",IF(LEFT(Ujian!BH57,1)=SEKOR!BH$2,1,0))</f>
        <v/>
      </c>
      <c r="BI50" s="125" t="str">
        <f>IF(Ujian!BI57="","",IF(LEFT(Ujian!BI57,1)=SEKOR!BI$2,1,0))</f>
        <v/>
      </c>
      <c r="BJ50" s="125" t="str">
        <f>IF(Ujian!BJ57="","",IF(LEFT(Ujian!BJ57,1)=SEKOR!BJ$2,1,0))</f>
        <v/>
      </c>
      <c r="BK50" s="125" t="str">
        <f>IF(Ujian!BK57="","",IF(LEFT(Ujian!BK57,1)=SEKOR!BK$2,1,0))</f>
        <v/>
      </c>
      <c r="BL50" s="18">
        <f t="shared" si="0"/>
        <v>40</v>
      </c>
      <c r="BM50" s="18">
        <f>COUNTIF($D50:$BK50,"")+DATA!$F$14-DATA!$F$12</f>
        <v>20</v>
      </c>
      <c r="BN50" s="17">
        <f>IF(COUNTIF($D50:$BK50,1)&gt;DATA!$F$14,DATA!$F$14,COUNTIF($D50:$BK50,1))</f>
        <v>21</v>
      </c>
      <c r="BO50" s="17">
        <f>IF((BN50+COUNTIF($D50:$BK50,0))&lt;=DATA!$F$14,COUNTIF($D50:$BK50,0),DATA!$F$14-SEKOR!BN50)</f>
        <v>19</v>
      </c>
      <c r="BP50" s="4">
        <f>IF(BL50=0,"",BN50/DATA!$F$14*100)</f>
        <v>52.5</v>
      </c>
      <c r="BQ50" s="121">
        <f t="shared" si="1"/>
        <v>67.741935483870961</v>
      </c>
      <c r="BR50" s="2">
        <f>IF(Praktik!$E50=0,"",Praktik!$E50)</f>
        <v>90</v>
      </c>
      <c r="BS50" s="2">
        <f>IF(BR50="","",(BP50*DATAINFO!$O$4)+(SEKOR!BR50*DATAINFO!$O$5)/(DATAINFO!$O$4+DATAINFO!$O$5))</f>
        <v>82.5</v>
      </c>
      <c r="BT50" s="2">
        <f>IF(BL50=0,"",IF(DATA!$F$18="TIDAK",ROUNDUP((IF!$L$8*SEKOR!$BP50)+IF!$L$9,0),IF($BR50="","",ROUNDUP((IF!$L$20*$BS50)+IF!$L$21,0))))</f>
        <v>74</v>
      </c>
      <c r="BU50" s="47">
        <f>IF(BP50="","",IF(SEKOR!BP50&gt;=DATA!$J$12,1,0))</f>
        <v>0</v>
      </c>
      <c r="BV50" s="47">
        <f>IF(BQ50="","",IF(SEKOR!BQ50&gt;=DATA!$J$12,1,0))</f>
        <v>0</v>
      </c>
      <c r="BW50" s="47">
        <f>IF(BR50="","",IF(SEKOR!BR50&gt;=DATA!$J$12,1,0))</f>
        <v>1</v>
      </c>
      <c r="BX50" s="47">
        <f>IF(BT50="","",IF(DATA!$J$14="",IF(SEKOR!BT50&gt;=DATA!$J$12,1,0),IF(SEKOR!BT50&gt;=DATA!$J$14,1,0)))</f>
        <v>1</v>
      </c>
    </row>
    <row r="51" spans="1:76" x14ac:dyDescent="0.25">
      <c r="A51" s="20" t="s">
        <v>78</v>
      </c>
      <c r="B51" s="21" t="str">
        <f>IF(Ujian!B58="","",Ujian!B58)</f>
        <v>  234692</v>
      </c>
      <c r="C51" s="57" t="str">
        <f>IF(Ujian!C58="","",Ujian!C58)</f>
        <v>  Norsehan</v>
      </c>
      <c r="D51" s="125">
        <f>IF(Ujian!D58="","",IF(LEFT(Ujian!D58,1)=SEKOR!D$2,1,0))</f>
        <v>0</v>
      </c>
      <c r="E51" s="125">
        <f>IF(Ujian!E58="","",IF(LEFT(Ujian!E58,1)=SEKOR!E$2,1,0))</f>
        <v>0</v>
      </c>
      <c r="F51" s="125">
        <f>IF(Ujian!F58="","",IF(LEFT(Ujian!F58,1)=SEKOR!F$2,1,0))</f>
        <v>0</v>
      </c>
      <c r="G51" s="125">
        <f>IF(Ujian!G58="","",IF(LEFT(Ujian!G58,1)=SEKOR!G$2,1,0))</f>
        <v>1</v>
      </c>
      <c r="H51" s="125">
        <f>IF(Ujian!H58="","",IF(LEFT(Ujian!H58,1)=SEKOR!H$2,1,0))</f>
        <v>0</v>
      </c>
      <c r="I51" s="125">
        <f>IF(Ujian!I58="","",IF(LEFT(Ujian!I58,1)=SEKOR!I$2,1,0))</f>
        <v>0</v>
      </c>
      <c r="J51" s="125">
        <f>IF(Ujian!J58="","",IF(LEFT(Ujian!J58,1)=SEKOR!J$2,1,0))</f>
        <v>0</v>
      </c>
      <c r="K51" s="125">
        <f>IF(Ujian!K58="","",IF(LEFT(Ujian!K58,1)=SEKOR!K$2,1,0))</f>
        <v>0</v>
      </c>
      <c r="L51" s="125">
        <f>IF(Ujian!L58="","",IF(LEFT(Ujian!L58,1)=SEKOR!L$2,1,0))</f>
        <v>0</v>
      </c>
      <c r="M51" s="125">
        <f>IF(Ujian!M58="","",IF(LEFT(Ujian!M58,1)=SEKOR!M$2,1,0))</f>
        <v>0</v>
      </c>
      <c r="N51" s="125">
        <f>IF(Ujian!N58="","",IF(LEFT(Ujian!N58,1)=SEKOR!N$2,1,0))</f>
        <v>0</v>
      </c>
      <c r="O51" s="125">
        <f>IF(Ujian!O58="","",IF(LEFT(Ujian!O58,1)=SEKOR!O$2,1,0))</f>
        <v>0</v>
      </c>
      <c r="P51" s="125">
        <f>IF(Ujian!P58="","",IF(LEFT(Ujian!P58,1)=SEKOR!P$2,1,0))</f>
        <v>0</v>
      </c>
      <c r="Q51" s="125">
        <f>IF(Ujian!Q58="","",IF(LEFT(Ujian!Q58,1)=SEKOR!Q$2,1,0))</f>
        <v>0</v>
      </c>
      <c r="R51" s="125">
        <f>IF(Ujian!R58="","",IF(LEFT(Ujian!R58,1)=SEKOR!R$2,1,0))</f>
        <v>0</v>
      </c>
      <c r="S51" s="125">
        <f>IF(Ujian!S58="","",IF(LEFT(Ujian!S58,1)=SEKOR!S$2,1,0))</f>
        <v>1</v>
      </c>
      <c r="T51" s="125">
        <f>IF(Ujian!T58="","",IF(LEFT(Ujian!T58,1)=SEKOR!T$2,1,0))</f>
        <v>0</v>
      </c>
      <c r="U51" s="125">
        <f>IF(Ujian!U58="","",IF(LEFT(Ujian!U58,1)=SEKOR!U$2,1,0))</f>
        <v>0</v>
      </c>
      <c r="V51" s="125">
        <f>IF(Ujian!V58="","",IF(LEFT(Ujian!V58,1)=SEKOR!V$2,1,0))</f>
        <v>1</v>
      </c>
      <c r="W51" s="125">
        <f>IF(Ujian!W58="","",IF(LEFT(Ujian!W58,1)=SEKOR!W$2,1,0))</f>
        <v>0</v>
      </c>
      <c r="X51" s="125">
        <f>IF(Ujian!X58="","",IF(LEFT(Ujian!X58,1)=SEKOR!X$2,1,0))</f>
        <v>0</v>
      </c>
      <c r="Y51" s="125">
        <f>IF(Ujian!Y58="","",IF(LEFT(Ujian!Y58,1)=SEKOR!Y$2,1,0))</f>
        <v>0</v>
      </c>
      <c r="Z51" s="125">
        <f>IF(Ujian!Z58="","",IF(LEFT(Ujian!Z58,1)=SEKOR!Z$2,1,0))</f>
        <v>0</v>
      </c>
      <c r="AA51" s="125">
        <f>IF(Ujian!AA58="","",IF(LEFT(Ujian!AA58,1)=SEKOR!AA$2,1,0))</f>
        <v>0</v>
      </c>
      <c r="AB51" s="125" t="str">
        <f>IF(Ujian!AB58="","",IF(LEFT(Ujian!AB58,1)=SEKOR!AB$2,1,0))</f>
        <v/>
      </c>
      <c r="AC51" s="125">
        <f>IF(Ujian!AC58="","",IF(LEFT(Ujian!AC58,1)=SEKOR!AC$2,1,0))</f>
        <v>0</v>
      </c>
      <c r="AD51" s="125">
        <f>IF(Ujian!AD58="","",IF(LEFT(Ujian!AD58,1)=SEKOR!AD$2,1,0))</f>
        <v>1</v>
      </c>
      <c r="AE51" s="125">
        <f>IF(Ujian!AE58="","",IF(LEFT(Ujian!AE58,1)=SEKOR!AE$2,1,0))</f>
        <v>0</v>
      </c>
      <c r="AF51" s="125">
        <f>IF(Ujian!AF58="","",IF(LEFT(Ujian!AF58,1)=SEKOR!AF$2,1,0))</f>
        <v>0</v>
      </c>
      <c r="AG51" s="125">
        <f>IF(Ujian!AG58="","",IF(LEFT(Ujian!AG58,1)=SEKOR!AG$2,1,0))</f>
        <v>1</v>
      </c>
      <c r="AH51" s="125">
        <f>IF(Ujian!AH58="","",IF(LEFT(Ujian!AH58,1)=SEKOR!AH$2,1,0))</f>
        <v>0</v>
      </c>
      <c r="AI51" s="125">
        <f>IF(Ujian!AI58="","",IF(LEFT(Ujian!AI58,1)=SEKOR!AI$2,1,0))</f>
        <v>0</v>
      </c>
      <c r="AJ51" s="125">
        <f>IF(Ujian!AJ58="","",IF(LEFT(Ujian!AJ58,1)=SEKOR!AJ$2,1,0))</f>
        <v>1</v>
      </c>
      <c r="AK51" s="125">
        <f>IF(Ujian!AK58="","",IF(LEFT(Ujian!AK58,1)=SEKOR!AK$2,1,0))</f>
        <v>1</v>
      </c>
      <c r="AL51" s="125" t="str">
        <f>IF(Ujian!AL58="","",IF(LEFT(Ujian!AL58,1)=SEKOR!AL$2,1,0))</f>
        <v/>
      </c>
      <c r="AM51" s="125">
        <f>IF(Ujian!AM58="","",IF(LEFT(Ujian!AM58,1)=SEKOR!AM$2,1,0))</f>
        <v>0</v>
      </c>
      <c r="AN51" s="125">
        <f>IF(Ujian!AN58="","",IF(LEFT(Ujian!AN58,1)=SEKOR!AN$2,1,0))</f>
        <v>0</v>
      </c>
      <c r="AO51" s="125">
        <f>IF(Ujian!AO58="","",IF(LEFT(Ujian!AO58,1)=SEKOR!AO$2,1,0))</f>
        <v>0</v>
      </c>
      <c r="AP51" s="125" t="str">
        <f>IF(Ujian!AP58="","",IF(LEFT(Ujian!AP58,1)=SEKOR!AP$2,1,0))</f>
        <v/>
      </c>
      <c r="AQ51" s="125" t="str">
        <f>IF(Ujian!AQ58="","",IF(LEFT(Ujian!AQ58,1)=SEKOR!AQ$2,1,0))</f>
        <v/>
      </c>
      <c r="AR51" s="125">
        <f>IF(Ujian!AR58="","",IF(LEFT(Ujian!AR58,1)=SEKOR!AR$2,1,0))</f>
        <v>0</v>
      </c>
      <c r="AS51" s="125" t="str">
        <f>IF(Ujian!AS58="","",IF(LEFT(Ujian!AS58,1)=SEKOR!AS$2,1,0))</f>
        <v/>
      </c>
      <c r="AT51" s="125">
        <f>IF(Ujian!AT58="","",IF(LEFT(Ujian!AT58,1)=SEKOR!AT$2,1,0))</f>
        <v>0</v>
      </c>
      <c r="AU51" s="125">
        <f>IF(Ujian!AU58="","",IF(LEFT(Ujian!AU58,1)=SEKOR!AU$2,1,0))</f>
        <v>0</v>
      </c>
      <c r="AV51" s="125">
        <f>IF(Ujian!AV58="","",IF(LEFT(Ujian!AV58,1)=SEKOR!AV$2,1,0))</f>
        <v>0</v>
      </c>
      <c r="AW51" s="125" t="str">
        <f>IF(Ujian!AW58="","",IF(LEFT(Ujian!AW58,1)=SEKOR!AW$2,1,0))</f>
        <v/>
      </c>
      <c r="AX51" s="125" t="str">
        <f>IF(Ujian!AX58="","",IF(LEFT(Ujian!AX58,1)=SEKOR!AX$2,1,0))</f>
        <v/>
      </c>
      <c r="AY51" s="125" t="str">
        <f>IF(Ujian!AY58="","",IF(LEFT(Ujian!AY58,1)=SEKOR!AY$2,1,0))</f>
        <v/>
      </c>
      <c r="AZ51" s="125" t="str">
        <f>IF(Ujian!AZ58="","",IF(LEFT(Ujian!AZ58,1)=SEKOR!AZ$2,1,0))</f>
        <v/>
      </c>
      <c r="BA51" s="125" t="str">
        <f>IF(Ujian!BA58="","",IF(LEFT(Ujian!BA58,1)=SEKOR!BA$2,1,0))</f>
        <v/>
      </c>
      <c r="BB51" s="125" t="str">
        <f>IF(Ujian!BB58="","",IF(LEFT(Ujian!BB58,1)=SEKOR!BB$2,1,0))</f>
        <v/>
      </c>
      <c r="BC51" s="125" t="str">
        <f>IF(Ujian!BC58="","",IF(LEFT(Ujian!BC58,1)=SEKOR!BC$2,1,0))</f>
        <v/>
      </c>
      <c r="BD51" s="125" t="str">
        <f>IF(Ujian!BD58="","",IF(LEFT(Ujian!BD58,1)=SEKOR!BD$2,1,0))</f>
        <v/>
      </c>
      <c r="BE51" s="125" t="str">
        <f>IF(Ujian!BE58="","",IF(LEFT(Ujian!BE58,1)=SEKOR!BE$2,1,0))</f>
        <v/>
      </c>
      <c r="BF51" s="125" t="str">
        <f>IF(Ujian!BF58="","",IF(LEFT(Ujian!BF58,1)=SEKOR!BF$2,1,0))</f>
        <v/>
      </c>
      <c r="BG51" s="125" t="str">
        <f>IF(Ujian!BG58="","",IF(LEFT(Ujian!BG58,1)=SEKOR!BG$2,1,0))</f>
        <v/>
      </c>
      <c r="BH51" s="125" t="str">
        <f>IF(Ujian!BH58="","",IF(LEFT(Ujian!BH58,1)=SEKOR!BH$2,1,0))</f>
        <v/>
      </c>
      <c r="BI51" s="125" t="str">
        <f>IF(Ujian!BI58="","",IF(LEFT(Ujian!BI58,1)=SEKOR!BI$2,1,0))</f>
        <v/>
      </c>
      <c r="BJ51" s="125" t="str">
        <f>IF(Ujian!BJ58="","",IF(LEFT(Ujian!BJ58,1)=SEKOR!BJ$2,1,0))</f>
        <v/>
      </c>
      <c r="BK51" s="125" t="str">
        <f>IF(Ujian!BK58="","",IF(LEFT(Ujian!BK58,1)=SEKOR!BK$2,1,0))</f>
        <v/>
      </c>
      <c r="BL51" s="18">
        <f t="shared" si="0"/>
        <v>40</v>
      </c>
      <c r="BM51" s="18">
        <f>COUNTIF($D51:$BK51,"")+DATA!$F$14-DATA!$F$12</f>
        <v>20</v>
      </c>
      <c r="BN51" s="17">
        <f>IF(COUNTIF($D51:$BK51,1)&gt;DATA!$F$14,DATA!$F$14,COUNTIF($D51:$BK51,1))</f>
        <v>7</v>
      </c>
      <c r="BO51" s="17">
        <f>IF((BN51+COUNTIF($D51:$BK51,0))&lt;=DATA!$F$14,COUNTIF($D51:$BK51,0),DATA!$F$14-SEKOR!BN51)</f>
        <v>33</v>
      </c>
      <c r="BP51" s="4">
        <f>IF(BL51=0,"",BN51/DATA!$F$14*100)</f>
        <v>17.5</v>
      </c>
      <c r="BQ51" s="121">
        <f t="shared" si="1"/>
        <v>22.58064516129032</v>
      </c>
      <c r="BR51" s="2">
        <f>IF(Praktik!$E51=0,"",Praktik!$E51)</f>
        <v>90</v>
      </c>
      <c r="BS51" s="2">
        <f>IF(BR51="","",(BP51*DATAINFO!$O$4)+(SEKOR!BR51*DATAINFO!$O$5)/(DATAINFO!$O$4+DATAINFO!$O$5))</f>
        <v>47.5</v>
      </c>
      <c r="BT51" s="2">
        <f>IF(BL51=0,"",IF(DATA!$F$18="TIDAK",ROUNDUP((IF!$L$8*SEKOR!$BP51)+IF!$L$9,0),IF($BR51="","",ROUNDUP((IF!$L$20*$BS51)+IF!$L$21,0))))</f>
        <v>50</v>
      </c>
      <c r="BU51" s="47">
        <f>IF(BP51="","",IF(SEKOR!BP51&gt;=DATA!$J$12,1,0))</f>
        <v>0</v>
      </c>
      <c r="BV51" s="47">
        <f>IF(BQ51="","",IF(SEKOR!BQ51&gt;=DATA!$J$12,1,0))</f>
        <v>0</v>
      </c>
      <c r="BW51" s="47">
        <f>IF(BR51="","",IF(SEKOR!BR51&gt;=DATA!$J$12,1,0))</f>
        <v>1</v>
      </c>
      <c r="BX51" s="47">
        <f>IF(BT51="","",IF(DATA!$J$14="",IF(SEKOR!BT51&gt;=DATA!$J$12,1,0),IF(SEKOR!BT51&gt;=DATA!$J$14,1,0)))</f>
        <v>0</v>
      </c>
    </row>
    <row r="52" spans="1:76" x14ac:dyDescent="0.25">
      <c r="A52" s="20" t="s">
        <v>79</v>
      </c>
      <c r="B52" s="21" t="str">
        <f>IF(Ujian!B59="","",Ujian!B59)</f>
        <v>  234699</v>
      </c>
      <c r="C52" s="57" t="str">
        <f>IF(Ujian!C59="","",Ujian!C59)</f>
        <v>  Padil Anwar</v>
      </c>
      <c r="D52" s="125">
        <f>IF(Ujian!D59="","",IF(LEFT(Ujian!D59,1)=SEKOR!D$2,1,0))</f>
        <v>1</v>
      </c>
      <c r="E52" s="125" t="str">
        <f>IF(Ujian!E59="","",IF(LEFT(Ujian!E59,1)=SEKOR!E$2,1,0))</f>
        <v/>
      </c>
      <c r="F52" s="125">
        <f>IF(Ujian!F59="","",IF(LEFT(Ujian!F59,1)=SEKOR!F$2,1,0))</f>
        <v>0</v>
      </c>
      <c r="G52" s="125">
        <f>IF(Ujian!G59="","",IF(LEFT(Ujian!G59,1)=SEKOR!G$2,1,0))</f>
        <v>1</v>
      </c>
      <c r="H52" s="125">
        <f>IF(Ujian!H59="","",IF(LEFT(Ujian!H59,1)=SEKOR!H$2,1,0))</f>
        <v>0</v>
      </c>
      <c r="I52" s="125">
        <f>IF(Ujian!I59="","",IF(LEFT(Ujian!I59,1)=SEKOR!I$2,1,0))</f>
        <v>0</v>
      </c>
      <c r="J52" s="125">
        <f>IF(Ujian!J59="","",IF(LEFT(Ujian!J59,1)=SEKOR!J$2,1,0))</f>
        <v>0</v>
      </c>
      <c r="K52" s="125">
        <f>IF(Ujian!K59="","",IF(LEFT(Ujian!K59,1)=SEKOR!K$2,1,0))</f>
        <v>1</v>
      </c>
      <c r="L52" s="125">
        <f>IF(Ujian!L59="","",IF(LEFT(Ujian!L59,1)=SEKOR!L$2,1,0))</f>
        <v>0</v>
      </c>
      <c r="M52" s="125">
        <f>IF(Ujian!M59="","",IF(LEFT(Ujian!M59,1)=SEKOR!M$2,1,0))</f>
        <v>0</v>
      </c>
      <c r="N52" s="125">
        <f>IF(Ujian!N59="","",IF(LEFT(Ujian!N59,1)=SEKOR!N$2,1,0))</f>
        <v>0</v>
      </c>
      <c r="O52" s="125">
        <f>IF(Ujian!O59="","",IF(LEFT(Ujian!O59,1)=SEKOR!O$2,1,0))</f>
        <v>0</v>
      </c>
      <c r="P52" s="125">
        <f>IF(Ujian!P59="","",IF(LEFT(Ujian!P59,1)=SEKOR!P$2,1,0))</f>
        <v>0</v>
      </c>
      <c r="Q52" s="125">
        <f>IF(Ujian!Q59="","",IF(LEFT(Ujian!Q59,1)=SEKOR!Q$2,1,0))</f>
        <v>0</v>
      </c>
      <c r="R52" s="125">
        <f>IF(Ujian!R59="","",IF(LEFT(Ujian!R59,1)=SEKOR!R$2,1,0))</f>
        <v>0</v>
      </c>
      <c r="S52" s="125">
        <f>IF(Ujian!S59="","",IF(LEFT(Ujian!S59,1)=SEKOR!S$2,1,0))</f>
        <v>1</v>
      </c>
      <c r="T52" s="125" t="str">
        <f>IF(Ujian!T59="","",IF(LEFT(Ujian!T59,1)=SEKOR!T$2,1,0))</f>
        <v/>
      </c>
      <c r="U52" s="125">
        <f>IF(Ujian!U59="","",IF(LEFT(Ujian!U59,1)=SEKOR!U$2,1,0))</f>
        <v>0</v>
      </c>
      <c r="V52" s="125">
        <f>IF(Ujian!V59="","",IF(LEFT(Ujian!V59,1)=SEKOR!V$2,1,0))</f>
        <v>0</v>
      </c>
      <c r="W52" s="125">
        <f>IF(Ujian!W59="","",IF(LEFT(Ujian!W59,1)=SEKOR!W$2,1,0))</f>
        <v>0</v>
      </c>
      <c r="X52" s="125">
        <f>IF(Ujian!X59="","",IF(LEFT(Ujian!X59,1)=SEKOR!X$2,1,0))</f>
        <v>0</v>
      </c>
      <c r="Y52" s="125">
        <f>IF(Ujian!Y59="","",IF(LEFT(Ujian!Y59,1)=SEKOR!Y$2,1,0))</f>
        <v>0</v>
      </c>
      <c r="Z52" s="125">
        <f>IF(Ujian!Z59="","",IF(LEFT(Ujian!Z59,1)=SEKOR!Z$2,1,0))</f>
        <v>1</v>
      </c>
      <c r="AA52" s="125">
        <f>IF(Ujian!AA59="","",IF(LEFT(Ujian!AA59,1)=SEKOR!AA$2,1,0))</f>
        <v>1</v>
      </c>
      <c r="AB52" s="125">
        <f>IF(Ujian!AB59="","",IF(LEFT(Ujian!AB59,1)=SEKOR!AB$2,1,0))</f>
        <v>0</v>
      </c>
      <c r="AC52" s="125">
        <f>IF(Ujian!AC59="","",IF(LEFT(Ujian!AC59,1)=SEKOR!AC$2,1,0))</f>
        <v>0</v>
      </c>
      <c r="AD52" s="125">
        <f>IF(Ujian!AD59="","",IF(LEFT(Ujian!AD59,1)=SEKOR!AD$2,1,0))</f>
        <v>0</v>
      </c>
      <c r="AE52" s="125" t="str">
        <f>IF(Ujian!AE59="","",IF(LEFT(Ujian!AE59,1)=SEKOR!AE$2,1,0))</f>
        <v/>
      </c>
      <c r="AF52" s="125">
        <f>IF(Ujian!AF59="","",IF(LEFT(Ujian!AF59,1)=SEKOR!AF$2,1,0))</f>
        <v>0</v>
      </c>
      <c r="AG52" s="125">
        <f>IF(Ujian!AG59="","",IF(LEFT(Ujian!AG59,1)=SEKOR!AG$2,1,0))</f>
        <v>0</v>
      </c>
      <c r="AH52" s="125">
        <f>IF(Ujian!AH59="","",IF(LEFT(Ujian!AH59,1)=SEKOR!AH$2,1,0))</f>
        <v>0</v>
      </c>
      <c r="AI52" s="125">
        <f>IF(Ujian!AI59="","",IF(LEFT(Ujian!AI59,1)=SEKOR!AI$2,1,0))</f>
        <v>0</v>
      </c>
      <c r="AJ52" s="125">
        <f>IF(Ujian!AJ59="","",IF(LEFT(Ujian!AJ59,1)=SEKOR!AJ$2,1,0))</f>
        <v>1</v>
      </c>
      <c r="AK52" s="125" t="str">
        <f>IF(Ujian!AK59="","",IF(LEFT(Ujian!AK59,1)=SEKOR!AK$2,1,0))</f>
        <v/>
      </c>
      <c r="AL52" s="125">
        <f>IF(Ujian!AL59="","",IF(LEFT(Ujian!AL59,1)=SEKOR!AL$2,1,0))</f>
        <v>0</v>
      </c>
      <c r="AM52" s="125">
        <f>IF(Ujian!AM59="","",IF(LEFT(Ujian!AM59,1)=SEKOR!AM$2,1,0))</f>
        <v>0</v>
      </c>
      <c r="AN52" s="125">
        <f>IF(Ujian!AN59="","",IF(LEFT(Ujian!AN59,1)=SEKOR!AN$2,1,0))</f>
        <v>1</v>
      </c>
      <c r="AO52" s="125">
        <f>IF(Ujian!AO59="","",IF(LEFT(Ujian!AO59,1)=SEKOR!AO$2,1,0))</f>
        <v>0</v>
      </c>
      <c r="AP52" s="125">
        <f>IF(Ujian!AP59="","",IF(LEFT(Ujian!AP59,1)=SEKOR!AP$2,1,0))</f>
        <v>1</v>
      </c>
      <c r="AQ52" s="125">
        <f>IF(Ujian!AQ59="","",IF(LEFT(Ujian!AQ59,1)=SEKOR!AQ$2,1,0))</f>
        <v>0</v>
      </c>
      <c r="AR52" s="125" t="str">
        <f>IF(Ujian!AR59="","",IF(LEFT(Ujian!AR59,1)=SEKOR!AR$2,1,0))</f>
        <v/>
      </c>
      <c r="AS52" s="125">
        <f>IF(Ujian!AS59="","",IF(LEFT(Ujian!AS59,1)=SEKOR!AS$2,1,0))</f>
        <v>1</v>
      </c>
      <c r="AT52" s="125">
        <f>IF(Ujian!AT59="","",IF(LEFT(Ujian!AT59,1)=SEKOR!AT$2,1,0))</f>
        <v>0</v>
      </c>
      <c r="AU52" s="125">
        <f>IF(Ujian!AU59="","",IF(LEFT(Ujian!AU59,1)=SEKOR!AU$2,1,0))</f>
        <v>1</v>
      </c>
      <c r="AV52" s="125">
        <f>IF(Ujian!AV59="","",IF(LEFT(Ujian!AV59,1)=SEKOR!AV$2,1,0))</f>
        <v>1</v>
      </c>
      <c r="AW52" s="125" t="str">
        <f>IF(Ujian!AW59="","",IF(LEFT(Ujian!AW59,1)=SEKOR!AW$2,1,0))</f>
        <v/>
      </c>
      <c r="AX52" s="125" t="str">
        <f>IF(Ujian!AX59="","",IF(LEFT(Ujian!AX59,1)=SEKOR!AX$2,1,0))</f>
        <v/>
      </c>
      <c r="AY52" s="125" t="str">
        <f>IF(Ujian!AY59="","",IF(LEFT(Ujian!AY59,1)=SEKOR!AY$2,1,0))</f>
        <v/>
      </c>
      <c r="AZ52" s="125" t="str">
        <f>IF(Ujian!AZ59="","",IF(LEFT(Ujian!AZ59,1)=SEKOR!AZ$2,1,0))</f>
        <v/>
      </c>
      <c r="BA52" s="125" t="str">
        <f>IF(Ujian!BA59="","",IF(LEFT(Ujian!BA59,1)=SEKOR!BA$2,1,0))</f>
        <v/>
      </c>
      <c r="BB52" s="125" t="str">
        <f>IF(Ujian!BB59="","",IF(LEFT(Ujian!BB59,1)=SEKOR!BB$2,1,0))</f>
        <v/>
      </c>
      <c r="BC52" s="125" t="str">
        <f>IF(Ujian!BC59="","",IF(LEFT(Ujian!BC59,1)=SEKOR!BC$2,1,0))</f>
        <v/>
      </c>
      <c r="BD52" s="125" t="str">
        <f>IF(Ujian!BD59="","",IF(LEFT(Ujian!BD59,1)=SEKOR!BD$2,1,0))</f>
        <v/>
      </c>
      <c r="BE52" s="125" t="str">
        <f>IF(Ujian!BE59="","",IF(LEFT(Ujian!BE59,1)=SEKOR!BE$2,1,0))</f>
        <v/>
      </c>
      <c r="BF52" s="125" t="str">
        <f>IF(Ujian!BF59="","",IF(LEFT(Ujian!BF59,1)=SEKOR!BF$2,1,0))</f>
        <v/>
      </c>
      <c r="BG52" s="125" t="str">
        <f>IF(Ujian!BG59="","",IF(LEFT(Ujian!BG59,1)=SEKOR!BG$2,1,0))</f>
        <v/>
      </c>
      <c r="BH52" s="125" t="str">
        <f>IF(Ujian!BH59="","",IF(LEFT(Ujian!BH59,1)=SEKOR!BH$2,1,0))</f>
        <v/>
      </c>
      <c r="BI52" s="125" t="str">
        <f>IF(Ujian!BI59="","",IF(LEFT(Ujian!BI59,1)=SEKOR!BI$2,1,0))</f>
        <v/>
      </c>
      <c r="BJ52" s="125" t="str">
        <f>IF(Ujian!BJ59="","",IF(LEFT(Ujian!BJ59,1)=SEKOR!BJ$2,1,0))</f>
        <v/>
      </c>
      <c r="BK52" s="125" t="str">
        <f>IF(Ujian!BK59="","",IF(LEFT(Ujian!BK59,1)=SEKOR!BK$2,1,0))</f>
        <v/>
      </c>
      <c r="BL52" s="18">
        <f t="shared" si="0"/>
        <v>40</v>
      </c>
      <c r="BM52" s="18">
        <f>COUNTIF($D52:$BK52,"")+DATA!$F$14-DATA!$F$12</f>
        <v>20</v>
      </c>
      <c r="BN52" s="17">
        <f>IF(COUNTIF($D52:$BK52,1)&gt;DATA!$F$14,DATA!$F$14,COUNTIF($D52:$BK52,1))</f>
        <v>12</v>
      </c>
      <c r="BO52" s="17">
        <f>IF((BN52+COUNTIF($D52:$BK52,0))&lt;=DATA!$F$14,COUNTIF($D52:$BK52,0),DATA!$F$14-SEKOR!BN52)</f>
        <v>28</v>
      </c>
      <c r="BP52" s="4">
        <f>IF(BL52=0,"",BN52/DATA!$F$14*100)</f>
        <v>30</v>
      </c>
      <c r="BQ52" s="121">
        <f t="shared" si="1"/>
        <v>38.70967741935484</v>
      </c>
      <c r="BR52" s="2">
        <f>IF(Praktik!$E52=0,"",Praktik!$E52)</f>
        <v>90</v>
      </c>
      <c r="BS52" s="2">
        <f>IF(BR52="","",(BP52*DATAINFO!$O$4)+(SEKOR!BR52*DATAINFO!$O$5)/(DATAINFO!$O$4+DATAINFO!$O$5))</f>
        <v>60</v>
      </c>
      <c r="BT52" s="2">
        <f>IF(BL52=0,"",IF(DATA!$F$18="TIDAK",ROUNDUP((IF!$L$8*SEKOR!$BP52)+IF!$L$9,0),IF($BR52="","",ROUNDUP((IF!$L$20*$BS52)+IF!$L$21,0))))</f>
        <v>59</v>
      </c>
      <c r="BU52" s="47">
        <f>IF(BP52="","",IF(SEKOR!BP52&gt;=DATA!$J$12,1,0))</f>
        <v>0</v>
      </c>
      <c r="BV52" s="47">
        <f>IF(BQ52="","",IF(SEKOR!BQ52&gt;=DATA!$J$12,1,0))</f>
        <v>0</v>
      </c>
      <c r="BW52" s="47">
        <f>IF(BR52="","",IF(SEKOR!BR52&gt;=DATA!$J$12,1,0))</f>
        <v>1</v>
      </c>
      <c r="BX52" s="47">
        <f>IF(BT52="","",IF(DATA!$J$14="",IF(SEKOR!BT52&gt;=DATA!$J$12,1,0),IF(SEKOR!BT52&gt;=DATA!$J$14,1,0)))</f>
        <v>0</v>
      </c>
    </row>
    <row r="53" spans="1:76" x14ac:dyDescent="0.25">
      <c r="A53" s="20" t="s">
        <v>80</v>
      </c>
      <c r="B53" s="21" t="str">
        <f>IF(Ujian!B60="","",Ujian!B60)</f>
        <v>  234702</v>
      </c>
      <c r="C53" s="57" t="str">
        <f>IF(Ujian!C60="","",Ujian!C60)</f>
        <v>  Rafi Ahmad</v>
      </c>
      <c r="D53" s="125">
        <f>IF(Ujian!D60="","",IF(LEFT(Ujian!D60,1)=SEKOR!D$2,1,0))</f>
        <v>1</v>
      </c>
      <c r="E53" s="125">
        <f>IF(Ujian!E60="","",IF(LEFT(Ujian!E60,1)=SEKOR!E$2,1,0))</f>
        <v>0</v>
      </c>
      <c r="F53" s="125" t="str">
        <f>IF(Ujian!F60="","",IF(LEFT(Ujian!F60,1)=SEKOR!F$2,1,0))</f>
        <v/>
      </c>
      <c r="G53" s="125">
        <f>IF(Ujian!G60="","",IF(LEFT(Ujian!G60,1)=SEKOR!G$2,1,0))</f>
        <v>1</v>
      </c>
      <c r="H53" s="125" t="str">
        <f>IF(Ujian!H60="","",IF(LEFT(Ujian!H60,1)=SEKOR!H$2,1,0))</f>
        <v/>
      </c>
      <c r="I53" s="125">
        <f>IF(Ujian!I60="","",IF(LEFT(Ujian!I60,1)=SEKOR!I$2,1,0))</f>
        <v>1</v>
      </c>
      <c r="J53" s="125">
        <f>IF(Ujian!J60="","",IF(LEFT(Ujian!J60,1)=SEKOR!J$2,1,0))</f>
        <v>1</v>
      </c>
      <c r="K53" s="125">
        <f>IF(Ujian!K60="","",IF(LEFT(Ujian!K60,1)=SEKOR!K$2,1,0))</f>
        <v>0</v>
      </c>
      <c r="L53" s="125">
        <f>IF(Ujian!L60="","",IF(LEFT(Ujian!L60,1)=SEKOR!L$2,1,0))</f>
        <v>1</v>
      </c>
      <c r="M53" s="125">
        <f>IF(Ujian!M60="","",IF(LEFT(Ujian!M60,1)=SEKOR!M$2,1,0))</f>
        <v>1</v>
      </c>
      <c r="N53" s="125">
        <f>IF(Ujian!N60="","",IF(LEFT(Ujian!N60,1)=SEKOR!N$2,1,0))</f>
        <v>0</v>
      </c>
      <c r="O53" s="125">
        <f>IF(Ujian!O60="","",IF(LEFT(Ujian!O60,1)=SEKOR!O$2,1,0))</f>
        <v>0</v>
      </c>
      <c r="P53" s="125">
        <f>IF(Ujian!P60="","",IF(LEFT(Ujian!P60,1)=SEKOR!P$2,1,0))</f>
        <v>1</v>
      </c>
      <c r="Q53" s="125">
        <f>IF(Ujian!Q60="","",IF(LEFT(Ujian!Q60,1)=SEKOR!Q$2,1,0))</f>
        <v>1</v>
      </c>
      <c r="R53" s="125">
        <f>IF(Ujian!R60="","",IF(LEFT(Ujian!R60,1)=SEKOR!R$2,1,0))</f>
        <v>0</v>
      </c>
      <c r="S53" s="125">
        <f>IF(Ujian!S60="","",IF(LEFT(Ujian!S60,1)=SEKOR!S$2,1,0))</f>
        <v>0</v>
      </c>
      <c r="T53" s="125" t="str">
        <f>IF(Ujian!T60="","",IF(LEFT(Ujian!T60,1)=SEKOR!T$2,1,0))</f>
        <v/>
      </c>
      <c r="U53" s="125">
        <f>IF(Ujian!U60="","",IF(LEFT(Ujian!U60,1)=SEKOR!U$2,1,0))</f>
        <v>1</v>
      </c>
      <c r="V53" s="125">
        <f>IF(Ujian!V60="","",IF(LEFT(Ujian!V60,1)=SEKOR!V$2,1,0))</f>
        <v>1</v>
      </c>
      <c r="W53" s="125">
        <f>IF(Ujian!W60="","",IF(LEFT(Ujian!W60,1)=SEKOR!W$2,1,0))</f>
        <v>1</v>
      </c>
      <c r="X53" s="125">
        <f>IF(Ujian!X60="","",IF(LEFT(Ujian!X60,1)=SEKOR!X$2,1,0))</f>
        <v>0</v>
      </c>
      <c r="Y53" s="125">
        <f>IF(Ujian!Y60="","",IF(LEFT(Ujian!Y60,1)=SEKOR!Y$2,1,0))</f>
        <v>1</v>
      </c>
      <c r="Z53" s="125">
        <f>IF(Ujian!Z60="","",IF(LEFT(Ujian!Z60,1)=SEKOR!Z$2,1,0))</f>
        <v>1</v>
      </c>
      <c r="AA53" s="125">
        <f>IF(Ujian!AA60="","",IF(LEFT(Ujian!AA60,1)=SEKOR!AA$2,1,0))</f>
        <v>1</v>
      </c>
      <c r="AB53" s="125" t="str">
        <f>IF(Ujian!AB60="","",IF(LEFT(Ujian!AB60,1)=SEKOR!AB$2,1,0))</f>
        <v/>
      </c>
      <c r="AC53" s="125">
        <f>IF(Ujian!AC60="","",IF(LEFT(Ujian!AC60,1)=SEKOR!AC$2,1,0))</f>
        <v>1</v>
      </c>
      <c r="AD53" s="125">
        <f>IF(Ujian!AD60="","",IF(LEFT(Ujian!AD60,1)=SEKOR!AD$2,1,0))</f>
        <v>0</v>
      </c>
      <c r="AE53" s="125">
        <f>IF(Ujian!AE60="","",IF(LEFT(Ujian!AE60,1)=SEKOR!AE$2,1,0))</f>
        <v>1</v>
      </c>
      <c r="AF53" s="125">
        <f>IF(Ujian!AF60="","",IF(LEFT(Ujian!AF60,1)=SEKOR!AF$2,1,0))</f>
        <v>1</v>
      </c>
      <c r="AG53" s="125">
        <f>IF(Ujian!AG60="","",IF(LEFT(Ujian!AG60,1)=SEKOR!AG$2,1,0))</f>
        <v>0</v>
      </c>
      <c r="AH53" s="125">
        <f>IF(Ujian!AH60="","",IF(LEFT(Ujian!AH60,1)=SEKOR!AH$2,1,0))</f>
        <v>0</v>
      </c>
      <c r="AI53" s="125">
        <f>IF(Ujian!AI60="","",IF(LEFT(Ujian!AI60,1)=SEKOR!AI$2,1,0))</f>
        <v>1</v>
      </c>
      <c r="AJ53" s="125">
        <f>IF(Ujian!AJ60="","",IF(LEFT(Ujian!AJ60,1)=SEKOR!AJ$2,1,0))</f>
        <v>0</v>
      </c>
      <c r="AK53" s="125" t="str">
        <f>IF(Ujian!AK60="","",IF(LEFT(Ujian!AK60,1)=SEKOR!AK$2,1,0))</f>
        <v/>
      </c>
      <c r="AL53" s="125">
        <f>IF(Ujian!AL60="","",IF(LEFT(Ujian!AL60,1)=SEKOR!AL$2,1,0))</f>
        <v>1</v>
      </c>
      <c r="AM53" s="125">
        <f>IF(Ujian!AM60="","",IF(LEFT(Ujian!AM60,1)=SEKOR!AM$2,1,0))</f>
        <v>0</v>
      </c>
      <c r="AN53" s="125">
        <f>IF(Ujian!AN60="","",IF(LEFT(Ujian!AN60,1)=SEKOR!AN$2,1,0))</f>
        <v>1</v>
      </c>
      <c r="AO53" s="125">
        <f>IF(Ujian!AO60="","",IF(LEFT(Ujian!AO60,1)=SEKOR!AO$2,1,0))</f>
        <v>0</v>
      </c>
      <c r="AP53" s="125">
        <f>IF(Ujian!AP60="","",IF(LEFT(Ujian!AP60,1)=SEKOR!AP$2,1,0))</f>
        <v>1</v>
      </c>
      <c r="AQ53" s="125">
        <f>IF(Ujian!AQ60="","",IF(LEFT(Ujian!AQ60,1)=SEKOR!AQ$2,1,0))</f>
        <v>1</v>
      </c>
      <c r="AR53" s="125">
        <f>IF(Ujian!AR60="","",IF(LEFT(Ujian!AR60,1)=SEKOR!AR$2,1,0))</f>
        <v>1</v>
      </c>
      <c r="AS53" s="125">
        <f>IF(Ujian!AS60="","",IF(LEFT(Ujian!AS60,1)=SEKOR!AS$2,1,0))</f>
        <v>1</v>
      </c>
      <c r="AT53" s="125">
        <f>IF(Ujian!AT60="","",IF(LEFT(Ujian!AT60,1)=SEKOR!AT$2,1,0))</f>
        <v>1</v>
      </c>
      <c r="AU53" s="125">
        <f>IF(Ujian!AU60="","",IF(LEFT(Ujian!AU60,1)=SEKOR!AU$2,1,0))</f>
        <v>0</v>
      </c>
      <c r="AV53" s="125">
        <f>IF(Ujian!AV60="","",IF(LEFT(Ujian!AV60,1)=SEKOR!AV$2,1,0))</f>
        <v>0</v>
      </c>
      <c r="AW53" s="125" t="str">
        <f>IF(Ujian!AW60="","",IF(LEFT(Ujian!AW60,1)=SEKOR!AW$2,1,0))</f>
        <v/>
      </c>
      <c r="AX53" s="125" t="str">
        <f>IF(Ujian!AX60="","",IF(LEFT(Ujian!AX60,1)=SEKOR!AX$2,1,0))</f>
        <v/>
      </c>
      <c r="AY53" s="125" t="str">
        <f>IF(Ujian!AY60="","",IF(LEFT(Ujian!AY60,1)=SEKOR!AY$2,1,0))</f>
        <v/>
      </c>
      <c r="AZ53" s="125" t="str">
        <f>IF(Ujian!AZ60="","",IF(LEFT(Ujian!AZ60,1)=SEKOR!AZ$2,1,0))</f>
        <v/>
      </c>
      <c r="BA53" s="125" t="str">
        <f>IF(Ujian!BA60="","",IF(LEFT(Ujian!BA60,1)=SEKOR!BA$2,1,0))</f>
        <v/>
      </c>
      <c r="BB53" s="125" t="str">
        <f>IF(Ujian!BB60="","",IF(LEFT(Ujian!BB60,1)=SEKOR!BB$2,1,0))</f>
        <v/>
      </c>
      <c r="BC53" s="125" t="str">
        <f>IF(Ujian!BC60="","",IF(LEFT(Ujian!BC60,1)=SEKOR!BC$2,1,0))</f>
        <v/>
      </c>
      <c r="BD53" s="125" t="str">
        <f>IF(Ujian!BD60="","",IF(LEFT(Ujian!BD60,1)=SEKOR!BD$2,1,0))</f>
        <v/>
      </c>
      <c r="BE53" s="125" t="str">
        <f>IF(Ujian!BE60="","",IF(LEFT(Ujian!BE60,1)=SEKOR!BE$2,1,0))</f>
        <v/>
      </c>
      <c r="BF53" s="125" t="str">
        <f>IF(Ujian!BF60="","",IF(LEFT(Ujian!BF60,1)=SEKOR!BF$2,1,0))</f>
        <v/>
      </c>
      <c r="BG53" s="125" t="str">
        <f>IF(Ujian!BG60="","",IF(LEFT(Ujian!BG60,1)=SEKOR!BG$2,1,0))</f>
        <v/>
      </c>
      <c r="BH53" s="125" t="str">
        <f>IF(Ujian!BH60="","",IF(LEFT(Ujian!BH60,1)=SEKOR!BH$2,1,0))</f>
        <v/>
      </c>
      <c r="BI53" s="125" t="str">
        <f>IF(Ujian!BI60="","",IF(LEFT(Ujian!BI60,1)=SEKOR!BI$2,1,0))</f>
        <v/>
      </c>
      <c r="BJ53" s="125" t="str">
        <f>IF(Ujian!BJ60="","",IF(LEFT(Ujian!BJ60,1)=SEKOR!BJ$2,1,0))</f>
        <v/>
      </c>
      <c r="BK53" s="125" t="str">
        <f>IF(Ujian!BK60="","",IF(LEFT(Ujian!BK60,1)=SEKOR!BK$2,1,0))</f>
        <v/>
      </c>
      <c r="BL53" s="18">
        <f t="shared" si="0"/>
        <v>40</v>
      </c>
      <c r="BM53" s="18">
        <f>COUNTIF($D53:$BK53,"")+DATA!$F$14-DATA!$F$12</f>
        <v>20</v>
      </c>
      <c r="BN53" s="17">
        <f>IF(COUNTIF($D53:$BK53,1)&gt;DATA!$F$14,DATA!$F$14,COUNTIF($D53:$BK53,1))</f>
        <v>25</v>
      </c>
      <c r="BO53" s="17">
        <f>IF((BN53+COUNTIF($D53:$BK53,0))&lt;=DATA!$F$14,COUNTIF($D53:$BK53,0),DATA!$F$14-SEKOR!BN53)</f>
        <v>15</v>
      </c>
      <c r="BP53" s="4">
        <f>IF(BL53=0,"",BN53/DATA!$F$14*100)</f>
        <v>62.5</v>
      </c>
      <c r="BQ53" s="121">
        <f t="shared" si="1"/>
        <v>80.645161290322577</v>
      </c>
      <c r="BR53" s="2">
        <f>IF(Praktik!$E53=0,"",Praktik!$E53)</f>
        <v>90</v>
      </c>
      <c r="BS53" s="2">
        <f>IF(BR53="","",(BP53*DATAINFO!$O$4)+(SEKOR!BR53*DATAINFO!$O$5)/(DATAINFO!$O$4+DATAINFO!$O$5))</f>
        <v>92.5</v>
      </c>
      <c r="BT53" s="2">
        <f>IF(BL53=0,"",IF(DATA!$F$18="TIDAK",ROUNDUP((IF!$L$8*SEKOR!$BP53)+IF!$L$9,0),IF($BR53="","",ROUNDUP((IF!$L$20*$BS53)+IF!$L$21,0))))</f>
        <v>80</v>
      </c>
      <c r="BU53" s="47">
        <f>IF(BP53="","",IF(SEKOR!BP53&gt;=DATA!$J$12,1,0))</f>
        <v>0</v>
      </c>
      <c r="BV53" s="47">
        <f>IF(BQ53="","",IF(SEKOR!BQ53&gt;=DATA!$J$12,1,0))</f>
        <v>1</v>
      </c>
      <c r="BW53" s="47">
        <f>IF(BR53="","",IF(SEKOR!BR53&gt;=DATA!$J$12,1,0))</f>
        <v>1</v>
      </c>
      <c r="BX53" s="47">
        <f>IF(BT53="","",IF(DATA!$J$14="",IF(SEKOR!BT53&gt;=DATA!$J$12,1,0),IF(SEKOR!BT53&gt;=DATA!$J$14,1,0)))</f>
        <v>1</v>
      </c>
    </row>
    <row r="54" spans="1:76" x14ac:dyDescent="0.25">
      <c r="A54" s="20" t="s">
        <v>81</v>
      </c>
      <c r="B54" s="21" t="str">
        <f>IF(Ujian!B61="","",Ujian!B61)</f>
        <v>  234704</v>
      </c>
      <c r="C54" s="57" t="str">
        <f>IF(Ujian!C61="","",Ujian!C61)</f>
        <v>  Rahmadiyanur</v>
      </c>
      <c r="D54" s="125">
        <f>IF(Ujian!D61="","",IF(LEFT(Ujian!D61,1)=SEKOR!D$2,1,0))</f>
        <v>1</v>
      </c>
      <c r="E54" s="125">
        <f>IF(Ujian!E61="","",IF(LEFT(Ujian!E61,1)=SEKOR!E$2,1,0))</f>
        <v>1</v>
      </c>
      <c r="F54" s="125">
        <f>IF(Ujian!F61="","",IF(LEFT(Ujian!F61,1)=SEKOR!F$2,1,0))</f>
        <v>1</v>
      </c>
      <c r="G54" s="125">
        <f>IF(Ujian!G61="","",IF(LEFT(Ujian!G61,1)=SEKOR!G$2,1,0))</f>
        <v>1</v>
      </c>
      <c r="H54" s="125" t="str">
        <f>IF(Ujian!H61="","",IF(LEFT(Ujian!H61,1)=SEKOR!H$2,1,0))</f>
        <v/>
      </c>
      <c r="I54" s="125">
        <f>IF(Ujian!I61="","",IF(LEFT(Ujian!I61,1)=SEKOR!I$2,1,0))</f>
        <v>1</v>
      </c>
      <c r="J54" s="125">
        <f>IF(Ujian!J61="","",IF(LEFT(Ujian!J61,1)=SEKOR!J$2,1,0))</f>
        <v>1</v>
      </c>
      <c r="K54" s="125">
        <f>IF(Ujian!K61="","",IF(LEFT(Ujian!K61,1)=SEKOR!K$2,1,0))</f>
        <v>1</v>
      </c>
      <c r="L54" s="125">
        <f>IF(Ujian!L61="","",IF(LEFT(Ujian!L61,1)=SEKOR!L$2,1,0))</f>
        <v>1</v>
      </c>
      <c r="M54" s="125">
        <f>IF(Ujian!M61="","",IF(LEFT(Ujian!M61,1)=SEKOR!M$2,1,0))</f>
        <v>1</v>
      </c>
      <c r="N54" s="125">
        <f>IF(Ujian!N61="","",IF(LEFT(Ujian!N61,1)=SEKOR!N$2,1,0))</f>
        <v>0</v>
      </c>
      <c r="O54" s="125" t="str">
        <f>IF(Ujian!O61="","",IF(LEFT(Ujian!O61,1)=SEKOR!O$2,1,0))</f>
        <v/>
      </c>
      <c r="P54" s="125">
        <f>IF(Ujian!P61="","",IF(LEFT(Ujian!P61,1)=SEKOR!P$2,1,0))</f>
        <v>1</v>
      </c>
      <c r="Q54" s="125">
        <f>IF(Ujian!Q61="","",IF(LEFT(Ujian!Q61,1)=SEKOR!Q$2,1,0))</f>
        <v>1</v>
      </c>
      <c r="R54" s="125">
        <f>IF(Ujian!R61="","",IF(LEFT(Ujian!R61,1)=SEKOR!R$2,1,0))</f>
        <v>0</v>
      </c>
      <c r="S54" s="125">
        <f>IF(Ujian!S61="","",IF(LEFT(Ujian!S61,1)=SEKOR!S$2,1,0))</f>
        <v>1</v>
      </c>
      <c r="T54" s="125">
        <f>IF(Ujian!T61="","",IF(LEFT(Ujian!T61,1)=SEKOR!T$2,1,0))</f>
        <v>1</v>
      </c>
      <c r="U54" s="125">
        <f>IF(Ujian!U61="","",IF(LEFT(Ujian!U61,1)=SEKOR!U$2,1,0))</f>
        <v>1</v>
      </c>
      <c r="V54" s="125">
        <f>IF(Ujian!V61="","",IF(LEFT(Ujian!V61,1)=SEKOR!V$2,1,0))</f>
        <v>1</v>
      </c>
      <c r="W54" s="125">
        <f>IF(Ujian!W61="","",IF(LEFT(Ujian!W61,1)=SEKOR!W$2,1,0))</f>
        <v>1</v>
      </c>
      <c r="X54" s="125">
        <f>IF(Ujian!X61="","",IF(LEFT(Ujian!X61,1)=SEKOR!X$2,1,0))</f>
        <v>0</v>
      </c>
      <c r="Y54" s="125">
        <f>IF(Ujian!Y61="","",IF(LEFT(Ujian!Y61,1)=SEKOR!Y$2,1,0))</f>
        <v>1</v>
      </c>
      <c r="Z54" s="125" t="str">
        <f>IF(Ujian!Z61="","",IF(LEFT(Ujian!Z61,1)=SEKOR!Z$2,1,0))</f>
        <v/>
      </c>
      <c r="AA54" s="125">
        <f>IF(Ujian!AA61="","",IF(LEFT(Ujian!AA61,1)=SEKOR!AA$2,1,0))</f>
        <v>1</v>
      </c>
      <c r="AB54" s="125">
        <f>IF(Ujian!AB61="","",IF(LEFT(Ujian!AB61,1)=SEKOR!AB$2,1,0))</f>
        <v>1</v>
      </c>
      <c r="AC54" s="125">
        <f>IF(Ujian!AC61="","",IF(LEFT(Ujian!AC61,1)=SEKOR!AC$2,1,0))</f>
        <v>1</v>
      </c>
      <c r="AD54" s="125">
        <f>IF(Ujian!AD61="","",IF(LEFT(Ujian!AD61,1)=SEKOR!AD$2,1,0))</f>
        <v>1</v>
      </c>
      <c r="AE54" s="125" t="str">
        <f>IF(Ujian!AE61="","",IF(LEFT(Ujian!AE61,1)=SEKOR!AE$2,1,0))</f>
        <v/>
      </c>
      <c r="AF54" s="125">
        <f>IF(Ujian!AF61="","",IF(LEFT(Ujian!AF61,1)=SEKOR!AF$2,1,0))</f>
        <v>1</v>
      </c>
      <c r="AG54" s="125">
        <f>IF(Ujian!AG61="","",IF(LEFT(Ujian!AG61,1)=SEKOR!AG$2,1,0))</f>
        <v>0</v>
      </c>
      <c r="AH54" s="125">
        <f>IF(Ujian!AH61="","",IF(LEFT(Ujian!AH61,1)=SEKOR!AH$2,1,0))</f>
        <v>0</v>
      </c>
      <c r="AI54" s="125">
        <f>IF(Ujian!AI61="","",IF(LEFT(Ujian!AI61,1)=SEKOR!AI$2,1,0))</f>
        <v>1</v>
      </c>
      <c r="AJ54" s="125">
        <f>IF(Ujian!AJ61="","",IF(LEFT(Ujian!AJ61,1)=SEKOR!AJ$2,1,0))</f>
        <v>1</v>
      </c>
      <c r="AK54" s="125">
        <f>IF(Ujian!AK61="","",IF(LEFT(Ujian!AK61,1)=SEKOR!AK$2,1,0))</f>
        <v>1</v>
      </c>
      <c r="AL54" s="125" t="str">
        <f>IF(Ujian!AL61="","",IF(LEFT(Ujian!AL61,1)=SEKOR!AL$2,1,0))</f>
        <v/>
      </c>
      <c r="AM54" s="125">
        <f>IF(Ujian!AM61="","",IF(LEFT(Ujian!AM61,1)=SEKOR!AM$2,1,0))</f>
        <v>0</v>
      </c>
      <c r="AN54" s="125">
        <f>IF(Ujian!AN61="","",IF(LEFT(Ujian!AN61,1)=SEKOR!AN$2,1,0))</f>
        <v>0</v>
      </c>
      <c r="AO54" s="125">
        <f>IF(Ujian!AO61="","",IF(LEFT(Ujian!AO61,1)=SEKOR!AO$2,1,0))</f>
        <v>0</v>
      </c>
      <c r="AP54" s="125">
        <f>IF(Ujian!AP61="","",IF(LEFT(Ujian!AP61,1)=SEKOR!AP$2,1,0))</f>
        <v>1</v>
      </c>
      <c r="AQ54" s="125">
        <f>IF(Ujian!AQ61="","",IF(LEFT(Ujian!AQ61,1)=SEKOR!AQ$2,1,0))</f>
        <v>1</v>
      </c>
      <c r="AR54" s="125">
        <f>IF(Ujian!AR61="","",IF(LEFT(Ujian!AR61,1)=SEKOR!AR$2,1,0))</f>
        <v>1</v>
      </c>
      <c r="AS54" s="125">
        <f>IF(Ujian!AS61="","",IF(LEFT(Ujian!AS61,1)=SEKOR!AS$2,1,0))</f>
        <v>0</v>
      </c>
      <c r="AT54" s="125">
        <f>IF(Ujian!AT61="","",IF(LEFT(Ujian!AT61,1)=SEKOR!AT$2,1,0))</f>
        <v>1</v>
      </c>
      <c r="AU54" s="125">
        <f>IF(Ujian!AU61="","",IF(LEFT(Ujian!AU61,1)=SEKOR!AU$2,1,0))</f>
        <v>1</v>
      </c>
      <c r="AV54" s="125">
        <f>IF(Ujian!AV61="","",IF(LEFT(Ujian!AV61,1)=SEKOR!AV$2,1,0))</f>
        <v>1</v>
      </c>
      <c r="AW54" s="125" t="str">
        <f>IF(Ujian!AW61="","",IF(LEFT(Ujian!AW61,1)=SEKOR!AW$2,1,0))</f>
        <v/>
      </c>
      <c r="AX54" s="125" t="str">
        <f>IF(Ujian!AX61="","",IF(LEFT(Ujian!AX61,1)=SEKOR!AX$2,1,0))</f>
        <v/>
      </c>
      <c r="AY54" s="125" t="str">
        <f>IF(Ujian!AY61="","",IF(LEFT(Ujian!AY61,1)=SEKOR!AY$2,1,0))</f>
        <v/>
      </c>
      <c r="AZ54" s="125" t="str">
        <f>IF(Ujian!AZ61="","",IF(LEFT(Ujian!AZ61,1)=SEKOR!AZ$2,1,0))</f>
        <v/>
      </c>
      <c r="BA54" s="125" t="str">
        <f>IF(Ujian!BA61="","",IF(LEFT(Ujian!BA61,1)=SEKOR!BA$2,1,0))</f>
        <v/>
      </c>
      <c r="BB54" s="125" t="str">
        <f>IF(Ujian!BB61="","",IF(LEFT(Ujian!BB61,1)=SEKOR!BB$2,1,0))</f>
        <v/>
      </c>
      <c r="BC54" s="125" t="str">
        <f>IF(Ujian!BC61="","",IF(LEFT(Ujian!BC61,1)=SEKOR!BC$2,1,0))</f>
        <v/>
      </c>
      <c r="BD54" s="125" t="str">
        <f>IF(Ujian!BD61="","",IF(LEFT(Ujian!BD61,1)=SEKOR!BD$2,1,0))</f>
        <v/>
      </c>
      <c r="BE54" s="125" t="str">
        <f>IF(Ujian!BE61="","",IF(LEFT(Ujian!BE61,1)=SEKOR!BE$2,1,0))</f>
        <v/>
      </c>
      <c r="BF54" s="125" t="str">
        <f>IF(Ujian!BF61="","",IF(LEFT(Ujian!BF61,1)=SEKOR!BF$2,1,0))</f>
        <v/>
      </c>
      <c r="BG54" s="125" t="str">
        <f>IF(Ujian!BG61="","",IF(LEFT(Ujian!BG61,1)=SEKOR!BG$2,1,0))</f>
        <v/>
      </c>
      <c r="BH54" s="125" t="str">
        <f>IF(Ujian!BH61="","",IF(LEFT(Ujian!BH61,1)=SEKOR!BH$2,1,0))</f>
        <v/>
      </c>
      <c r="BI54" s="125" t="str">
        <f>IF(Ujian!BI61="","",IF(LEFT(Ujian!BI61,1)=SEKOR!BI$2,1,0))</f>
        <v/>
      </c>
      <c r="BJ54" s="125" t="str">
        <f>IF(Ujian!BJ61="","",IF(LEFT(Ujian!BJ61,1)=SEKOR!BJ$2,1,0))</f>
        <v/>
      </c>
      <c r="BK54" s="125" t="str">
        <f>IF(Ujian!BK61="","",IF(LEFT(Ujian!BK61,1)=SEKOR!BK$2,1,0))</f>
        <v/>
      </c>
      <c r="BL54" s="18">
        <f t="shared" si="0"/>
        <v>40</v>
      </c>
      <c r="BM54" s="18">
        <f>COUNTIF($D54:$BK54,"")+DATA!$F$14-DATA!$F$12</f>
        <v>20</v>
      </c>
      <c r="BN54" s="17">
        <f>IF(COUNTIF($D54:$BK54,1)&gt;DATA!$F$14,DATA!$F$14,COUNTIF($D54:$BK54,1))</f>
        <v>31</v>
      </c>
      <c r="BO54" s="17">
        <f>IF((BN54+COUNTIF($D54:$BK54,0))&lt;=DATA!$F$14,COUNTIF($D54:$BK54,0),DATA!$F$14-SEKOR!BN54)</f>
        <v>9</v>
      </c>
      <c r="BP54" s="4">
        <f>IF(BL54=0,"",BN54/DATA!$F$14*100)</f>
        <v>77.5</v>
      </c>
      <c r="BQ54" s="121">
        <f t="shared" si="1"/>
        <v>100</v>
      </c>
      <c r="BR54" s="2">
        <f>IF(Praktik!$E54=0,"",Praktik!$E54)</f>
        <v>90</v>
      </c>
      <c r="BS54" s="2">
        <f>IF(BR54="","",(BP54*DATAINFO!$O$4)+(SEKOR!BR54*DATAINFO!$O$5)/(DATAINFO!$O$4+DATAINFO!$O$5))</f>
        <v>107.5</v>
      </c>
      <c r="BT54" s="2">
        <f>IF(BL54=0,"",IF(DATA!$F$18="TIDAK",ROUNDUP((IF!$L$8*SEKOR!$BP54)+IF!$L$9,0),IF($BR54="","",ROUNDUP((IF!$L$20*$BS54)+IF!$L$21,0))))</f>
        <v>90</v>
      </c>
      <c r="BU54" s="47">
        <f>IF(BP54="","",IF(SEKOR!BP54&gt;=DATA!$J$12,1,0))</f>
        <v>1</v>
      </c>
      <c r="BV54" s="47">
        <f>IF(BQ54="","",IF(SEKOR!BQ54&gt;=DATA!$J$12,1,0))</f>
        <v>1</v>
      </c>
      <c r="BW54" s="47">
        <f>IF(BR54="","",IF(SEKOR!BR54&gt;=DATA!$J$12,1,0))</f>
        <v>1</v>
      </c>
      <c r="BX54" s="47">
        <f>IF(BT54="","",IF(DATA!$J$14="",IF(SEKOR!BT54&gt;=DATA!$J$12,1,0),IF(SEKOR!BT54&gt;=DATA!$J$14,1,0)))</f>
        <v>1</v>
      </c>
    </row>
    <row r="55" spans="1:76" x14ac:dyDescent="0.25">
      <c r="A55" s="20" t="s">
        <v>82</v>
      </c>
      <c r="B55" s="21" t="str">
        <f>IF(Ujian!B62="","",Ujian!B62)</f>
        <v>  234715</v>
      </c>
      <c r="C55" s="57" t="str">
        <f>IF(Ujian!C62="","",Ujian!C62)</f>
        <v>  Sadiah</v>
      </c>
      <c r="D55" s="125">
        <f>IF(Ujian!D62="","",IF(LEFT(Ujian!D62,1)=SEKOR!D$2,1,0))</f>
        <v>1</v>
      </c>
      <c r="E55" s="125">
        <f>IF(Ujian!E62="","",IF(LEFT(Ujian!E62,1)=SEKOR!E$2,1,0))</f>
        <v>0</v>
      </c>
      <c r="F55" s="125">
        <f>IF(Ujian!F62="","",IF(LEFT(Ujian!F62,1)=SEKOR!F$2,1,0))</f>
        <v>0</v>
      </c>
      <c r="G55" s="125">
        <f>IF(Ujian!G62="","",IF(LEFT(Ujian!G62,1)=SEKOR!G$2,1,0))</f>
        <v>0</v>
      </c>
      <c r="H55" s="125">
        <f>IF(Ujian!H62="","",IF(LEFT(Ujian!H62,1)=SEKOR!H$2,1,0))</f>
        <v>0</v>
      </c>
      <c r="I55" s="125" t="str">
        <f>IF(Ujian!I62="","",IF(LEFT(Ujian!I62,1)=SEKOR!I$2,1,0))</f>
        <v/>
      </c>
      <c r="J55" s="125">
        <f>IF(Ujian!J62="","",IF(LEFT(Ujian!J62,1)=SEKOR!J$2,1,0))</f>
        <v>0</v>
      </c>
      <c r="K55" s="125">
        <f>IF(Ujian!K62="","",IF(LEFT(Ujian!K62,1)=SEKOR!K$2,1,0))</f>
        <v>0</v>
      </c>
      <c r="L55" s="125">
        <f>IF(Ujian!L62="","",IF(LEFT(Ujian!L62,1)=SEKOR!L$2,1,0))</f>
        <v>0</v>
      </c>
      <c r="M55" s="125">
        <f>IF(Ujian!M62="","",IF(LEFT(Ujian!M62,1)=SEKOR!M$2,1,0))</f>
        <v>0</v>
      </c>
      <c r="N55" s="125">
        <f>IF(Ujian!N62="","",IF(LEFT(Ujian!N62,1)=SEKOR!N$2,1,0))</f>
        <v>0</v>
      </c>
      <c r="O55" s="125">
        <f>IF(Ujian!O62="","",IF(LEFT(Ujian!O62,1)=SEKOR!O$2,1,0))</f>
        <v>1</v>
      </c>
      <c r="P55" s="125">
        <f>IF(Ujian!P62="","",IF(LEFT(Ujian!P62,1)=SEKOR!P$2,1,0))</f>
        <v>1</v>
      </c>
      <c r="Q55" s="125">
        <f>IF(Ujian!Q62="","",IF(LEFT(Ujian!Q62,1)=SEKOR!Q$2,1,0))</f>
        <v>0</v>
      </c>
      <c r="R55" s="125">
        <f>IF(Ujian!R62="","",IF(LEFT(Ujian!R62,1)=SEKOR!R$2,1,0))</f>
        <v>0</v>
      </c>
      <c r="S55" s="125">
        <f>IF(Ujian!S62="","",IF(LEFT(Ujian!S62,1)=SEKOR!S$2,1,0))</f>
        <v>0</v>
      </c>
      <c r="T55" s="125">
        <f>IF(Ujian!T62="","",IF(LEFT(Ujian!T62,1)=SEKOR!T$2,1,0))</f>
        <v>1</v>
      </c>
      <c r="U55" s="125">
        <f>IF(Ujian!U62="","",IF(LEFT(Ujian!U62,1)=SEKOR!U$2,1,0))</f>
        <v>0</v>
      </c>
      <c r="V55" s="125" t="str">
        <f>IF(Ujian!V62="","",IF(LEFT(Ujian!V62,1)=SEKOR!V$2,1,0))</f>
        <v/>
      </c>
      <c r="W55" s="125">
        <f>IF(Ujian!W62="","",IF(LEFT(Ujian!W62,1)=SEKOR!W$2,1,0))</f>
        <v>0</v>
      </c>
      <c r="X55" s="125">
        <f>IF(Ujian!X62="","",IF(LEFT(Ujian!X62,1)=SEKOR!X$2,1,0))</f>
        <v>0</v>
      </c>
      <c r="Y55" s="125">
        <f>IF(Ujian!Y62="","",IF(LEFT(Ujian!Y62,1)=SEKOR!Y$2,1,0))</f>
        <v>0</v>
      </c>
      <c r="Z55" s="125">
        <f>IF(Ujian!Z62="","",IF(LEFT(Ujian!Z62,1)=SEKOR!Z$2,1,0))</f>
        <v>0</v>
      </c>
      <c r="AA55" s="125">
        <f>IF(Ujian!AA62="","",IF(LEFT(Ujian!AA62,1)=SEKOR!AA$2,1,0))</f>
        <v>1</v>
      </c>
      <c r="AB55" s="125">
        <f>IF(Ujian!AB62="","",IF(LEFT(Ujian!AB62,1)=SEKOR!AB$2,1,0))</f>
        <v>0</v>
      </c>
      <c r="AC55" s="125">
        <f>IF(Ujian!AC62="","",IF(LEFT(Ujian!AC62,1)=SEKOR!AC$2,1,0))</f>
        <v>0</v>
      </c>
      <c r="AD55" s="125">
        <f>IF(Ujian!AD62="","",IF(LEFT(Ujian!AD62,1)=SEKOR!AD$2,1,0))</f>
        <v>0</v>
      </c>
      <c r="AE55" s="125">
        <f>IF(Ujian!AE62="","",IF(LEFT(Ujian!AE62,1)=SEKOR!AE$2,1,0))</f>
        <v>0</v>
      </c>
      <c r="AF55" s="125">
        <f>IF(Ujian!AF62="","",IF(LEFT(Ujian!AF62,1)=SEKOR!AF$2,1,0))</f>
        <v>0</v>
      </c>
      <c r="AG55" s="125">
        <f>IF(Ujian!AG62="","",IF(LEFT(Ujian!AG62,1)=SEKOR!AG$2,1,0))</f>
        <v>0</v>
      </c>
      <c r="AH55" s="125">
        <f>IF(Ujian!AH62="","",IF(LEFT(Ujian!AH62,1)=SEKOR!AH$2,1,0))</f>
        <v>0</v>
      </c>
      <c r="AI55" s="125" t="str">
        <f>IF(Ujian!AI62="","",IF(LEFT(Ujian!AI62,1)=SEKOR!AI$2,1,0))</f>
        <v/>
      </c>
      <c r="AJ55" s="125">
        <f>IF(Ujian!AJ62="","",IF(LEFT(Ujian!AJ62,1)=SEKOR!AJ$2,1,0))</f>
        <v>0</v>
      </c>
      <c r="AK55" s="125">
        <f>IF(Ujian!AK62="","",IF(LEFT(Ujian!AK62,1)=SEKOR!AK$2,1,0))</f>
        <v>1</v>
      </c>
      <c r="AL55" s="125">
        <f>IF(Ujian!AL62="","",IF(LEFT(Ujian!AL62,1)=SEKOR!AL$2,1,0))</f>
        <v>1</v>
      </c>
      <c r="AM55" s="125">
        <f>IF(Ujian!AM62="","",IF(LEFT(Ujian!AM62,1)=SEKOR!AM$2,1,0))</f>
        <v>0</v>
      </c>
      <c r="AN55" s="125" t="str">
        <f>IF(Ujian!AN62="","",IF(LEFT(Ujian!AN62,1)=SEKOR!AN$2,1,0))</f>
        <v/>
      </c>
      <c r="AO55" s="125" t="str">
        <f>IF(Ujian!AO62="","",IF(LEFT(Ujian!AO62,1)=SEKOR!AO$2,1,0))</f>
        <v/>
      </c>
      <c r="AP55" s="125">
        <f>IF(Ujian!AP62="","",IF(LEFT(Ujian!AP62,1)=SEKOR!AP$2,1,0))</f>
        <v>0</v>
      </c>
      <c r="AQ55" s="125">
        <f>IF(Ujian!AQ62="","",IF(LEFT(Ujian!AQ62,1)=SEKOR!AQ$2,1,0))</f>
        <v>0</v>
      </c>
      <c r="AR55" s="125" t="str">
        <f>IF(Ujian!AR62="","",IF(LEFT(Ujian!AR62,1)=SEKOR!AR$2,1,0))</f>
        <v/>
      </c>
      <c r="AS55" s="125">
        <f>IF(Ujian!AS62="","",IF(LEFT(Ujian!AS62,1)=SEKOR!AS$2,1,0))</f>
        <v>0</v>
      </c>
      <c r="AT55" s="125">
        <f>IF(Ujian!AT62="","",IF(LEFT(Ujian!AT62,1)=SEKOR!AT$2,1,0))</f>
        <v>0</v>
      </c>
      <c r="AU55" s="125">
        <f>IF(Ujian!AU62="","",IF(LEFT(Ujian!AU62,1)=SEKOR!AU$2,1,0))</f>
        <v>0</v>
      </c>
      <c r="AV55" s="125">
        <f>IF(Ujian!AV62="","",IF(LEFT(Ujian!AV62,1)=SEKOR!AV$2,1,0))</f>
        <v>0</v>
      </c>
      <c r="AW55" s="125" t="str">
        <f>IF(Ujian!AW62="","",IF(LEFT(Ujian!AW62,1)=SEKOR!AW$2,1,0))</f>
        <v/>
      </c>
      <c r="AX55" s="125" t="str">
        <f>IF(Ujian!AX62="","",IF(LEFT(Ujian!AX62,1)=SEKOR!AX$2,1,0))</f>
        <v/>
      </c>
      <c r="AY55" s="125" t="str">
        <f>IF(Ujian!AY62="","",IF(LEFT(Ujian!AY62,1)=SEKOR!AY$2,1,0))</f>
        <v/>
      </c>
      <c r="AZ55" s="125" t="str">
        <f>IF(Ujian!AZ62="","",IF(LEFT(Ujian!AZ62,1)=SEKOR!AZ$2,1,0))</f>
        <v/>
      </c>
      <c r="BA55" s="125" t="str">
        <f>IF(Ujian!BA62="","",IF(LEFT(Ujian!BA62,1)=SEKOR!BA$2,1,0))</f>
        <v/>
      </c>
      <c r="BB55" s="125" t="str">
        <f>IF(Ujian!BB62="","",IF(LEFT(Ujian!BB62,1)=SEKOR!BB$2,1,0))</f>
        <v/>
      </c>
      <c r="BC55" s="125" t="str">
        <f>IF(Ujian!BC62="","",IF(LEFT(Ujian!BC62,1)=SEKOR!BC$2,1,0))</f>
        <v/>
      </c>
      <c r="BD55" s="125" t="str">
        <f>IF(Ujian!BD62="","",IF(LEFT(Ujian!BD62,1)=SEKOR!BD$2,1,0))</f>
        <v/>
      </c>
      <c r="BE55" s="125" t="str">
        <f>IF(Ujian!BE62="","",IF(LEFT(Ujian!BE62,1)=SEKOR!BE$2,1,0))</f>
        <v/>
      </c>
      <c r="BF55" s="125" t="str">
        <f>IF(Ujian!BF62="","",IF(LEFT(Ujian!BF62,1)=SEKOR!BF$2,1,0))</f>
        <v/>
      </c>
      <c r="BG55" s="125" t="str">
        <f>IF(Ujian!BG62="","",IF(LEFT(Ujian!BG62,1)=SEKOR!BG$2,1,0))</f>
        <v/>
      </c>
      <c r="BH55" s="125" t="str">
        <f>IF(Ujian!BH62="","",IF(LEFT(Ujian!BH62,1)=SEKOR!BH$2,1,0))</f>
        <v/>
      </c>
      <c r="BI55" s="125" t="str">
        <f>IF(Ujian!BI62="","",IF(LEFT(Ujian!BI62,1)=SEKOR!BI$2,1,0))</f>
        <v/>
      </c>
      <c r="BJ55" s="125" t="str">
        <f>IF(Ujian!BJ62="","",IF(LEFT(Ujian!BJ62,1)=SEKOR!BJ$2,1,0))</f>
        <v/>
      </c>
      <c r="BK55" s="125" t="str">
        <f>IF(Ujian!BK62="","",IF(LEFT(Ujian!BK62,1)=SEKOR!BK$2,1,0))</f>
        <v/>
      </c>
      <c r="BL55" s="18">
        <f t="shared" si="0"/>
        <v>39</v>
      </c>
      <c r="BM55" s="18">
        <f>COUNTIF($D55:$BK55,"")+DATA!$F$14-DATA!$F$12</f>
        <v>21</v>
      </c>
      <c r="BN55" s="17">
        <f>IF(COUNTIF($D55:$BK55,1)&gt;DATA!$F$14,DATA!$F$14,COUNTIF($D55:$BK55,1))</f>
        <v>7</v>
      </c>
      <c r="BO55" s="17">
        <f>IF((BN55+COUNTIF($D55:$BK55,0))&lt;=DATA!$F$14,COUNTIF($D55:$BK55,0),DATA!$F$14-SEKOR!BN55)</f>
        <v>32</v>
      </c>
      <c r="BP55" s="4">
        <f>IF(BL55=0,"",BN55/DATA!$F$14*100)</f>
        <v>17.5</v>
      </c>
      <c r="BQ55" s="121">
        <f t="shared" si="1"/>
        <v>22.58064516129032</v>
      </c>
      <c r="BR55" s="2">
        <f>IF(Praktik!$E55=0,"",Praktik!$E55)</f>
        <v>90</v>
      </c>
      <c r="BS55" s="2">
        <f>IF(BR55="","",(BP55*DATAINFO!$O$4)+(SEKOR!BR55*DATAINFO!$O$5)/(DATAINFO!$O$4+DATAINFO!$O$5))</f>
        <v>47.5</v>
      </c>
      <c r="BT55" s="2">
        <f>IF(BL55=0,"",IF(DATA!$F$18="TIDAK",ROUNDUP((IF!$L$8*SEKOR!$BP55)+IF!$L$9,0),IF($BR55="","",ROUNDUP((IF!$L$20*$BS55)+IF!$L$21,0))))</f>
        <v>50</v>
      </c>
      <c r="BU55" s="47">
        <f>IF(BP55="","",IF(SEKOR!BP55&gt;=DATA!$J$12,1,0))</f>
        <v>0</v>
      </c>
      <c r="BV55" s="47">
        <f>IF(BQ55="","",IF(SEKOR!BQ55&gt;=DATA!$J$12,1,0))</f>
        <v>0</v>
      </c>
      <c r="BW55" s="47">
        <f>IF(BR55="","",IF(SEKOR!BR55&gt;=DATA!$J$12,1,0))</f>
        <v>1</v>
      </c>
      <c r="BX55" s="47">
        <f>IF(BT55="","",IF(DATA!$J$14="",IF(SEKOR!BT55&gt;=DATA!$J$12,1,0),IF(SEKOR!BT55&gt;=DATA!$J$14,1,0)))</f>
        <v>0</v>
      </c>
    </row>
    <row r="56" spans="1:76" x14ac:dyDescent="0.25">
      <c r="A56" s="20" t="s">
        <v>83</v>
      </c>
      <c r="B56" s="21" t="str">
        <f>IF(Ujian!B63="","",Ujian!B63)</f>
        <v>  234718</v>
      </c>
      <c r="C56" s="57" t="str">
        <f>IF(Ujian!C63="","",Ujian!C63)</f>
        <v>  Siti Zubaidah</v>
      </c>
      <c r="D56" s="125">
        <f>IF(Ujian!D63="","",IF(LEFT(Ujian!D63,1)=SEKOR!D$2,1,0))</f>
        <v>0</v>
      </c>
      <c r="E56" s="125">
        <f>IF(Ujian!E63="","",IF(LEFT(Ujian!E63,1)=SEKOR!E$2,1,0))</f>
        <v>0</v>
      </c>
      <c r="F56" s="125">
        <f>IF(Ujian!F63="","",IF(LEFT(Ujian!F63,1)=SEKOR!F$2,1,0))</f>
        <v>0</v>
      </c>
      <c r="G56" s="125">
        <f>IF(Ujian!G63="","",IF(LEFT(Ujian!G63,1)=SEKOR!G$2,1,0))</f>
        <v>0</v>
      </c>
      <c r="H56" s="125">
        <f>IF(Ujian!H63="","",IF(LEFT(Ujian!H63,1)=SEKOR!H$2,1,0))</f>
        <v>0</v>
      </c>
      <c r="I56" s="125">
        <f>IF(Ujian!I63="","",IF(LEFT(Ujian!I63,1)=SEKOR!I$2,1,0))</f>
        <v>1</v>
      </c>
      <c r="J56" s="125">
        <f>IF(Ujian!J63="","",IF(LEFT(Ujian!J63,1)=SEKOR!J$2,1,0))</f>
        <v>1</v>
      </c>
      <c r="K56" s="125" t="str">
        <f>IF(Ujian!K63="","",IF(LEFT(Ujian!K63,1)=SEKOR!K$2,1,0))</f>
        <v/>
      </c>
      <c r="L56" s="125">
        <f>IF(Ujian!L63="","",IF(LEFT(Ujian!L63,1)=SEKOR!L$2,1,0))</f>
        <v>1</v>
      </c>
      <c r="M56" s="125">
        <f>IF(Ujian!M63="","",IF(LEFT(Ujian!M63,1)=SEKOR!M$2,1,0))</f>
        <v>0</v>
      </c>
      <c r="N56" s="125">
        <f>IF(Ujian!N63="","",IF(LEFT(Ujian!N63,1)=SEKOR!N$2,1,0))</f>
        <v>0</v>
      </c>
      <c r="O56" s="125">
        <f>IF(Ujian!O63="","",IF(LEFT(Ujian!O63,1)=SEKOR!O$2,1,0))</f>
        <v>1</v>
      </c>
      <c r="P56" s="125">
        <f>IF(Ujian!P63="","",IF(LEFT(Ujian!P63,1)=SEKOR!P$2,1,0))</f>
        <v>0</v>
      </c>
      <c r="Q56" s="125">
        <f>IF(Ujian!Q63="","",IF(LEFT(Ujian!Q63,1)=SEKOR!Q$2,1,0))</f>
        <v>0</v>
      </c>
      <c r="R56" s="125">
        <f>IF(Ujian!R63="","",IF(LEFT(Ujian!R63,1)=SEKOR!R$2,1,0))</f>
        <v>0</v>
      </c>
      <c r="S56" s="125">
        <f>IF(Ujian!S63="","",IF(LEFT(Ujian!S63,1)=SEKOR!S$2,1,0))</f>
        <v>1</v>
      </c>
      <c r="T56" s="125" t="str">
        <f>IF(Ujian!T63="","",IF(LEFT(Ujian!T63,1)=SEKOR!T$2,1,0))</f>
        <v/>
      </c>
      <c r="U56" s="125">
        <f>IF(Ujian!U63="","",IF(LEFT(Ujian!U63,1)=SEKOR!U$2,1,0))</f>
        <v>1</v>
      </c>
      <c r="V56" s="125">
        <f>IF(Ujian!V63="","",IF(LEFT(Ujian!V63,1)=SEKOR!V$2,1,0))</f>
        <v>0</v>
      </c>
      <c r="W56" s="125">
        <f>IF(Ujian!W63="","",IF(LEFT(Ujian!W63,1)=SEKOR!W$2,1,0))</f>
        <v>0</v>
      </c>
      <c r="X56" s="125">
        <f>IF(Ujian!X63="","",IF(LEFT(Ujian!X63,1)=SEKOR!X$2,1,0))</f>
        <v>0</v>
      </c>
      <c r="Y56" s="125">
        <f>IF(Ujian!Y63="","",IF(LEFT(Ujian!Y63,1)=SEKOR!Y$2,1,0))</f>
        <v>0</v>
      </c>
      <c r="Z56" s="125">
        <f>IF(Ujian!Z63="","",IF(LEFT(Ujian!Z63,1)=SEKOR!Z$2,1,0))</f>
        <v>1</v>
      </c>
      <c r="AA56" s="125" t="str">
        <f>IF(Ujian!AA63="","",IF(LEFT(Ujian!AA63,1)=SEKOR!AA$2,1,0))</f>
        <v/>
      </c>
      <c r="AB56" s="125">
        <f>IF(Ujian!AB63="","",IF(LEFT(Ujian!AB63,1)=SEKOR!AB$2,1,0))</f>
        <v>0</v>
      </c>
      <c r="AC56" s="125">
        <f>IF(Ujian!AC63="","",IF(LEFT(Ujian!AC63,1)=SEKOR!AC$2,1,0))</f>
        <v>0</v>
      </c>
      <c r="AD56" s="125">
        <f>IF(Ujian!AD63="","",IF(LEFT(Ujian!AD63,1)=SEKOR!AD$2,1,0))</f>
        <v>0</v>
      </c>
      <c r="AE56" s="125">
        <f>IF(Ujian!AE63="","",IF(LEFT(Ujian!AE63,1)=SEKOR!AE$2,1,0))</f>
        <v>1</v>
      </c>
      <c r="AF56" s="125">
        <f>IF(Ujian!AF63="","",IF(LEFT(Ujian!AF63,1)=SEKOR!AF$2,1,0))</f>
        <v>0</v>
      </c>
      <c r="AG56" s="125">
        <f>IF(Ujian!AG63="","",IF(LEFT(Ujian!AG63,1)=SEKOR!AG$2,1,0))</f>
        <v>1</v>
      </c>
      <c r="AH56" s="125">
        <f>IF(Ujian!AH63="","",IF(LEFT(Ujian!AH63,1)=SEKOR!AH$2,1,0))</f>
        <v>0</v>
      </c>
      <c r="AI56" s="125" t="str">
        <f>IF(Ujian!AI63="","",IF(LEFT(Ujian!AI63,1)=SEKOR!AI$2,1,0))</f>
        <v/>
      </c>
      <c r="AJ56" s="125">
        <f>IF(Ujian!AJ63="","",IF(LEFT(Ujian!AJ63,1)=SEKOR!AJ$2,1,0))</f>
        <v>0</v>
      </c>
      <c r="AK56" s="125">
        <f>IF(Ujian!AK63="","",IF(LEFT(Ujian!AK63,1)=SEKOR!AK$2,1,0))</f>
        <v>0</v>
      </c>
      <c r="AL56" s="125" t="str">
        <f>IF(Ujian!AL63="","",IF(LEFT(Ujian!AL63,1)=SEKOR!AL$2,1,0))</f>
        <v/>
      </c>
      <c r="AM56" s="125">
        <f>IF(Ujian!AM63="","",IF(LEFT(Ujian!AM63,1)=SEKOR!AM$2,1,0))</f>
        <v>0</v>
      </c>
      <c r="AN56" s="125">
        <f>IF(Ujian!AN63="","",IF(LEFT(Ujian!AN63,1)=SEKOR!AN$2,1,0))</f>
        <v>1</v>
      </c>
      <c r="AO56" s="125">
        <f>IF(Ujian!AO63="","",IF(LEFT(Ujian!AO63,1)=SEKOR!AO$2,1,0))</f>
        <v>0</v>
      </c>
      <c r="AP56" s="125">
        <f>IF(Ujian!AP63="","",IF(LEFT(Ujian!AP63,1)=SEKOR!AP$2,1,0))</f>
        <v>1</v>
      </c>
      <c r="AQ56" s="125">
        <f>IF(Ujian!AQ63="","",IF(LEFT(Ujian!AQ63,1)=SEKOR!AQ$2,1,0))</f>
        <v>0</v>
      </c>
      <c r="AR56" s="125">
        <f>IF(Ujian!AR63="","",IF(LEFT(Ujian!AR63,1)=SEKOR!AR$2,1,0))</f>
        <v>1</v>
      </c>
      <c r="AS56" s="125">
        <f>IF(Ujian!AS63="","",IF(LEFT(Ujian!AS63,1)=SEKOR!AS$2,1,0))</f>
        <v>1</v>
      </c>
      <c r="AT56" s="125">
        <f>IF(Ujian!AT63="","",IF(LEFT(Ujian!AT63,1)=SEKOR!AT$2,1,0))</f>
        <v>0</v>
      </c>
      <c r="AU56" s="125">
        <f>IF(Ujian!AU63="","",IF(LEFT(Ujian!AU63,1)=SEKOR!AU$2,1,0))</f>
        <v>0</v>
      </c>
      <c r="AV56" s="125">
        <f>IF(Ujian!AV63="","",IF(LEFT(Ujian!AV63,1)=SEKOR!AV$2,1,0))</f>
        <v>1</v>
      </c>
      <c r="AW56" s="125" t="str">
        <f>IF(Ujian!AW63="","",IF(LEFT(Ujian!AW63,1)=SEKOR!AW$2,1,0))</f>
        <v/>
      </c>
      <c r="AX56" s="125" t="str">
        <f>IF(Ujian!AX63="","",IF(LEFT(Ujian!AX63,1)=SEKOR!AX$2,1,0))</f>
        <v/>
      </c>
      <c r="AY56" s="125" t="str">
        <f>IF(Ujian!AY63="","",IF(LEFT(Ujian!AY63,1)=SEKOR!AY$2,1,0))</f>
        <v/>
      </c>
      <c r="AZ56" s="125" t="str">
        <f>IF(Ujian!AZ63="","",IF(LEFT(Ujian!AZ63,1)=SEKOR!AZ$2,1,0))</f>
        <v/>
      </c>
      <c r="BA56" s="125" t="str">
        <f>IF(Ujian!BA63="","",IF(LEFT(Ujian!BA63,1)=SEKOR!BA$2,1,0))</f>
        <v/>
      </c>
      <c r="BB56" s="125" t="str">
        <f>IF(Ujian!BB63="","",IF(LEFT(Ujian!BB63,1)=SEKOR!BB$2,1,0))</f>
        <v/>
      </c>
      <c r="BC56" s="125" t="str">
        <f>IF(Ujian!BC63="","",IF(LEFT(Ujian!BC63,1)=SEKOR!BC$2,1,0))</f>
        <v/>
      </c>
      <c r="BD56" s="125" t="str">
        <f>IF(Ujian!BD63="","",IF(LEFT(Ujian!BD63,1)=SEKOR!BD$2,1,0))</f>
        <v/>
      </c>
      <c r="BE56" s="125" t="str">
        <f>IF(Ujian!BE63="","",IF(LEFT(Ujian!BE63,1)=SEKOR!BE$2,1,0))</f>
        <v/>
      </c>
      <c r="BF56" s="125" t="str">
        <f>IF(Ujian!BF63="","",IF(LEFT(Ujian!BF63,1)=SEKOR!BF$2,1,0))</f>
        <v/>
      </c>
      <c r="BG56" s="125" t="str">
        <f>IF(Ujian!BG63="","",IF(LEFT(Ujian!BG63,1)=SEKOR!BG$2,1,0))</f>
        <v/>
      </c>
      <c r="BH56" s="125" t="str">
        <f>IF(Ujian!BH63="","",IF(LEFT(Ujian!BH63,1)=SEKOR!BH$2,1,0))</f>
        <v/>
      </c>
      <c r="BI56" s="125" t="str">
        <f>IF(Ujian!BI63="","",IF(LEFT(Ujian!BI63,1)=SEKOR!BI$2,1,0))</f>
        <v/>
      </c>
      <c r="BJ56" s="125" t="str">
        <f>IF(Ujian!BJ63="","",IF(LEFT(Ujian!BJ63,1)=SEKOR!BJ$2,1,0))</f>
        <v/>
      </c>
      <c r="BK56" s="125" t="str">
        <f>IF(Ujian!BK63="","",IF(LEFT(Ujian!BK63,1)=SEKOR!BK$2,1,0))</f>
        <v/>
      </c>
      <c r="BL56" s="18">
        <f t="shared" si="0"/>
        <v>40</v>
      </c>
      <c r="BM56" s="18">
        <f>COUNTIF($D56:$BK56,"")+DATA!$F$14-DATA!$F$12</f>
        <v>20</v>
      </c>
      <c r="BN56" s="17">
        <f>IF(COUNTIF($D56:$BK56,1)&gt;DATA!$F$14,DATA!$F$14,COUNTIF($D56:$BK56,1))</f>
        <v>14</v>
      </c>
      <c r="BO56" s="17">
        <f>IF((BN56+COUNTIF($D56:$BK56,0))&lt;=DATA!$F$14,COUNTIF($D56:$BK56,0),DATA!$F$14-SEKOR!BN56)</f>
        <v>26</v>
      </c>
      <c r="BP56" s="4">
        <f>IF(BL56=0,"",BN56/DATA!$F$14*100)</f>
        <v>35</v>
      </c>
      <c r="BQ56" s="121">
        <f t="shared" si="1"/>
        <v>45.161290322580641</v>
      </c>
      <c r="BR56" s="2">
        <f>IF(Praktik!$E56=0,"",Praktik!$E56)</f>
        <v>90</v>
      </c>
      <c r="BS56" s="2">
        <f>IF(BR56="","",(BP56*DATAINFO!$O$4)+(SEKOR!BR56*DATAINFO!$O$5)/(DATAINFO!$O$4+DATAINFO!$O$5))</f>
        <v>65</v>
      </c>
      <c r="BT56" s="2">
        <f>IF(BL56=0,"",IF(DATA!$F$18="TIDAK",ROUNDUP((IF!$L$8*SEKOR!$BP56)+IF!$L$9,0),IF($BR56="","",ROUNDUP((IF!$L$20*$BS56)+IF!$L$21,0))))</f>
        <v>62</v>
      </c>
      <c r="BU56" s="47">
        <f>IF(BP56="","",IF(SEKOR!BP56&gt;=DATA!$J$12,1,0))</f>
        <v>0</v>
      </c>
      <c r="BV56" s="47">
        <f>IF(BQ56="","",IF(SEKOR!BQ56&gt;=DATA!$J$12,1,0))</f>
        <v>0</v>
      </c>
      <c r="BW56" s="47">
        <f>IF(BR56="","",IF(SEKOR!BR56&gt;=DATA!$J$12,1,0))</f>
        <v>1</v>
      </c>
      <c r="BX56" s="47">
        <f>IF(BT56="","",IF(DATA!$J$14="",IF(SEKOR!BT56&gt;=DATA!$J$12,1,0),IF(SEKOR!BT56&gt;=DATA!$J$14,1,0)))</f>
        <v>0</v>
      </c>
    </row>
    <row r="57" spans="1:76" x14ac:dyDescent="0.25">
      <c r="A57" s="20" t="s">
        <v>84</v>
      </c>
      <c r="B57" s="21" t="str">
        <f>IF(Ujian!B64="","",Ujian!B64)</f>
        <v>  234724</v>
      </c>
      <c r="C57" s="57" t="str">
        <f>IF(Ujian!C64="","",Ujian!C64)</f>
        <v>  Wahyu Ramadani</v>
      </c>
      <c r="D57" s="125">
        <f>IF(Ujian!D64="","",IF(LEFT(Ujian!D64,1)=SEKOR!D$2,1,0))</f>
        <v>0</v>
      </c>
      <c r="E57" s="125">
        <f>IF(Ujian!E64="","",IF(LEFT(Ujian!E64,1)=SEKOR!E$2,1,0))</f>
        <v>1</v>
      </c>
      <c r="F57" s="125">
        <f>IF(Ujian!F64="","",IF(LEFT(Ujian!F64,1)=SEKOR!F$2,1,0))</f>
        <v>1</v>
      </c>
      <c r="G57" s="125">
        <f>IF(Ujian!G64="","",IF(LEFT(Ujian!G64,1)=SEKOR!G$2,1,0))</f>
        <v>1</v>
      </c>
      <c r="H57" s="125">
        <f>IF(Ujian!H64="","",IF(LEFT(Ujian!H64,1)=SEKOR!H$2,1,0))</f>
        <v>0</v>
      </c>
      <c r="I57" s="125">
        <f>IF(Ujian!I64="","",IF(LEFT(Ujian!I64,1)=SEKOR!I$2,1,0))</f>
        <v>1</v>
      </c>
      <c r="J57" s="125">
        <f>IF(Ujian!J64="","",IF(LEFT(Ujian!J64,1)=SEKOR!J$2,1,0))</f>
        <v>1</v>
      </c>
      <c r="K57" s="125">
        <f>IF(Ujian!K64="","",IF(LEFT(Ujian!K64,1)=SEKOR!K$2,1,0))</f>
        <v>1</v>
      </c>
      <c r="L57" s="125">
        <f>IF(Ujian!L64="","",IF(LEFT(Ujian!L64,1)=SEKOR!L$2,1,0))</f>
        <v>1</v>
      </c>
      <c r="M57" s="125">
        <f>IF(Ujian!M64="","",IF(LEFT(Ujian!M64,1)=SEKOR!M$2,1,0))</f>
        <v>1</v>
      </c>
      <c r="N57" s="125">
        <f>IF(Ujian!N64="","",IF(LEFT(Ujian!N64,1)=SEKOR!N$2,1,0))</f>
        <v>0</v>
      </c>
      <c r="O57" s="125">
        <f>IF(Ujian!O64="","",IF(LEFT(Ujian!O64,1)=SEKOR!O$2,1,0))</f>
        <v>1</v>
      </c>
      <c r="P57" s="125">
        <f>IF(Ujian!P64="","",IF(LEFT(Ujian!P64,1)=SEKOR!P$2,1,0))</f>
        <v>0</v>
      </c>
      <c r="Q57" s="125">
        <f>IF(Ujian!Q64="","",IF(LEFT(Ujian!Q64,1)=SEKOR!Q$2,1,0))</f>
        <v>1</v>
      </c>
      <c r="R57" s="125">
        <f>IF(Ujian!R64="","",IF(LEFT(Ujian!R64,1)=SEKOR!R$2,1,0))</f>
        <v>0</v>
      </c>
      <c r="S57" s="125">
        <f>IF(Ujian!S64="","",IF(LEFT(Ujian!S64,1)=SEKOR!S$2,1,0))</f>
        <v>1</v>
      </c>
      <c r="T57" s="125">
        <f>IF(Ujian!T64="","",IF(LEFT(Ujian!T64,1)=SEKOR!T$2,1,0))</f>
        <v>1</v>
      </c>
      <c r="U57" s="125">
        <f>IF(Ujian!U64="","",IF(LEFT(Ujian!U64,1)=SEKOR!U$2,1,0))</f>
        <v>1</v>
      </c>
      <c r="V57" s="125">
        <f>IF(Ujian!V64="","",IF(LEFT(Ujian!V64,1)=SEKOR!V$2,1,0))</f>
        <v>0</v>
      </c>
      <c r="W57" s="125" t="str">
        <f>IF(Ujian!W64="","",IF(LEFT(Ujian!W64,1)=SEKOR!W$2,1,0))</f>
        <v/>
      </c>
      <c r="X57" s="125">
        <f>IF(Ujian!X64="","",IF(LEFT(Ujian!X64,1)=SEKOR!X$2,1,0))</f>
        <v>0</v>
      </c>
      <c r="Y57" s="125">
        <f>IF(Ujian!Y64="","",IF(LEFT(Ujian!Y64,1)=SEKOR!Y$2,1,0))</f>
        <v>1</v>
      </c>
      <c r="Z57" s="125" t="str">
        <f>IF(Ujian!Z64="","",IF(LEFT(Ujian!Z64,1)=SEKOR!Z$2,1,0))</f>
        <v/>
      </c>
      <c r="AA57" s="125">
        <f>IF(Ujian!AA64="","",IF(LEFT(Ujian!AA64,1)=SEKOR!AA$2,1,0))</f>
        <v>1</v>
      </c>
      <c r="AB57" s="125">
        <f>IF(Ujian!AB64="","",IF(LEFT(Ujian!AB64,1)=SEKOR!AB$2,1,0))</f>
        <v>1</v>
      </c>
      <c r="AC57" s="125">
        <f>IF(Ujian!AC64="","",IF(LEFT(Ujian!AC64,1)=SEKOR!AC$2,1,0))</f>
        <v>1</v>
      </c>
      <c r="AD57" s="125">
        <f>IF(Ujian!AD64="","",IF(LEFT(Ujian!AD64,1)=SEKOR!AD$2,1,0))</f>
        <v>1</v>
      </c>
      <c r="AE57" s="125">
        <f>IF(Ujian!AE64="","",IF(LEFT(Ujian!AE64,1)=SEKOR!AE$2,1,0))</f>
        <v>0</v>
      </c>
      <c r="AF57" s="125">
        <f>IF(Ujian!AF64="","",IF(LEFT(Ujian!AF64,1)=SEKOR!AF$2,1,0))</f>
        <v>0</v>
      </c>
      <c r="AG57" s="125" t="str">
        <f>IF(Ujian!AG64="","",IF(LEFT(Ujian!AG64,1)=SEKOR!AG$2,1,0))</f>
        <v/>
      </c>
      <c r="AH57" s="125">
        <f>IF(Ujian!AH64="","",IF(LEFT(Ujian!AH64,1)=SEKOR!AH$2,1,0))</f>
        <v>0</v>
      </c>
      <c r="AI57" s="125">
        <f>IF(Ujian!AI64="","",IF(LEFT(Ujian!AI64,1)=SEKOR!AI$2,1,0))</f>
        <v>1</v>
      </c>
      <c r="AJ57" s="125" t="str">
        <f>IF(Ujian!AJ64="","",IF(LEFT(Ujian!AJ64,1)=SEKOR!AJ$2,1,0))</f>
        <v/>
      </c>
      <c r="AK57" s="125">
        <f>IF(Ujian!AK64="","",IF(LEFT(Ujian!AK64,1)=SEKOR!AK$2,1,0))</f>
        <v>0</v>
      </c>
      <c r="AL57" s="125">
        <f>IF(Ujian!AL64="","",IF(LEFT(Ujian!AL64,1)=SEKOR!AL$2,1,0))</f>
        <v>1</v>
      </c>
      <c r="AM57" s="125" t="str">
        <f>IF(Ujian!AM64="","",IF(LEFT(Ujian!AM64,1)=SEKOR!AM$2,1,0))</f>
        <v/>
      </c>
      <c r="AN57" s="125">
        <f>IF(Ujian!AN64="","",IF(LEFT(Ujian!AN64,1)=SEKOR!AN$2,1,0))</f>
        <v>0</v>
      </c>
      <c r="AO57" s="125">
        <f>IF(Ujian!AO64="","",IF(LEFT(Ujian!AO64,1)=SEKOR!AO$2,1,0))</f>
        <v>0</v>
      </c>
      <c r="AP57" s="125">
        <f>IF(Ujian!AP64="","",IF(LEFT(Ujian!AP64,1)=SEKOR!AP$2,1,0))</f>
        <v>1</v>
      </c>
      <c r="AQ57" s="125">
        <f>IF(Ujian!AQ64="","",IF(LEFT(Ujian!AQ64,1)=SEKOR!AQ$2,1,0))</f>
        <v>1</v>
      </c>
      <c r="AR57" s="125">
        <f>IF(Ujian!AR64="","",IF(LEFT(Ujian!AR64,1)=SEKOR!AR$2,1,0))</f>
        <v>1</v>
      </c>
      <c r="AS57" s="125">
        <f>IF(Ujian!AS64="","",IF(LEFT(Ujian!AS64,1)=SEKOR!AS$2,1,0))</f>
        <v>0</v>
      </c>
      <c r="AT57" s="125">
        <f>IF(Ujian!AT64="","",IF(LEFT(Ujian!AT64,1)=SEKOR!AT$2,1,0))</f>
        <v>0</v>
      </c>
      <c r="AU57" s="125">
        <f>IF(Ujian!AU64="","",IF(LEFT(Ujian!AU64,1)=SEKOR!AU$2,1,0))</f>
        <v>1</v>
      </c>
      <c r="AV57" s="125">
        <f>IF(Ujian!AV64="","",IF(LEFT(Ujian!AV64,1)=SEKOR!AV$2,1,0))</f>
        <v>1</v>
      </c>
      <c r="AW57" s="125" t="str">
        <f>IF(Ujian!AW64="","",IF(LEFT(Ujian!AW64,1)=SEKOR!AW$2,1,0))</f>
        <v/>
      </c>
      <c r="AX57" s="125" t="str">
        <f>IF(Ujian!AX64="","",IF(LEFT(Ujian!AX64,1)=SEKOR!AX$2,1,0))</f>
        <v/>
      </c>
      <c r="AY57" s="125" t="str">
        <f>IF(Ujian!AY64="","",IF(LEFT(Ujian!AY64,1)=SEKOR!AY$2,1,0))</f>
        <v/>
      </c>
      <c r="AZ57" s="125" t="str">
        <f>IF(Ujian!AZ64="","",IF(LEFT(Ujian!AZ64,1)=SEKOR!AZ$2,1,0))</f>
        <v/>
      </c>
      <c r="BA57" s="125" t="str">
        <f>IF(Ujian!BA64="","",IF(LEFT(Ujian!BA64,1)=SEKOR!BA$2,1,0))</f>
        <v/>
      </c>
      <c r="BB57" s="125" t="str">
        <f>IF(Ujian!BB64="","",IF(LEFT(Ujian!BB64,1)=SEKOR!BB$2,1,0))</f>
        <v/>
      </c>
      <c r="BC57" s="125" t="str">
        <f>IF(Ujian!BC64="","",IF(LEFT(Ujian!BC64,1)=SEKOR!BC$2,1,0))</f>
        <v/>
      </c>
      <c r="BD57" s="125" t="str">
        <f>IF(Ujian!BD64="","",IF(LEFT(Ujian!BD64,1)=SEKOR!BD$2,1,0))</f>
        <v/>
      </c>
      <c r="BE57" s="125" t="str">
        <f>IF(Ujian!BE64="","",IF(LEFT(Ujian!BE64,1)=SEKOR!BE$2,1,0))</f>
        <v/>
      </c>
      <c r="BF57" s="125" t="str">
        <f>IF(Ujian!BF64="","",IF(LEFT(Ujian!BF64,1)=SEKOR!BF$2,1,0))</f>
        <v/>
      </c>
      <c r="BG57" s="125" t="str">
        <f>IF(Ujian!BG64="","",IF(LEFT(Ujian!BG64,1)=SEKOR!BG$2,1,0))</f>
        <v/>
      </c>
      <c r="BH57" s="125" t="str">
        <f>IF(Ujian!BH64="","",IF(LEFT(Ujian!BH64,1)=SEKOR!BH$2,1,0))</f>
        <v/>
      </c>
      <c r="BI57" s="125" t="str">
        <f>IF(Ujian!BI64="","",IF(LEFT(Ujian!BI64,1)=SEKOR!BI$2,1,0))</f>
        <v/>
      </c>
      <c r="BJ57" s="125" t="str">
        <f>IF(Ujian!BJ64="","",IF(LEFT(Ujian!BJ64,1)=SEKOR!BJ$2,1,0))</f>
        <v/>
      </c>
      <c r="BK57" s="125" t="str">
        <f>IF(Ujian!BK64="","",IF(LEFT(Ujian!BK64,1)=SEKOR!BK$2,1,0))</f>
        <v/>
      </c>
      <c r="BL57" s="18">
        <f t="shared" si="0"/>
        <v>40</v>
      </c>
      <c r="BM57" s="18">
        <f>COUNTIF($D57:$BK57,"")+DATA!$F$14-DATA!$F$12</f>
        <v>20</v>
      </c>
      <c r="BN57" s="17">
        <f>IF(COUNTIF($D57:$BK57,1)&gt;DATA!$F$14,DATA!$F$14,COUNTIF($D57:$BK57,1))</f>
        <v>25</v>
      </c>
      <c r="BO57" s="17">
        <f>IF((BN57+COUNTIF($D57:$BK57,0))&lt;=DATA!$F$14,COUNTIF($D57:$BK57,0),DATA!$F$14-SEKOR!BN57)</f>
        <v>15</v>
      </c>
      <c r="BP57" s="4">
        <f>IF(BL57=0,"",BN57/DATA!$F$14*100)</f>
        <v>62.5</v>
      </c>
      <c r="BQ57" s="121">
        <f t="shared" si="1"/>
        <v>80.645161290322577</v>
      </c>
      <c r="BR57" s="2">
        <f>IF(Praktik!$E57=0,"",Praktik!$E57)</f>
        <v>90</v>
      </c>
      <c r="BS57" s="2">
        <f>IF(BR57="","",(BP57*DATAINFO!$O$4)+(SEKOR!BR57*DATAINFO!$O$5)/(DATAINFO!$O$4+DATAINFO!$O$5))</f>
        <v>92.5</v>
      </c>
      <c r="BT57" s="2">
        <f>IF(BL57=0,"",IF(DATA!$F$18="TIDAK",ROUNDUP((IF!$L$8*SEKOR!$BP57)+IF!$L$9,0),IF($BR57="","",ROUNDUP((IF!$L$20*$BS57)+IF!$L$21,0))))</f>
        <v>80</v>
      </c>
      <c r="BU57" s="47">
        <f>IF(BP57="","",IF(SEKOR!BP57&gt;=DATA!$J$12,1,0))</f>
        <v>0</v>
      </c>
      <c r="BV57" s="47">
        <f>IF(BQ57="","",IF(SEKOR!BQ57&gt;=DATA!$J$12,1,0))</f>
        <v>1</v>
      </c>
      <c r="BW57" s="47">
        <f>IF(BR57="","",IF(SEKOR!BR57&gt;=DATA!$J$12,1,0))</f>
        <v>1</v>
      </c>
      <c r="BX57" s="47">
        <f>IF(BT57="","",IF(DATA!$J$14="",IF(SEKOR!BT57&gt;=DATA!$J$12,1,0),IF(SEKOR!BT57&gt;=DATA!$J$14,1,0)))</f>
        <v>1</v>
      </c>
    </row>
    <row r="58" spans="1:76" x14ac:dyDescent="0.25">
      <c r="A58" s="20" t="s">
        <v>85</v>
      </c>
      <c r="B58" s="21" t="str">
        <f>IF(Ujian!B65="","",Ujian!B65)</f>
        <v>  234728</v>
      </c>
      <c r="C58" s="57" t="str">
        <f>IF(Ujian!C65="","",Ujian!C65)</f>
        <v>  Zaskia Hardiyanti</v>
      </c>
      <c r="D58" s="125">
        <f>IF(Ujian!D65="","",IF(LEFT(Ujian!D65,1)=SEKOR!D$2,1,0))</f>
        <v>0</v>
      </c>
      <c r="E58" s="125">
        <f>IF(Ujian!E65="","",IF(LEFT(Ujian!E65,1)=SEKOR!E$2,1,0))</f>
        <v>0</v>
      </c>
      <c r="F58" s="125">
        <f>IF(Ujian!F65="","",IF(LEFT(Ujian!F65,1)=SEKOR!F$2,1,0))</f>
        <v>0</v>
      </c>
      <c r="G58" s="125" t="str">
        <f>IF(Ujian!G65="","",IF(LEFT(Ujian!G65,1)=SEKOR!G$2,1,0))</f>
        <v/>
      </c>
      <c r="H58" s="125">
        <f>IF(Ujian!H65="","",IF(LEFT(Ujian!H65,1)=SEKOR!H$2,1,0))</f>
        <v>0</v>
      </c>
      <c r="I58" s="125" t="str">
        <f>IF(Ujian!I65="","",IF(LEFT(Ujian!I65,1)=SEKOR!I$2,1,0))</f>
        <v/>
      </c>
      <c r="J58" s="125">
        <f>IF(Ujian!J65="","",IF(LEFT(Ujian!J65,1)=SEKOR!J$2,1,0))</f>
        <v>1</v>
      </c>
      <c r="K58" s="125" t="str">
        <f>IF(Ujian!K65="","",IF(LEFT(Ujian!K65,1)=SEKOR!K$2,1,0))</f>
        <v/>
      </c>
      <c r="L58" s="125">
        <f>IF(Ujian!L65="","",IF(LEFT(Ujian!L65,1)=SEKOR!L$2,1,0))</f>
        <v>1</v>
      </c>
      <c r="M58" s="125">
        <f>IF(Ujian!M65="","",IF(LEFT(Ujian!M65,1)=SEKOR!M$2,1,0))</f>
        <v>0</v>
      </c>
      <c r="N58" s="125">
        <f>IF(Ujian!N65="","",IF(LEFT(Ujian!N65,1)=SEKOR!N$2,1,0))</f>
        <v>0</v>
      </c>
      <c r="O58" s="125">
        <f>IF(Ujian!O65="","",IF(LEFT(Ujian!O65,1)=SEKOR!O$2,1,0))</f>
        <v>0</v>
      </c>
      <c r="P58" s="125">
        <f>IF(Ujian!P65="","",IF(LEFT(Ujian!P65,1)=SEKOR!P$2,1,0))</f>
        <v>0</v>
      </c>
      <c r="Q58" s="125">
        <f>IF(Ujian!Q65="","",IF(LEFT(Ujian!Q65,1)=SEKOR!Q$2,1,0))</f>
        <v>1</v>
      </c>
      <c r="R58" s="125">
        <f>IF(Ujian!R65="","",IF(LEFT(Ujian!R65,1)=SEKOR!R$2,1,0))</f>
        <v>0</v>
      </c>
      <c r="S58" s="125">
        <f>IF(Ujian!S65="","",IF(LEFT(Ujian!S65,1)=SEKOR!S$2,1,0))</f>
        <v>1</v>
      </c>
      <c r="T58" s="125">
        <f>IF(Ujian!T65="","",IF(LEFT(Ujian!T65,1)=SEKOR!T$2,1,0))</f>
        <v>1</v>
      </c>
      <c r="U58" s="125">
        <f>IF(Ujian!U65="","",IF(LEFT(Ujian!U65,1)=SEKOR!U$2,1,0))</f>
        <v>1</v>
      </c>
      <c r="V58" s="125">
        <f>IF(Ujian!V65="","",IF(LEFT(Ujian!V65,1)=SEKOR!V$2,1,0))</f>
        <v>1</v>
      </c>
      <c r="W58" s="125">
        <f>IF(Ujian!W65="","",IF(LEFT(Ujian!W65,1)=SEKOR!W$2,1,0))</f>
        <v>1</v>
      </c>
      <c r="X58" s="125">
        <f>IF(Ujian!X65="","",IF(LEFT(Ujian!X65,1)=SEKOR!X$2,1,0))</f>
        <v>1</v>
      </c>
      <c r="Y58" s="125">
        <f>IF(Ujian!Y65="","",IF(LEFT(Ujian!Y65,1)=SEKOR!Y$2,1,0))</f>
        <v>1</v>
      </c>
      <c r="Z58" s="125">
        <f>IF(Ujian!Z65="","",IF(LEFT(Ujian!Z65,1)=SEKOR!Z$2,1,0))</f>
        <v>0</v>
      </c>
      <c r="AA58" s="125">
        <f>IF(Ujian!AA65="","",IF(LEFT(Ujian!AA65,1)=SEKOR!AA$2,1,0))</f>
        <v>0</v>
      </c>
      <c r="AB58" s="125" t="str">
        <f>IF(Ujian!AB65="","",IF(LEFT(Ujian!AB65,1)=SEKOR!AB$2,1,0))</f>
        <v/>
      </c>
      <c r="AC58" s="125">
        <f>IF(Ujian!AC65="","",IF(LEFT(Ujian!AC65,1)=SEKOR!AC$2,1,0))</f>
        <v>1</v>
      </c>
      <c r="AD58" s="125" t="str">
        <f>IF(Ujian!AD65="","",IF(LEFT(Ujian!AD65,1)=SEKOR!AD$2,1,0))</f>
        <v/>
      </c>
      <c r="AE58" s="125">
        <f>IF(Ujian!AE65="","",IF(LEFT(Ujian!AE65,1)=SEKOR!AE$2,1,0))</f>
        <v>1</v>
      </c>
      <c r="AF58" s="125">
        <f>IF(Ujian!AF65="","",IF(LEFT(Ujian!AF65,1)=SEKOR!AF$2,1,0))</f>
        <v>0</v>
      </c>
      <c r="AG58" s="125">
        <f>IF(Ujian!AG65="","",IF(LEFT(Ujian!AG65,1)=SEKOR!AG$2,1,0))</f>
        <v>0</v>
      </c>
      <c r="AH58" s="125">
        <f>IF(Ujian!AH65="","",IF(LEFT(Ujian!AH65,1)=SEKOR!AH$2,1,0))</f>
        <v>0</v>
      </c>
      <c r="AI58" s="125">
        <f>IF(Ujian!AI65="","",IF(LEFT(Ujian!AI65,1)=SEKOR!AI$2,1,0))</f>
        <v>0</v>
      </c>
      <c r="AJ58" s="125">
        <f>IF(Ujian!AJ65="","",IF(LEFT(Ujian!AJ65,1)=SEKOR!AJ$2,1,0))</f>
        <v>0</v>
      </c>
      <c r="AK58" s="125">
        <f>IF(Ujian!AK65="","",IF(LEFT(Ujian!AK65,1)=SEKOR!AK$2,1,0))</f>
        <v>0</v>
      </c>
      <c r="AL58" s="125">
        <f>IF(Ujian!AL65="","",IF(LEFT(Ujian!AL65,1)=SEKOR!AL$2,1,0))</f>
        <v>0</v>
      </c>
      <c r="AM58" s="125">
        <f>IF(Ujian!AM65="","",IF(LEFT(Ujian!AM65,1)=SEKOR!AM$2,1,0))</f>
        <v>1</v>
      </c>
      <c r="AN58" s="125">
        <f>IF(Ujian!AN65="","",IF(LEFT(Ujian!AN65,1)=SEKOR!AN$2,1,0))</f>
        <v>1</v>
      </c>
      <c r="AO58" s="125">
        <f>IF(Ujian!AO65="","",IF(LEFT(Ujian!AO65,1)=SEKOR!AO$2,1,0))</f>
        <v>0</v>
      </c>
      <c r="AP58" s="125">
        <f>IF(Ujian!AP65="","",IF(LEFT(Ujian!AP65,1)=SEKOR!AP$2,1,0))</f>
        <v>1</v>
      </c>
      <c r="AQ58" s="125">
        <f>IF(Ujian!AQ65="","",IF(LEFT(Ujian!AQ65,1)=SEKOR!AQ$2,1,0))</f>
        <v>0</v>
      </c>
      <c r="AR58" s="125">
        <f>IF(Ujian!AR65="","",IF(LEFT(Ujian!AR65,1)=SEKOR!AR$2,1,0))</f>
        <v>1</v>
      </c>
      <c r="AS58" s="125">
        <f>IF(Ujian!AS65="","",IF(LEFT(Ujian!AS65,1)=SEKOR!AS$2,1,0))</f>
        <v>1</v>
      </c>
      <c r="AT58" s="125">
        <f>IF(Ujian!AT65="","",IF(LEFT(Ujian!AT65,1)=SEKOR!AT$2,1,0))</f>
        <v>0</v>
      </c>
      <c r="AU58" s="125">
        <f>IF(Ujian!AU65="","",IF(LEFT(Ujian!AU65,1)=SEKOR!AU$2,1,0))</f>
        <v>0</v>
      </c>
      <c r="AV58" s="125">
        <f>IF(Ujian!AV65="","",IF(LEFT(Ujian!AV65,1)=SEKOR!AV$2,1,0))</f>
        <v>0</v>
      </c>
      <c r="AW58" s="125" t="str">
        <f>IF(Ujian!AW65="","",IF(LEFT(Ujian!AW65,1)=SEKOR!AW$2,1,0))</f>
        <v/>
      </c>
      <c r="AX58" s="125" t="str">
        <f>IF(Ujian!AX65="","",IF(LEFT(Ujian!AX65,1)=SEKOR!AX$2,1,0))</f>
        <v/>
      </c>
      <c r="AY58" s="125" t="str">
        <f>IF(Ujian!AY65="","",IF(LEFT(Ujian!AY65,1)=SEKOR!AY$2,1,0))</f>
        <v/>
      </c>
      <c r="AZ58" s="125" t="str">
        <f>IF(Ujian!AZ65="","",IF(LEFT(Ujian!AZ65,1)=SEKOR!AZ$2,1,0))</f>
        <v/>
      </c>
      <c r="BA58" s="125" t="str">
        <f>IF(Ujian!BA65="","",IF(LEFT(Ujian!BA65,1)=SEKOR!BA$2,1,0))</f>
        <v/>
      </c>
      <c r="BB58" s="125" t="str">
        <f>IF(Ujian!BB65="","",IF(LEFT(Ujian!BB65,1)=SEKOR!BB$2,1,0))</f>
        <v/>
      </c>
      <c r="BC58" s="125" t="str">
        <f>IF(Ujian!BC65="","",IF(LEFT(Ujian!BC65,1)=SEKOR!BC$2,1,0))</f>
        <v/>
      </c>
      <c r="BD58" s="125" t="str">
        <f>IF(Ujian!BD65="","",IF(LEFT(Ujian!BD65,1)=SEKOR!BD$2,1,0))</f>
        <v/>
      </c>
      <c r="BE58" s="125" t="str">
        <f>IF(Ujian!BE65="","",IF(LEFT(Ujian!BE65,1)=SEKOR!BE$2,1,0))</f>
        <v/>
      </c>
      <c r="BF58" s="125" t="str">
        <f>IF(Ujian!BF65="","",IF(LEFT(Ujian!BF65,1)=SEKOR!BF$2,1,0))</f>
        <v/>
      </c>
      <c r="BG58" s="125" t="str">
        <f>IF(Ujian!BG65="","",IF(LEFT(Ujian!BG65,1)=SEKOR!BG$2,1,0))</f>
        <v/>
      </c>
      <c r="BH58" s="125" t="str">
        <f>IF(Ujian!BH65="","",IF(LEFT(Ujian!BH65,1)=SEKOR!BH$2,1,0))</f>
        <v/>
      </c>
      <c r="BI58" s="125" t="str">
        <f>IF(Ujian!BI65="","",IF(LEFT(Ujian!BI65,1)=SEKOR!BI$2,1,0))</f>
        <v/>
      </c>
      <c r="BJ58" s="125" t="str">
        <f>IF(Ujian!BJ65="","",IF(LEFT(Ujian!BJ65,1)=SEKOR!BJ$2,1,0))</f>
        <v/>
      </c>
      <c r="BK58" s="125" t="str">
        <f>IF(Ujian!BK65="","",IF(LEFT(Ujian!BK65,1)=SEKOR!BK$2,1,0))</f>
        <v/>
      </c>
      <c r="BL58" s="18">
        <f t="shared" si="0"/>
        <v>40</v>
      </c>
      <c r="BM58" s="18">
        <f>COUNTIF($D58:$BK58,"")+DATA!$F$14-DATA!$F$12</f>
        <v>20</v>
      </c>
      <c r="BN58" s="17">
        <f>IF(COUNTIF($D58:$BK58,1)&gt;DATA!$F$14,DATA!$F$14,COUNTIF($D58:$BK58,1))</f>
        <v>17</v>
      </c>
      <c r="BO58" s="17">
        <f>IF((BN58+COUNTIF($D58:$BK58,0))&lt;=DATA!$F$14,COUNTIF($D58:$BK58,0),DATA!$F$14-SEKOR!BN58)</f>
        <v>23</v>
      </c>
      <c r="BP58" s="4">
        <f>IF(BL58=0,"",BN58/DATA!$F$14*100)</f>
        <v>42.5</v>
      </c>
      <c r="BQ58" s="121">
        <f t="shared" si="1"/>
        <v>54.838709677419352</v>
      </c>
      <c r="BR58" s="2">
        <f>IF(Praktik!$E58=0,"",Praktik!$E58)</f>
        <v>90</v>
      </c>
      <c r="BS58" s="2">
        <f>IF(BR58="","",(BP58*DATAINFO!$O$4)+(SEKOR!BR58*DATAINFO!$O$5)/(DATAINFO!$O$4+DATAINFO!$O$5))</f>
        <v>72.5</v>
      </c>
      <c r="BT58" s="2">
        <f>IF(BL58=0,"",IF(DATA!$F$18="TIDAK",ROUNDUP((IF!$L$8*SEKOR!$BP58)+IF!$L$9,0),IF($BR58="","",ROUNDUP((IF!$L$20*$BS58)+IF!$L$21,0))))</f>
        <v>67</v>
      </c>
      <c r="BU58" s="47">
        <f>IF(BP58="","",IF(SEKOR!BP58&gt;=DATA!$J$12,1,0))</f>
        <v>0</v>
      </c>
      <c r="BV58" s="47">
        <f>IF(BQ58="","",IF(SEKOR!BQ58&gt;=DATA!$J$12,1,0))</f>
        <v>0</v>
      </c>
      <c r="BW58" s="47">
        <f>IF(BR58="","",IF(SEKOR!BR58&gt;=DATA!$J$12,1,0))</f>
        <v>1</v>
      </c>
      <c r="BX58" s="47">
        <f>IF(BT58="","",IF(DATA!$J$14="",IF(SEKOR!BT58&gt;=DATA!$J$12,1,0),IF(SEKOR!BT58&gt;=DATA!$J$14,1,0)))</f>
        <v>1</v>
      </c>
    </row>
    <row r="59" spans="1:76" x14ac:dyDescent="0.25">
      <c r="A59" s="20" t="s">
        <v>86</v>
      </c>
      <c r="B59" s="21" t="str">
        <f>IF(Ujian!B66="","",Ujian!B66)</f>
        <v/>
      </c>
      <c r="C59" s="57" t="str">
        <f>IF(Ujian!C66="","",Ujian!C66)</f>
        <v/>
      </c>
      <c r="D59" s="125" t="str">
        <f>IF(Ujian!D66="","",IF(LEFT(Ujian!D66,1)=SEKOR!D$2,1,0))</f>
        <v/>
      </c>
      <c r="E59" s="125" t="str">
        <f>IF(Ujian!E66="","",IF(LEFT(Ujian!E66,1)=SEKOR!E$2,1,0))</f>
        <v/>
      </c>
      <c r="F59" s="125" t="str">
        <f>IF(Ujian!F66="","",IF(LEFT(Ujian!F66,1)=SEKOR!F$2,1,0))</f>
        <v/>
      </c>
      <c r="G59" s="125" t="str">
        <f>IF(Ujian!G66="","",IF(LEFT(Ujian!G66,1)=SEKOR!G$2,1,0))</f>
        <v/>
      </c>
      <c r="H59" s="125" t="str">
        <f>IF(Ujian!H66="","",IF(LEFT(Ujian!H66,1)=SEKOR!H$2,1,0))</f>
        <v/>
      </c>
      <c r="I59" s="125" t="str">
        <f>IF(Ujian!I66="","",IF(LEFT(Ujian!I66,1)=SEKOR!I$2,1,0))</f>
        <v/>
      </c>
      <c r="J59" s="125" t="str">
        <f>IF(Ujian!J66="","",IF(LEFT(Ujian!J66,1)=SEKOR!J$2,1,0))</f>
        <v/>
      </c>
      <c r="K59" s="125" t="str">
        <f>IF(Ujian!K66="","",IF(LEFT(Ujian!K66,1)=SEKOR!K$2,1,0))</f>
        <v/>
      </c>
      <c r="L59" s="125" t="str">
        <f>IF(Ujian!L66="","",IF(LEFT(Ujian!L66,1)=SEKOR!L$2,1,0))</f>
        <v/>
      </c>
      <c r="M59" s="125" t="str">
        <f>IF(Ujian!M66="","",IF(LEFT(Ujian!M66,1)=SEKOR!M$2,1,0))</f>
        <v/>
      </c>
      <c r="N59" s="125" t="str">
        <f>IF(Ujian!N66="","",IF(LEFT(Ujian!N66,1)=SEKOR!N$2,1,0))</f>
        <v/>
      </c>
      <c r="O59" s="125" t="str">
        <f>IF(Ujian!O66="","",IF(LEFT(Ujian!O66,1)=SEKOR!O$2,1,0))</f>
        <v/>
      </c>
      <c r="P59" s="125" t="str">
        <f>IF(Ujian!P66="","",IF(LEFT(Ujian!P66,1)=SEKOR!P$2,1,0))</f>
        <v/>
      </c>
      <c r="Q59" s="125" t="str">
        <f>IF(Ujian!Q66="","",IF(LEFT(Ujian!Q66,1)=SEKOR!Q$2,1,0))</f>
        <v/>
      </c>
      <c r="R59" s="125" t="str">
        <f>IF(Ujian!R66="","",IF(LEFT(Ujian!R66,1)=SEKOR!R$2,1,0))</f>
        <v/>
      </c>
      <c r="S59" s="125" t="str">
        <f>IF(Ujian!S66="","",IF(LEFT(Ujian!S66,1)=SEKOR!S$2,1,0))</f>
        <v/>
      </c>
      <c r="T59" s="125" t="str">
        <f>IF(Ujian!T66="","",IF(LEFT(Ujian!T66,1)=SEKOR!T$2,1,0))</f>
        <v/>
      </c>
      <c r="U59" s="125" t="str">
        <f>IF(Ujian!U66="","",IF(LEFT(Ujian!U66,1)=SEKOR!U$2,1,0))</f>
        <v/>
      </c>
      <c r="V59" s="125" t="str">
        <f>IF(Ujian!V66="","",IF(LEFT(Ujian!V66,1)=SEKOR!V$2,1,0))</f>
        <v/>
      </c>
      <c r="W59" s="125" t="str">
        <f>IF(Ujian!W66="","",IF(LEFT(Ujian!W66,1)=SEKOR!W$2,1,0))</f>
        <v/>
      </c>
      <c r="X59" s="125" t="str">
        <f>IF(Ujian!X66="","",IF(LEFT(Ujian!X66,1)=SEKOR!X$2,1,0))</f>
        <v/>
      </c>
      <c r="Y59" s="125" t="str">
        <f>IF(Ujian!Y66="","",IF(LEFT(Ujian!Y66,1)=SEKOR!Y$2,1,0))</f>
        <v/>
      </c>
      <c r="Z59" s="125" t="str">
        <f>IF(Ujian!Z66="","",IF(LEFT(Ujian!Z66,1)=SEKOR!Z$2,1,0))</f>
        <v/>
      </c>
      <c r="AA59" s="125" t="str">
        <f>IF(Ujian!AA66="","",IF(LEFT(Ujian!AA66,1)=SEKOR!AA$2,1,0))</f>
        <v/>
      </c>
      <c r="AB59" s="125" t="str">
        <f>IF(Ujian!AB66="","",IF(LEFT(Ujian!AB66,1)=SEKOR!AB$2,1,0))</f>
        <v/>
      </c>
      <c r="AC59" s="125" t="str">
        <f>IF(Ujian!AC66="","",IF(LEFT(Ujian!AC66,1)=SEKOR!AC$2,1,0))</f>
        <v/>
      </c>
      <c r="AD59" s="125" t="str">
        <f>IF(Ujian!AD66="","",IF(LEFT(Ujian!AD66,1)=SEKOR!AD$2,1,0))</f>
        <v/>
      </c>
      <c r="AE59" s="125" t="str">
        <f>IF(Ujian!AE66="","",IF(LEFT(Ujian!AE66,1)=SEKOR!AE$2,1,0))</f>
        <v/>
      </c>
      <c r="AF59" s="125" t="str">
        <f>IF(Ujian!AF66="","",IF(LEFT(Ujian!AF66,1)=SEKOR!AF$2,1,0))</f>
        <v/>
      </c>
      <c r="AG59" s="125" t="str">
        <f>IF(Ujian!AG66="","",IF(LEFT(Ujian!AG66,1)=SEKOR!AG$2,1,0))</f>
        <v/>
      </c>
      <c r="AH59" s="125" t="str">
        <f>IF(Ujian!AH66="","",IF(LEFT(Ujian!AH66,1)=SEKOR!AH$2,1,0))</f>
        <v/>
      </c>
      <c r="AI59" s="125" t="str">
        <f>IF(Ujian!AI66="","",IF(LEFT(Ujian!AI66,1)=SEKOR!AI$2,1,0))</f>
        <v/>
      </c>
      <c r="AJ59" s="125" t="str">
        <f>IF(Ujian!AJ66="","",IF(LEFT(Ujian!AJ66,1)=SEKOR!AJ$2,1,0))</f>
        <v/>
      </c>
      <c r="AK59" s="125" t="str">
        <f>IF(Ujian!AK66="","",IF(LEFT(Ujian!AK66,1)=SEKOR!AK$2,1,0))</f>
        <v/>
      </c>
      <c r="AL59" s="125" t="str">
        <f>IF(Ujian!AL66="","",IF(LEFT(Ujian!AL66,1)=SEKOR!AL$2,1,0))</f>
        <v/>
      </c>
      <c r="AM59" s="125" t="str">
        <f>IF(Ujian!AM66="","",IF(LEFT(Ujian!AM66,1)=SEKOR!AM$2,1,0))</f>
        <v/>
      </c>
      <c r="AN59" s="125" t="str">
        <f>IF(Ujian!AN66="","",IF(LEFT(Ujian!AN66,1)=SEKOR!AN$2,1,0))</f>
        <v/>
      </c>
      <c r="AO59" s="125" t="str">
        <f>IF(Ujian!AO66="","",IF(LEFT(Ujian!AO66,1)=SEKOR!AO$2,1,0))</f>
        <v/>
      </c>
      <c r="AP59" s="125" t="str">
        <f>IF(Ujian!AP66="","",IF(LEFT(Ujian!AP66,1)=SEKOR!AP$2,1,0))</f>
        <v/>
      </c>
      <c r="AQ59" s="125" t="str">
        <f>IF(Ujian!AQ66="","",IF(LEFT(Ujian!AQ66,1)=SEKOR!AQ$2,1,0))</f>
        <v/>
      </c>
      <c r="AR59" s="125" t="str">
        <f>IF(Ujian!AR66="","",IF(LEFT(Ujian!AR66,1)=SEKOR!AR$2,1,0))</f>
        <v/>
      </c>
      <c r="AS59" s="125" t="str">
        <f>IF(Ujian!AS66="","",IF(LEFT(Ujian!AS66,1)=SEKOR!AS$2,1,0))</f>
        <v/>
      </c>
      <c r="AT59" s="125" t="str">
        <f>IF(Ujian!AT66="","",IF(LEFT(Ujian!AT66,1)=SEKOR!AT$2,1,0))</f>
        <v/>
      </c>
      <c r="AU59" s="125" t="str">
        <f>IF(Ujian!AU66="","",IF(LEFT(Ujian!AU66,1)=SEKOR!AU$2,1,0))</f>
        <v/>
      </c>
      <c r="AV59" s="125" t="str">
        <f>IF(Ujian!AV66="","",IF(LEFT(Ujian!AV66,1)=SEKOR!AV$2,1,0))</f>
        <v/>
      </c>
      <c r="AW59" s="125" t="str">
        <f>IF(Ujian!AW66="","",IF(LEFT(Ujian!AW66,1)=SEKOR!AW$2,1,0))</f>
        <v/>
      </c>
      <c r="AX59" s="125" t="str">
        <f>IF(Ujian!AX66="","",IF(LEFT(Ujian!AX66,1)=SEKOR!AX$2,1,0))</f>
        <v/>
      </c>
      <c r="AY59" s="125" t="str">
        <f>IF(Ujian!AY66="","",IF(LEFT(Ujian!AY66,1)=SEKOR!AY$2,1,0))</f>
        <v/>
      </c>
      <c r="AZ59" s="125" t="str">
        <f>IF(Ujian!AZ66="","",IF(LEFT(Ujian!AZ66,1)=SEKOR!AZ$2,1,0))</f>
        <v/>
      </c>
      <c r="BA59" s="125" t="str">
        <f>IF(Ujian!BA66="","",IF(LEFT(Ujian!BA66,1)=SEKOR!BA$2,1,0))</f>
        <v/>
      </c>
      <c r="BB59" s="125" t="str">
        <f>IF(Ujian!BB66="","",IF(LEFT(Ujian!BB66,1)=SEKOR!BB$2,1,0))</f>
        <v/>
      </c>
      <c r="BC59" s="125" t="str">
        <f>IF(Ujian!BC66="","",IF(LEFT(Ujian!BC66,1)=SEKOR!BC$2,1,0))</f>
        <v/>
      </c>
      <c r="BD59" s="125" t="str">
        <f>IF(Ujian!BD66="","",IF(LEFT(Ujian!BD66,1)=SEKOR!BD$2,1,0))</f>
        <v/>
      </c>
      <c r="BE59" s="125" t="str">
        <f>IF(Ujian!BE66="","",IF(LEFT(Ujian!BE66,1)=SEKOR!BE$2,1,0))</f>
        <v/>
      </c>
      <c r="BF59" s="125" t="str">
        <f>IF(Ujian!BF66="","",IF(LEFT(Ujian!BF66,1)=SEKOR!BF$2,1,0))</f>
        <v/>
      </c>
      <c r="BG59" s="125" t="str">
        <f>IF(Ujian!BG66="","",IF(LEFT(Ujian!BG66,1)=SEKOR!BG$2,1,0))</f>
        <v/>
      </c>
      <c r="BH59" s="125" t="str">
        <f>IF(Ujian!BH66="","",IF(LEFT(Ujian!BH66,1)=SEKOR!BH$2,1,0))</f>
        <v/>
      </c>
      <c r="BI59" s="125" t="str">
        <f>IF(Ujian!BI66="","",IF(LEFT(Ujian!BI66,1)=SEKOR!BI$2,1,0))</f>
        <v/>
      </c>
      <c r="BJ59" s="125" t="str">
        <f>IF(Ujian!BJ66="","",IF(LEFT(Ujian!BJ66,1)=SEKOR!BJ$2,1,0))</f>
        <v/>
      </c>
      <c r="BK59" s="125" t="str">
        <f>IF(Ujian!BK66="","",IF(LEFT(Ujian!BK66,1)=SEKOR!BK$2,1,0))</f>
        <v/>
      </c>
      <c r="BL59" s="18">
        <f t="shared" si="0"/>
        <v>0</v>
      </c>
      <c r="BM59" s="18">
        <f>COUNTIF($D59:$BK59,"")+DATA!$F$14-DATA!$F$12</f>
        <v>60</v>
      </c>
      <c r="BN59" s="17">
        <f>IF(COUNTIF($D59:$BK59,1)&gt;DATA!$F$14,DATA!$F$14,COUNTIF($D59:$BK59,1))</f>
        <v>0</v>
      </c>
      <c r="BO59" s="17">
        <f>IF((BN59+COUNTIF($D59:$BK59,0))&lt;=DATA!$F$14,COUNTIF($D59:$BK59,0),DATA!$F$14-SEKOR!BN59)</f>
        <v>0</v>
      </c>
      <c r="BP59" s="4" t="str">
        <f>IF(BL59=0,"",BN59/DATA!$F$14*100)</f>
        <v/>
      </c>
      <c r="BQ59" s="121" t="str">
        <f t="shared" si="1"/>
        <v/>
      </c>
      <c r="BR59" s="2" t="str">
        <f>IF(Praktik!$E59=0,"",Praktik!$E59)</f>
        <v/>
      </c>
      <c r="BS59" s="2" t="str">
        <f>IF(BR59="","",(BP59*DATAINFO!$O$4)+(SEKOR!BR59*DATAINFO!$O$5)/(DATAINFO!$O$4+DATAINFO!$O$5))</f>
        <v/>
      </c>
      <c r="BT59" s="2" t="str">
        <f>IF(BL59=0,"",IF(DATA!$F$18="TIDAK",ROUNDUP((IF!$L$8*SEKOR!$BP59)+IF!$L$9,0),IF($BR59="","",ROUNDUP((IF!$L$20*$BS59)+IF!$L$21,0))))</f>
        <v/>
      </c>
      <c r="BU59" s="47" t="str">
        <f>IF(BP59="","",IF(SEKOR!BP59&gt;=DATA!$J$12,1,0))</f>
        <v/>
      </c>
      <c r="BV59" s="47" t="str">
        <f>IF(BQ59="","",IF(SEKOR!BQ59&gt;=DATA!$J$12,1,0))</f>
        <v/>
      </c>
      <c r="BW59" s="47" t="str">
        <f>IF(BR59="","",IF(SEKOR!BR59&gt;=DATA!$J$12,1,0))</f>
        <v/>
      </c>
      <c r="BX59" s="47" t="str">
        <f>IF(BT59="","",IF(DATA!$J$14="",IF(SEKOR!BT59&gt;=DATA!$J$12,1,0),IF(SEKOR!BT59&gt;=DATA!$J$14,1,0)))</f>
        <v/>
      </c>
    </row>
    <row r="60" spans="1:76" x14ac:dyDescent="0.25">
      <c r="A60" s="20" t="s">
        <v>87</v>
      </c>
      <c r="B60" s="21" t="str">
        <f>IF(Ujian!B67="","",Ujian!B67)</f>
        <v/>
      </c>
      <c r="C60" s="57" t="str">
        <f>IF(Ujian!C67="","",Ujian!C67)</f>
        <v/>
      </c>
      <c r="D60" s="125" t="str">
        <f>IF(Ujian!D67="","",IF(LEFT(Ujian!D67,1)=SEKOR!D$2,1,0))</f>
        <v/>
      </c>
      <c r="E60" s="125" t="str">
        <f>IF(Ujian!E67="","",IF(LEFT(Ujian!E67,1)=SEKOR!E$2,1,0))</f>
        <v/>
      </c>
      <c r="F60" s="125" t="str">
        <f>IF(Ujian!F67="","",IF(LEFT(Ujian!F67,1)=SEKOR!F$2,1,0))</f>
        <v/>
      </c>
      <c r="G60" s="125" t="str">
        <f>IF(Ujian!G67="","",IF(LEFT(Ujian!G67,1)=SEKOR!G$2,1,0))</f>
        <v/>
      </c>
      <c r="H60" s="125" t="str">
        <f>IF(Ujian!H67="","",IF(LEFT(Ujian!H67,1)=SEKOR!H$2,1,0))</f>
        <v/>
      </c>
      <c r="I60" s="125" t="str">
        <f>IF(Ujian!I67="","",IF(LEFT(Ujian!I67,1)=SEKOR!I$2,1,0))</f>
        <v/>
      </c>
      <c r="J60" s="125" t="str">
        <f>IF(Ujian!J67="","",IF(LEFT(Ujian!J67,1)=SEKOR!J$2,1,0))</f>
        <v/>
      </c>
      <c r="K60" s="125" t="str">
        <f>IF(Ujian!K67="","",IF(LEFT(Ujian!K67,1)=SEKOR!K$2,1,0))</f>
        <v/>
      </c>
      <c r="L60" s="125" t="str">
        <f>IF(Ujian!L67="","",IF(LEFT(Ujian!L67,1)=SEKOR!L$2,1,0))</f>
        <v/>
      </c>
      <c r="M60" s="125" t="str">
        <f>IF(Ujian!M67="","",IF(LEFT(Ujian!M67,1)=SEKOR!M$2,1,0))</f>
        <v/>
      </c>
      <c r="N60" s="125" t="str">
        <f>IF(Ujian!N67="","",IF(LEFT(Ujian!N67,1)=SEKOR!N$2,1,0))</f>
        <v/>
      </c>
      <c r="O60" s="125" t="str">
        <f>IF(Ujian!O67="","",IF(LEFT(Ujian!O67,1)=SEKOR!O$2,1,0))</f>
        <v/>
      </c>
      <c r="P60" s="125" t="str">
        <f>IF(Ujian!P67="","",IF(LEFT(Ujian!P67,1)=SEKOR!P$2,1,0))</f>
        <v/>
      </c>
      <c r="Q60" s="125" t="str">
        <f>IF(Ujian!Q67="","",IF(LEFT(Ujian!Q67,1)=SEKOR!Q$2,1,0))</f>
        <v/>
      </c>
      <c r="R60" s="125" t="str">
        <f>IF(Ujian!R67="","",IF(LEFT(Ujian!R67,1)=SEKOR!R$2,1,0))</f>
        <v/>
      </c>
      <c r="S60" s="125" t="str">
        <f>IF(Ujian!S67="","",IF(LEFT(Ujian!S67,1)=SEKOR!S$2,1,0))</f>
        <v/>
      </c>
      <c r="T60" s="125" t="str">
        <f>IF(Ujian!T67="","",IF(LEFT(Ujian!T67,1)=SEKOR!T$2,1,0))</f>
        <v/>
      </c>
      <c r="U60" s="125" t="str">
        <f>IF(Ujian!U67="","",IF(LEFT(Ujian!U67,1)=SEKOR!U$2,1,0))</f>
        <v/>
      </c>
      <c r="V60" s="125" t="str">
        <f>IF(Ujian!V67="","",IF(LEFT(Ujian!V67,1)=SEKOR!V$2,1,0))</f>
        <v/>
      </c>
      <c r="W60" s="125" t="str">
        <f>IF(Ujian!W67="","",IF(LEFT(Ujian!W67,1)=SEKOR!W$2,1,0))</f>
        <v/>
      </c>
      <c r="X60" s="125" t="str">
        <f>IF(Ujian!X67="","",IF(LEFT(Ujian!X67,1)=SEKOR!X$2,1,0))</f>
        <v/>
      </c>
      <c r="Y60" s="125" t="str">
        <f>IF(Ujian!Y67="","",IF(LEFT(Ujian!Y67,1)=SEKOR!Y$2,1,0))</f>
        <v/>
      </c>
      <c r="Z60" s="125" t="str">
        <f>IF(Ujian!Z67="","",IF(LEFT(Ujian!Z67,1)=SEKOR!Z$2,1,0))</f>
        <v/>
      </c>
      <c r="AA60" s="125" t="str">
        <f>IF(Ujian!AA67="","",IF(LEFT(Ujian!AA67,1)=SEKOR!AA$2,1,0))</f>
        <v/>
      </c>
      <c r="AB60" s="125" t="str">
        <f>IF(Ujian!AB67="","",IF(LEFT(Ujian!AB67,1)=SEKOR!AB$2,1,0))</f>
        <v/>
      </c>
      <c r="AC60" s="125" t="str">
        <f>IF(Ujian!AC67="","",IF(LEFT(Ujian!AC67,1)=SEKOR!AC$2,1,0))</f>
        <v/>
      </c>
      <c r="AD60" s="125" t="str">
        <f>IF(Ujian!AD67="","",IF(LEFT(Ujian!AD67,1)=SEKOR!AD$2,1,0))</f>
        <v/>
      </c>
      <c r="AE60" s="125" t="str">
        <f>IF(Ujian!AE67="","",IF(LEFT(Ujian!AE67,1)=SEKOR!AE$2,1,0))</f>
        <v/>
      </c>
      <c r="AF60" s="125" t="str">
        <f>IF(Ujian!AF67="","",IF(LEFT(Ujian!AF67,1)=SEKOR!AF$2,1,0))</f>
        <v/>
      </c>
      <c r="AG60" s="125" t="str">
        <f>IF(Ujian!AG67="","",IF(LEFT(Ujian!AG67,1)=SEKOR!AG$2,1,0))</f>
        <v/>
      </c>
      <c r="AH60" s="125" t="str">
        <f>IF(Ujian!AH67="","",IF(LEFT(Ujian!AH67,1)=SEKOR!AH$2,1,0))</f>
        <v/>
      </c>
      <c r="AI60" s="125" t="str">
        <f>IF(Ujian!AI67="","",IF(LEFT(Ujian!AI67,1)=SEKOR!AI$2,1,0))</f>
        <v/>
      </c>
      <c r="AJ60" s="125" t="str">
        <f>IF(Ujian!AJ67="","",IF(LEFT(Ujian!AJ67,1)=SEKOR!AJ$2,1,0))</f>
        <v/>
      </c>
      <c r="AK60" s="125" t="str">
        <f>IF(Ujian!AK67="","",IF(LEFT(Ujian!AK67,1)=SEKOR!AK$2,1,0))</f>
        <v/>
      </c>
      <c r="AL60" s="125" t="str">
        <f>IF(Ujian!AL67="","",IF(LEFT(Ujian!AL67,1)=SEKOR!AL$2,1,0))</f>
        <v/>
      </c>
      <c r="AM60" s="125" t="str">
        <f>IF(Ujian!AM67="","",IF(LEFT(Ujian!AM67,1)=SEKOR!AM$2,1,0))</f>
        <v/>
      </c>
      <c r="AN60" s="125" t="str">
        <f>IF(Ujian!AN67="","",IF(LEFT(Ujian!AN67,1)=SEKOR!AN$2,1,0))</f>
        <v/>
      </c>
      <c r="AO60" s="125" t="str">
        <f>IF(Ujian!AO67="","",IF(LEFT(Ujian!AO67,1)=SEKOR!AO$2,1,0))</f>
        <v/>
      </c>
      <c r="AP60" s="125" t="str">
        <f>IF(Ujian!AP67="","",IF(LEFT(Ujian!AP67,1)=SEKOR!AP$2,1,0))</f>
        <v/>
      </c>
      <c r="AQ60" s="125" t="str">
        <f>IF(Ujian!AQ67="","",IF(LEFT(Ujian!AQ67,1)=SEKOR!AQ$2,1,0))</f>
        <v/>
      </c>
      <c r="AR60" s="125" t="str">
        <f>IF(Ujian!AR67="","",IF(LEFT(Ujian!AR67,1)=SEKOR!AR$2,1,0))</f>
        <v/>
      </c>
      <c r="AS60" s="125" t="str">
        <f>IF(Ujian!AS67="","",IF(LEFT(Ujian!AS67,1)=SEKOR!AS$2,1,0))</f>
        <v/>
      </c>
      <c r="AT60" s="125" t="str">
        <f>IF(Ujian!AT67="","",IF(LEFT(Ujian!AT67,1)=SEKOR!AT$2,1,0))</f>
        <v/>
      </c>
      <c r="AU60" s="125" t="str">
        <f>IF(Ujian!AU67="","",IF(LEFT(Ujian!AU67,1)=SEKOR!AU$2,1,0))</f>
        <v/>
      </c>
      <c r="AV60" s="125" t="str">
        <f>IF(Ujian!AV67="","",IF(LEFT(Ujian!AV67,1)=SEKOR!AV$2,1,0))</f>
        <v/>
      </c>
      <c r="AW60" s="125" t="str">
        <f>IF(Ujian!AW67="","",IF(LEFT(Ujian!AW67,1)=SEKOR!AW$2,1,0))</f>
        <v/>
      </c>
      <c r="AX60" s="125" t="str">
        <f>IF(Ujian!AX67="","",IF(LEFT(Ujian!AX67,1)=SEKOR!AX$2,1,0))</f>
        <v/>
      </c>
      <c r="AY60" s="125" t="str">
        <f>IF(Ujian!AY67="","",IF(LEFT(Ujian!AY67,1)=SEKOR!AY$2,1,0))</f>
        <v/>
      </c>
      <c r="AZ60" s="125" t="str">
        <f>IF(Ujian!AZ67="","",IF(LEFT(Ujian!AZ67,1)=SEKOR!AZ$2,1,0))</f>
        <v/>
      </c>
      <c r="BA60" s="125" t="str">
        <f>IF(Ujian!BA67="","",IF(LEFT(Ujian!BA67,1)=SEKOR!BA$2,1,0))</f>
        <v/>
      </c>
      <c r="BB60" s="125" t="str">
        <f>IF(Ujian!BB67="","",IF(LEFT(Ujian!BB67,1)=SEKOR!BB$2,1,0))</f>
        <v/>
      </c>
      <c r="BC60" s="125" t="str">
        <f>IF(Ujian!BC67="","",IF(LEFT(Ujian!BC67,1)=SEKOR!BC$2,1,0))</f>
        <v/>
      </c>
      <c r="BD60" s="125" t="str">
        <f>IF(Ujian!BD67="","",IF(LEFT(Ujian!BD67,1)=SEKOR!BD$2,1,0))</f>
        <v/>
      </c>
      <c r="BE60" s="125" t="str">
        <f>IF(Ujian!BE67="","",IF(LEFT(Ujian!BE67,1)=SEKOR!BE$2,1,0))</f>
        <v/>
      </c>
      <c r="BF60" s="125" t="str">
        <f>IF(Ujian!BF67="","",IF(LEFT(Ujian!BF67,1)=SEKOR!BF$2,1,0))</f>
        <v/>
      </c>
      <c r="BG60" s="125" t="str">
        <f>IF(Ujian!BG67="","",IF(LEFT(Ujian!BG67,1)=SEKOR!BG$2,1,0))</f>
        <v/>
      </c>
      <c r="BH60" s="125" t="str">
        <f>IF(Ujian!BH67="","",IF(LEFT(Ujian!BH67,1)=SEKOR!BH$2,1,0))</f>
        <v/>
      </c>
      <c r="BI60" s="125" t="str">
        <f>IF(Ujian!BI67="","",IF(LEFT(Ujian!BI67,1)=SEKOR!BI$2,1,0))</f>
        <v/>
      </c>
      <c r="BJ60" s="125" t="str">
        <f>IF(Ujian!BJ67="","",IF(LEFT(Ujian!BJ67,1)=SEKOR!BJ$2,1,0))</f>
        <v/>
      </c>
      <c r="BK60" s="125" t="str">
        <f>IF(Ujian!BK67="","",IF(LEFT(Ujian!BK67,1)=SEKOR!BK$2,1,0))</f>
        <v/>
      </c>
      <c r="BL60" s="18">
        <f t="shared" si="0"/>
        <v>0</v>
      </c>
      <c r="BM60" s="18">
        <f>COUNTIF($D60:$BK60,"")+DATA!$F$14-DATA!$F$12</f>
        <v>60</v>
      </c>
      <c r="BN60" s="17">
        <f>IF(COUNTIF($D60:$BK60,1)&gt;DATA!$F$14,DATA!$F$14,COUNTIF($D60:$BK60,1))</f>
        <v>0</v>
      </c>
      <c r="BO60" s="17">
        <f>IF((BN60+COUNTIF($D60:$BK60,0))&lt;=DATA!$F$14,COUNTIF($D60:$BK60,0),DATA!$F$14-SEKOR!BN60)</f>
        <v>0</v>
      </c>
      <c r="BP60" s="4" t="str">
        <f>IF(BL60=0,"",BN60/DATA!$F$14*100)</f>
        <v/>
      </c>
      <c r="BQ60" s="121" t="str">
        <f t="shared" si="1"/>
        <v/>
      </c>
      <c r="BR60" s="2" t="str">
        <f>IF(Praktik!$E60=0,"",Praktik!$E60)</f>
        <v/>
      </c>
      <c r="BS60" s="2" t="str">
        <f>IF(BR60="","",(BP60*DATAINFO!$O$4)+(SEKOR!BR60*DATAINFO!$O$5)/(DATAINFO!$O$4+DATAINFO!$O$5))</f>
        <v/>
      </c>
      <c r="BT60" s="2" t="str">
        <f>IF(BL60=0,"",IF(DATA!$F$18="TIDAK",ROUNDUP((IF!$L$8*SEKOR!$BP60)+IF!$L$9,0),IF($BR60="","",ROUNDUP((IF!$L$20*$BS60)+IF!$L$21,0))))</f>
        <v/>
      </c>
      <c r="BU60" s="47" t="str">
        <f>IF(BP60="","",IF(SEKOR!BP60&gt;=DATA!$J$12,1,0))</f>
        <v/>
      </c>
      <c r="BV60" s="47" t="str">
        <f>IF(BQ60="","",IF(SEKOR!BQ60&gt;=DATA!$J$12,1,0))</f>
        <v/>
      </c>
      <c r="BW60" s="47" t="str">
        <f>IF(BR60="","",IF(SEKOR!BR60&gt;=DATA!$J$12,1,0))</f>
        <v/>
      </c>
      <c r="BX60" s="47" t="str">
        <f>IF(BT60="","",IF(DATA!$J$14="",IF(SEKOR!BT60&gt;=DATA!$J$12,1,0),IF(SEKOR!BT60&gt;=DATA!$J$14,1,0)))</f>
        <v/>
      </c>
    </row>
    <row r="61" spans="1:76" x14ac:dyDescent="0.25">
      <c r="A61" s="20" t="s">
        <v>88</v>
      </c>
      <c r="B61" s="21" t="str">
        <f>IF(Ujian!B68="","",Ujian!B68)</f>
        <v/>
      </c>
      <c r="C61" s="57" t="str">
        <f>IF(Ujian!C68="","",Ujian!C68)</f>
        <v/>
      </c>
      <c r="D61" s="125" t="str">
        <f>IF(Ujian!D68="","",IF(LEFT(Ujian!D68,1)=SEKOR!D$2,1,0))</f>
        <v/>
      </c>
      <c r="E61" s="125" t="str">
        <f>IF(Ujian!E68="","",IF(LEFT(Ujian!E68,1)=SEKOR!E$2,1,0))</f>
        <v/>
      </c>
      <c r="F61" s="125" t="str">
        <f>IF(Ujian!F68="","",IF(LEFT(Ujian!F68,1)=SEKOR!F$2,1,0))</f>
        <v/>
      </c>
      <c r="G61" s="125" t="str">
        <f>IF(Ujian!G68="","",IF(LEFT(Ujian!G68,1)=SEKOR!G$2,1,0))</f>
        <v/>
      </c>
      <c r="H61" s="125" t="str">
        <f>IF(Ujian!H68="","",IF(LEFT(Ujian!H68,1)=SEKOR!H$2,1,0))</f>
        <v/>
      </c>
      <c r="I61" s="125" t="str">
        <f>IF(Ujian!I68="","",IF(LEFT(Ujian!I68,1)=SEKOR!I$2,1,0))</f>
        <v/>
      </c>
      <c r="J61" s="125" t="str">
        <f>IF(Ujian!J68="","",IF(LEFT(Ujian!J68,1)=SEKOR!J$2,1,0))</f>
        <v/>
      </c>
      <c r="K61" s="125" t="str">
        <f>IF(Ujian!K68="","",IF(LEFT(Ujian!K68,1)=SEKOR!K$2,1,0))</f>
        <v/>
      </c>
      <c r="L61" s="125" t="str">
        <f>IF(Ujian!L68="","",IF(LEFT(Ujian!L68,1)=SEKOR!L$2,1,0))</f>
        <v/>
      </c>
      <c r="M61" s="125" t="str">
        <f>IF(Ujian!M68="","",IF(LEFT(Ujian!M68,1)=SEKOR!M$2,1,0))</f>
        <v/>
      </c>
      <c r="N61" s="125" t="str">
        <f>IF(Ujian!N68="","",IF(LEFT(Ujian!N68,1)=SEKOR!N$2,1,0))</f>
        <v/>
      </c>
      <c r="O61" s="125" t="str">
        <f>IF(Ujian!O68="","",IF(LEFT(Ujian!O68,1)=SEKOR!O$2,1,0))</f>
        <v/>
      </c>
      <c r="P61" s="125" t="str">
        <f>IF(Ujian!P68="","",IF(LEFT(Ujian!P68,1)=SEKOR!P$2,1,0))</f>
        <v/>
      </c>
      <c r="Q61" s="125" t="str">
        <f>IF(Ujian!Q68="","",IF(LEFT(Ujian!Q68,1)=SEKOR!Q$2,1,0))</f>
        <v/>
      </c>
      <c r="R61" s="125" t="str">
        <f>IF(Ujian!R68="","",IF(LEFT(Ujian!R68,1)=SEKOR!R$2,1,0))</f>
        <v/>
      </c>
      <c r="S61" s="125" t="str">
        <f>IF(Ujian!S68="","",IF(LEFT(Ujian!S68,1)=SEKOR!S$2,1,0))</f>
        <v/>
      </c>
      <c r="T61" s="125" t="str">
        <f>IF(Ujian!T68="","",IF(LEFT(Ujian!T68,1)=SEKOR!T$2,1,0))</f>
        <v/>
      </c>
      <c r="U61" s="125" t="str">
        <f>IF(Ujian!U68="","",IF(LEFT(Ujian!U68,1)=SEKOR!U$2,1,0))</f>
        <v/>
      </c>
      <c r="V61" s="125" t="str">
        <f>IF(Ujian!V68="","",IF(LEFT(Ujian!V68,1)=SEKOR!V$2,1,0))</f>
        <v/>
      </c>
      <c r="W61" s="125" t="str">
        <f>IF(Ujian!W68="","",IF(LEFT(Ujian!W68,1)=SEKOR!W$2,1,0))</f>
        <v/>
      </c>
      <c r="X61" s="125" t="str">
        <f>IF(Ujian!X68="","",IF(LEFT(Ujian!X68,1)=SEKOR!X$2,1,0))</f>
        <v/>
      </c>
      <c r="Y61" s="125" t="str">
        <f>IF(Ujian!Y68="","",IF(LEFT(Ujian!Y68,1)=SEKOR!Y$2,1,0))</f>
        <v/>
      </c>
      <c r="Z61" s="125" t="str">
        <f>IF(Ujian!Z68="","",IF(LEFT(Ujian!Z68,1)=SEKOR!Z$2,1,0))</f>
        <v/>
      </c>
      <c r="AA61" s="125" t="str">
        <f>IF(Ujian!AA68="","",IF(LEFT(Ujian!AA68,1)=SEKOR!AA$2,1,0))</f>
        <v/>
      </c>
      <c r="AB61" s="125" t="str">
        <f>IF(Ujian!AB68="","",IF(LEFT(Ujian!AB68,1)=SEKOR!AB$2,1,0))</f>
        <v/>
      </c>
      <c r="AC61" s="125" t="str">
        <f>IF(Ujian!AC68="","",IF(LEFT(Ujian!AC68,1)=SEKOR!AC$2,1,0))</f>
        <v/>
      </c>
      <c r="AD61" s="125" t="str">
        <f>IF(Ujian!AD68="","",IF(LEFT(Ujian!AD68,1)=SEKOR!AD$2,1,0))</f>
        <v/>
      </c>
      <c r="AE61" s="125" t="str">
        <f>IF(Ujian!AE68="","",IF(LEFT(Ujian!AE68,1)=SEKOR!AE$2,1,0))</f>
        <v/>
      </c>
      <c r="AF61" s="125" t="str">
        <f>IF(Ujian!AF68="","",IF(LEFT(Ujian!AF68,1)=SEKOR!AF$2,1,0))</f>
        <v/>
      </c>
      <c r="AG61" s="125" t="str">
        <f>IF(Ujian!AG68="","",IF(LEFT(Ujian!AG68,1)=SEKOR!AG$2,1,0))</f>
        <v/>
      </c>
      <c r="AH61" s="125" t="str">
        <f>IF(Ujian!AH68="","",IF(LEFT(Ujian!AH68,1)=SEKOR!AH$2,1,0))</f>
        <v/>
      </c>
      <c r="AI61" s="125" t="str">
        <f>IF(Ujian!AI68="","",IF(LEFT(Ujian!AI68,1)=SEKOR!AI$2,1,0))</f>
        <v/>
      </c>
      <c r="AJ61" s="125" t="str">
        <f>IF(Ujian!AJ68="","",IF(LEFT(Ujian!AJ68,1)=SEKOR!AJ$2,1,0))</f>
        <v/>
      </c>
      <c r="AK61" s="125" t="str">
        <f>IF(Ujian!AK68="","",IF(LEFT(Ujian!AK68,1)=SEKOR!AK$2,1,0))</f>
        <v/>
      </c>
      <c r="AL61" s="125" t="str">
        <f>IF(Ujian!AL68="","",IF(LEFT(Ujian!AL68,1)=SEKOR!AL$2,1,0))</f>
        <v/>
      </c>
      <c r="AM61" s="125" t="str">
        <f>IF(Ujian!AM68="","",IF(LEFT(Ujian!AM68,1)=SEKOR!AM$2,1,0))</f>
        <v/>
      </c>
      <c r="AN61" s="125" t="str">
        <f>IF(Ujian!AN68="","",IF(LEFT(Ujian!AN68,1)=SEKOR!AN$2,1,0))</f>
        <v/>
      </c>
      <c r="AO61" s="125" t="str">
        <f>IF(Ujian!AO68="","",IF(LEFT(Ujian!AO68,1)=SEKOR!AO$2,1,0))</f>
        <v/>
      </c>
      <c r="AP61" s="125" t="str">
        <f>IF(Ujian!AP68="","",IF(LEFT(Ujian!AP68,1)=SEKOR!AP$2,1,0))</f>
        <v/>
      </c>
      <c r="AQ61" s="125" t="str">
        <f>IF(Ujian!AQ68="","",IF(LEFT(Ujian!AQ68,1)=SEKOR!AQ$2,1,0))</f>
        <v/>
      </c>
      <c r="AR61" s="125" t="str">
        <f>IF(Ujian!AR68="","",IF(LEFT(Ujian!AR68,1)=SEKOR!AR$2,1,0))</f>
        <v/>
      </c>
      <c r="AS61" s="125" t="str">
        <f>IF(Ujian!AS68="","",IF(LEFT(Ujian!AS68,1)=SEKOR!AS$2,1,0))</f>
        <v/>
      </c>
      <c r="AT61" s="125" t="str">
        <f>IF(Ujian!AT68="","",IF(LEFT(Ujian!AT68,1)=SEKOR!AT$2,1,0))</f>
        <v/>
      </c>
      <c r="AU61" s="125" t="str">
        <f>IF(Ujian!AU68="","",IF(LEFT(Ujian!AU68,1)=SEKOR!AU$2,1,0))</f>
        <v/>
      </c>
      <c r="AV61" s="125" t="str">
        <f>IF(Ujian!AV68="","",IF(LEFT(Ujian!AV68,1)=SEKOR!AV$2,1,0))</f>
        <v/>
      </c>
      <c r="AW61" s="125" t="str">
        <f>IF(Ujian!AW68="","",IF(LEFT(Ujian!AW68,1)=SEKOR!AW$2,1,0))</f>
        <v/>
      </c>
      <c r="AX61" s="125" t="str">
        <f>IF(Ujian!AX68="","",IF(LEFT(Ujian!AX68,1)=SEKOR!AX$2,1,0))</f>
        <v/>
      </c>
      <c r="AY61" s="125" t="str">
        <f>IF(Ujian!AY68="","",IF(LEFT(Ujian!AY68,1)=SEKOR!AY$2,1,0))</f>
        <v/>
      </c>
      <c r="AZ61" s="125" t="str">
        <f>IF(Ujian!AZ68="","",IF(LEFT(Ujian!AZ68,1)=SEKOR!AZ$2,1,0))</f>
        <v/>
      </c>
      <c r="BA61" s="125" t="str">
        <f>IF(Ujian!BA68="","",IF(LEFT(Ujian!BA68,1)=SEKOR!BA$2,1,0))</f>
        <v/>
      </c>
      <c r="BB61" s="125" t="str">
        <f>IF(Ujian!BB68="","",IF(LEFT(Ujian!BB68,1)=SEKOR!BB$2,1,0))</f>
        <v/>
      </c>
      <c r="BC61" s="125" t="str">
        <f>IF(Ujian!BC68="","",IF(LEFT(Ujian!BC68,1)=SEKOR!BC$2,1,0))</f>
        <v/>
      </c>
      <c r="BD61" s="125" t="str">
        <f>IF(Ujian!BD68="","",IF(LEFT(Ujian!BD68,1)=SEKOR!BD$2,1,0))</f>
        <v/>
      </c>
      <c r="BE61" s="125" t="str">
        <f>IF(Ujian!BE68="","",IF(LEFT(Ujian!BE68,1)=SEKOR!BE$2,1,0))</f>
        <v/>
      </c>
      <c r="BF61" s="125" t="str">
        <f>IF(Ujian!BF68="","",IF(LEFT(Ujian!BF68,1)=SEKOR!BF$2,1,0))</f>
        <v/>
      </c>
      <c r="BG61" s="125" t="str">
        <f>IF(Ujian!BG68="","",IF(LEFT(Ujian!BG68,1)=SEKOR!BG$2,1,0))</f>
        <v/>
      </c>
      <c r="BH61" s="125" t="str">
        <f>IF(Ujian!BH68="","",IF(LEFT(Ujian!BH68,1)=SEKOR!BH$2,1,0))</f>
        <v/>
      </c>
      <c r="BI61" s="125" t="str">
        <f>IF(Ujian!BI68="","",IF(LEFT(Ujian!BI68,1)=SEKOR!BI$2,1,0))</f>
        <v/>
      </c>
      <c r="BJ61" s="125" t="str">
        <f>IF(Ujian!BJ68="","",IF(LEFT(Ujian!BJ68,1)=SEKOR!BJ$2,1,0))</f>
        <v/>
      </c>
      <c r="BK61" s="125" t="str">
        <f>IF(Ujian!BK68="","",IF(LEFT(Ujian!BK68,1)=SEKOR!BK$2,1,0))</f>
        <v/>
      </c>
      <c r="BL61" s="18">
        <f t="shared" si="0"/>
        <v>0</v>
      </c>
      <c r="BM61" s="18">
        <f>COUNTIF($D61:$BK61,"")+DATA!$F$14-DATA!$F$12</f>
        <v>60</v>
      </c>
      <c r="BN61" s="17">
        <f>IF(COUNTIF($D61:$BK61,1)&gt;DATA!$F$14,DATA!$F$14,COUNTIF($D61:$BK61,1))</f>
        <v>0</v>
      </c>
      <c r="BO61" s="17">
        <f>IF((BN61+COUNTIF($D61:$BK61,0))&lt;=DATA!$F$14,COUNTIF($D61:$BK61,0),DATA!$F$14-SEKOR!BN61)</f>
        <v>0</v>
      </c>
      <c r="BP61" s="4" t="str">
        <f>IF(BL61=0,"",BN61/DATA!$F$14*100)</f>
        <v/>
      </c>
      <c r="BQ61" s="121" t="str">
        <f t="shared" si="1"/>
        <v/>
      </c>
      <c r="BR61" s="2" t="str">
        <f>IF(Praktik!$E61=0,"",Praktik!$E61)</f>
        <v/>
      </c>
      <c r="BS61" s="2" t="str">
        <f>IF(BR61="","",(BP61*DATAINFO!$O$4)+(SEKOR!BR61*DATAINFO!$O$5)/(DATAINFO!$O$4+DATAINFO!$O$5))</f>
        <v/>
      </c>
      <c r="BT61" s="2" t="str">
        <f>IF(BL61=0,"",IF(DATA!$F$18="TIDAK",ROUNDUP((IF!$L$8*SEKOR!$BP61)+IF!$L$9,0),IF($BR61="","",ROUNDUP((IF!$L$20*$BS61)+IF!$L$21,0))))</f>
        <v/>
      </c>
      <c r="BU61" s="47" t="str">
        <f>IF(BP61="","",IF(SEKOR!BP61&gt;=DATA!$J$12,1,0))</f>
        <v/>
      </c>
      <c r="BV61" s="47" t="str">
        <f>IF(BQ61="","",IF(SEKOR!BQ61&gt;=DATA!$J$12,1,0))</f>
        <v/>
      </c>
      <c r="BW61" s="47" t="str">
        <f>IF(BR61="","",IF(SEKOR!BR61&gt;=DATA!$J$12,1,0))</f>
        <v/>
      </c>
      <c r="BX61" s="47" t="str">
        <f>IF(BT61="","",IF(DATA!$J$14="",IF(SEKOR!BT61&gt;=DATA!$J$12,1,0),IF(SEKOR!BT61&gt;=DATA!$J$14,1,0)))</f>
        <v/>
      </c>
    </row>
    <row r="62" spans="1:76" x14ac:dyDescent="0.25">
      <c r="A62" s="20" t="s">
        <v>89</v>
      </c>
      <c r="B62" s="21" t="str">
        <f>IF(Ujian!B69="","",Ujian!B69)</f>
        <v/>
      </c>
      <c r="C62" s="57" t="str">
        <f>IF(Ujian!C69="","",Ujian!C69)</f>
        <v/>
      </c>
      <c r="D62" s="125" t="str">
        <f>IF(Ujian!D69="","",IF(LEFT(Ujian!D69,1)=SEKOR!D$2,1,0))</f>
        <v/>
      </c>
      <c r="E62" s="125" t="str">
        <f>IF(Ujian!E69="","",IF(LEFT(Ujian!E69,1)=SEKOR!E$2,1,0))</f>
        <v/>
      </c>
      <c r="F62" s="125" t="str">
        <f>IF(Ujian!F69="","",IF(LEFT(Ujian!F69,1)=SEKOR!F$2,1,0))</f>
        <v/>
      </c>
      <c r="G62" s="125" t="str">
        <f>IF(Ujian!G69="","",IF(LEFT(Ujian!G69,1)=SEKOR!G$2,1,0))</f>
        <v/>
      </c>
      <c r="H62" s="125" t="str">
        <f>IF(Ujian!H69="","",IF(LEFT(Ujian!H69,1)=SEKOR!H$2,1,0))</f>
        <v/>
      </c>
      <c r="I62" s="125" t="str">
        <f>IF(Ujian!I69="","",IF(LEFT(Ujian!I69,1)=SEKOR!I$2,1,0))</f>
        <v/>
      </c>
      <c r="J62" s="125" t="str">
        <f>IF(Ujian!J69="","",IF(LEFT(Ujian!J69,1)=SEKOR!J$2,1,0))</f>
        <v/>
      </c>
      <c r="K62" s="125" t="str">
        <f>IF(Ujian!K69="","",IF(LEFT(Ujian!K69,1)=SEKOR!K$2,1,0))</f>
        <v/>
      </c>
      <c r="L62" s="125" t="str">
        <f>IF(Ujian!L69="","",IF(LEFT(Ujian!L69,1)=SEKOR!L$2,1,0))</f>
        <v/>
      </c>
      <c r="M62" s="125" t="str">
        <f>IF(Ujian!M69="","",IF(LEFT(Ujian!M69,1)=SEKOR!M$2,1,0))</f>
        <v/>
      </c>
      <c r="N62" s="125" t="str">
        <f>IF(Ujian!N69="","",IF(LEFT(Ujian!N69,1)=SEKOR!N$2,1,0))</f>
        <v/>
      </c>
      <c r="O62" s="125" t="str">
        <f>IF(Ujian!O69="","",IF(LEFT(Ujian!O69,1)=SEKOR!O$2,1,0))</f>
        <v/>
      </c>
      <c r="P62" s="125" t="str">
        <f>IF(Ujian!P69="","",IF(LEFT(Ujian!P69,1)=SEKOR!P$2,1,0))</f>
        <v/>
      </c>
      <c r="Q62" s="125" t="str">
        <f>IF(Ujian!Q69="","",IF(LEFT(Ujian!Q69,1)=SEKOR!Q$2,1,0))</f>
        <v/>
      </c>
      <c r="R62" s="125" t="str">
        <f>IF(Ujian!R69="","",IF(LEFT(Ujian!R69,1)=SEKOR!R$2,1,0))</f>
        <v/>
      </c>
      <c r="S62" s="125" t="str">
        <f>IF(Ujian!S69="","",IF(LEFT(Ujian!S69,1)=SEKOR!S$2,1,0))</f>
        <v/>
      </c>
      <c r="T62" s="125" t="str">
        <f>IF(Ujian!T69="","",IF(LEFT(Ujian!T69,1)=SEKOR!T$2,1,0))</f>
        <v/>
      </c>
      <c r="U62" s="125" t="str">
        <f>IF(Ujian!U69="","",IF(LEFT(Ujian!U69,1)=SEKOR!U$2,1,0))</f>
        <v/>
      </c>
      <c r="V62" s="125" t="str">
        <f>IF(Ujian!V69="","",IF(LEFT(Ujian!V69,1)=SEKOR!V$2,1,0))</f>
        <v/>
      </c>
      <c r="W62" s="125" t="str">
        <f>IF(Ujian!W69="","",IF(LEFT(Ujian!W69,1)=SEKOR!W$2,1,0))</f>
        <v/>
      </c>
      <c r="X62" s="125" t="str">
        <f>IF(Ujian!X69="","",IF(LEFT(Ujian!X69,1)=SEKOR!X$2,1,0))</f>
        <v/>
      </c>
      <c r="Y62" s="125" t="str">
        <f>IF(Ujian!Y69="","",IF(LEFT(Ujian!Y69,1)=SEKOR!Y$2,1,0))</f>
        <v/>
      </c>
      <c r="Z62" s="125" t="str">
        <f>IF(Ujian!Z69="","",IF(LEFT(Ujian!Z69,1)=SEKOR!Z$2,1,0))</f>
        <v/>
      </c>
      <c r="AA62" s="125" t="str">
        <f>IF(Ujian!AA69="","",IF(LEFT(Ujian!AA69,1)=SEKOR!AA$2,1,0))</f>
        <v/>
      </c>
      <c r="AB62" s="125" t="str">
        <f>IF(Ujian!AB69="","",IF(LEFT(Ujian!AB69,1)=SEKOR!AB$2,1,0))</f>
        <v/>
      </c>
      <c r="AC62" s="125" t="str">
        <f>IF(Ujian!AC69="","",IF(LEFT(Ujian!AC69,1)=SEKOR!AC$2,1,0))</f>
        <v/>
      </c>
      <c r="AD62" s="125" t="str">
        <f>IF(Ujian!AD69="","",IF(LEFT(Ujian!AD69,1)=SEKOR!AD$2,1,0))</f>
        <v/>
      </c>
      <c r="AE62" s="125" t="str">
        <f>IF(Ujian!AE69="","",IF(LEFT(Ujian!AE69,1)=SEKOR!AE$2,1,0))</f>
        <v/>
      </c>
      <c r="AF62" s="125" t="str">
        <f>IF(Ujian!AF69="","",IF(LEFT(Ujian!AF69,1)=SEKOR!AF$2,1,0))</f>
        <v/>
      </c>
      <c r="AG62" s="125" t="str">
        <f>IF(Ujian!AG69="","",IF(LEFT(Ujian!AG69,1)=SEKOR!AG$2,1,0))</f>
        <v/>
      </c>
      <c r="AH62" s="125" t="str">
        <f>IF(Ujian!AH69="","",IF(LEFT(Ujian!AH69,1)=SEKOR!AH$2,1,0))</f>
        <v/>
      </c>
      <c r="AI62" s="125" t="str">
        <f>IF(Ujian!AI69="","",IF(LEFT(Ujian!AI69,1)=SEKOR!AI$2,1,0))</f>
        <v/>
      </c>
      <c r="AJ62" s="125" t="str">
        <f>IF(Ujian!AJ69="","",IF(LEFT(Ujian!AJ69,1)=SEKOR!AJ$2,1,0))</f>
        <v/>
      </c>
      <c r="AK62" s="125" t="str">
        <f>IF(Ujian!AK69="","",IF(LEFT(Ujian!AK69,1)=SEKOR!AK$2,1,0))</f>
        <v/>
      </c>
      <c r="AL62" s="125" t="str">
        <f>IF(Ujian!AL69="","",IF(LEFT(Ujian!AL69,1)=SEKOR!AL$2,1,0))</f>
        <v/>
      </c>
      <c r="AM62" s="125" t="str">
        <f>IF(Ujian!AM69="","",IF(LEFT(Ujian!AM69,1)=SEKOR!AM$2,1,0))</f>
        <v/>
      </c>
      <c r="AN62" s="125" t="str">
        <f>IF(Ujian!AN69="","",IF(LEFT(Ujian!AN69,1)=SEKOR!AN$2,1,0))</f>
        <v/>
      </c>
      <c r="AO62" s="125" t="str">
        <f>IF(Ujian!AO69="","",IF(LEFT(Ujian!AO69,1)=SEKOR!AO$2,1,0))</f>
        <v/>
      </c>
      <c r="AP62" s="125" t="str">
        <f>IF(Ujian!AP69="","",IF(LEFT(Ujian!AP69,1)=SEKOR!AP$2,1,0))</f>
        <v/>
      </c>
      <c r="AQ62" s="125" t="str">
        <f>IF(Ujian!AQ69="","",IF(LEFT(Ujian!AQ69,1)=SEKOR!AQ$2,1,0))</f>
        <v/>
      </c>
      <c r="AR62" s="125" t="str">
        <f>IF(Ujian!AR69="","",IF(LEFT(Ujian!AR69,1)=SEKOR!AR$2,1,0))</f>
        <v/>
      </c>
      <c r="AS62" s="125" t="str">
        <f>IF(Ujian!AS69="","",IF(LEFT(Ujian!AS69,1)=SEKOR!AS$2,1,0))</f>
        <v/>
      </c>
      <c r="AT62" s="125" t="str">
        <f>IF(Ujian!AT69="","",IF(LEFT(Ujian!AT69,1)=SEKOR!AT$2,1,0))</f>
        <v/>
      </c>
      <c r="AU62" s="125" t="str">
        <f>IF(Ujian!AU69="","",IF(LEFT(Ujian!AU69,1)=SEKOR!AU$2,1,0))</f>
        <v/>
      </c>
      <c r="AV62" s="125" t="str">
        <f>IF(Ujian!AV69="","",IF(LEFT(Ujian!AV69,1)=SEKOR!AV$2,1,0))</f>
        <v/>
      </c>
      <c r="AW62" s="125" t="str">
        <f>IF(Ujian!AW69="","",IF(LEFT(Ujian!AW69,1)=SEKOR!AW$2,1,0))</f>
        <v/>
      </c>
      <c r="AX62" s="125" t="str">
        <f>IF(Ujian!AX69="","",IF(LEFT(Ujian!AX69,1)=SEKOR!AX$2,1,0))</f>
        <v/>
      </c>
      <c r="AY62" s="125" t="str">
        <f>IF(Ujian!AY69="","",IF(LEFT(Ujian!AY69,1)=SEKOR!AY$2,1,0))</f>
        <v/>
      </c>
      <c r="AZ62" s="125" t="str">
        <f>IF(Ujian!AZ69="","",IF(LEFT(Ujian!AZ69,1)=SEKOR!AZ$2,1,0))</f>
        <v/>
      </c>
      <c r="BA62" s="125" t="str">
        <f>IF(Ujian!BA69="","",IF(LEFT(Ujian!BA69,1)=SEKOR!BA$2,1,0))</f>
        <v/>
      </c>
      <c r="BB62" s="125" t="str">
        <f>IF(Ujian!BB69="","",IF(LEFT(Ujian!BB69,1)=SEKOR!BB$2,1,0))</f>
        <v/>
      </c>
      <c r="BC62" s="125" t="str">
        <f>IF(Ujian!BC69="","",IF(LEFT(Ujian!BC69,1)=SEKOR!BC$2,1,0))</f>
        <v/>
      </c>
      <c r="BD62" s="125" t="str">
        <f>IF(Ujian!BD69="","",IF(LEFT(Ujian!BD69,1)=SEKOR!BD$2,1,0))</f>
        <v/>
      </c>
      <c r="BE62" s="125" t="str">
        <f>IF(Ujian!BE69="","",IF(LEFT(Ujian!BE69,1)=SEKOR!BE$2,1,0))</f>
        <v/>
      </c>
      <c r="BF62" s="125" t="str">
        <f>IF(Ujian!BF69="","",IF(LEFT(Ujian!BF69,1)=SEKOR!BF$2,1,0))</f>
        <v/>
      </c>
      <c r="BG62" s="125" t="str">
        <f>IF(Ujian!BG69="","",IF(LEFT(Ujian!BG69,1)=SEKOR!BG$2,1,0))</f>
        <v/>
      </c>
      <c r="BH62" s="125" t="str">
        <f>IF(Ujian!BH69="","",IF(LEFT(Ujian!BH69,1)=SEKOR!BH$2,1,0))</f>
        <v/>
      </c>
      <c r="BI62" s="125" t="str">
        <f>IF(Ujian!BI69="","",IF(LEFT(Ujian!BI69,1)=SEKOR!BI$2,1,0))</f>
        <v/>
      </c>
      <c r="BJ62" s="125" t="str">
        <f>IF(Ujian!BJ69="","",IF(LEFT(Ujian!BJ69,1)=SEKOR!BJ$2,1,0))</f>
        <v/>
      </c>
      <c r="BK62" s="125" t="str">
        <f>IF(Ujian!BK69="","",IF(LEFT(Ujian!BK69,1)=SEKOR!BK$2,1,0))</f>
        <v/>
      </c>
      <c r="BL62" s="18">
        <f t="shared" si="0"/>
        <v>0</v>
      </c>
      <c r="BM62" s="18">
        <f>COUNTIF($D62:$BK62,"")+DATA!$F$14-DATA!$F$12</f>
        <v>60</v>
      </c>
      <c r="BN62" s="17">
        <f>IF(COUNTIF($D62:$BK62,1)&gt;DATA!$F$14,DATA!$F$14,COUNTIF($D62:$BK62,1))</f>
        <v>0</v>
      </c>
      <c r="BO62" s="17">
        <f>IF((BN62+COUNTIF($D62:$BK62,0))&lt;=DATA!$F$14,COUNTIF($D62:$BK62,0),DATA!$F$14-SEKOR!BN62)</f>
        <v>0</v>
      </c>
      <c r="BP62" s="4" t="str">
        <f>IF(BL62=0,"",BN62/DATA!$F$14*100)</f>
        <v/>
      </c>
      <c r="BQ62" s="121" t="str">
        <f t="shared" si="1"/>
        <v/>
      </c>
      <c r="BR62" s="2" t="str">
        <f>IF(Praktik!$E62=0,"",Praktik!$E62)</f>
        <v/>
      </c>
      <c r="BS62" s="2" t="str">
        <f>IF(BR62="","",(BP62*DATAINFO!$O$4)+(SEKOR!BR62*DATAINFO!$O$5)/(DATAINFO!$O$4+DATAINFO!$O$5))</f>
        <v/>
      </c>
      <c r="BT62" s="2" t="str">
        <f>IF(BL62=0,"",IF(DATA!$F$18="TIDAK",ROUNDUP((IF!$L$8*SEKOR!$BP62)+IF!$L$9,0),IF($BR62="","",ROUNDUP((IF!$L$20*$BS62)+IF!$L$21,0))))</f>
        <v/>
      </c>
      <c r="BU62" s="47" t="str">
        <f>IF(BP62="","",IF(SEKOR!BP62&gt;=DATA!$J$12,1,0))</f>
        <v/>
      </c>
      <c r="BV62" s="47" t="str">
        <f>IF(BQ62="","",IF(SEKOR!BQ62&gt;=DATA!$J$12,1,0))</f>
        <v/>
      </c>
      <c r="BW62" s="47" t="str">
        <f>IF(BR62="","",IF(SEKOR!BR62&gt;=DATA!$J$12,1,0))</f>
        <v/>
      </c>
      <c r="BX62" s="47" t="str">
        <f>IF(BT62="","",IF(DATA!$J$14="",IF(SEKOR!BT62&gt;=DATA!$J$12,1,0),IF(SEKOR!BT62&gt;=DATA!$J$14,1,0)))</f>
        <v/>
      </c>
    </row>
    <row r="63" spans="1:76" x14ac:dyDescent="0.25">
      <c r="A63" s="20" t="s">
        <v>90</v>
      </c>
      <c r="B63" s="21" t="str">
        <f>IF(Ujian!B70="","",Ujian!B70)</f>
        <v/>
      </c>
      <c r="C63" s="57" t="str">
        <f>IF(Ujian!C70="","",Ujian!C70)</f>
        <v/>
      </c>
      <c r="D63" s="125" t="str">
        <f>IF(Ujian!D70="","",IF(LEFT(Ujian!D70,1)=SEKOR!D$2,1,0))</f>
        <v/>
      </c>
      <c r="E63" s="125" t="str">
        <f>IF(Ujian!E70="","",IF(LEFT(Ujian!E70,1)=SEKOR!E$2,1,0))</f>
        <v/>
      </c>
      <c r="F63" s="125" t="str">
        <f>IF(Ujian!F70="","",IF(LEFT(Ujian!F70,1)=SEKOR!F$2,1,0))</f>
        <v/>
      </c>
      <c r="G63" s="125" t="str">
        <f>IF(Ujian!G70="","",IF(LEFT(Ujian!G70,1)=SEKOR!G$2,1,0))</f>
        <v/>
      </c>
      <c r="H63" s="125" t="str">
        <f>IF(Ujian!H70="","",IF(LEFT(Ujian!H70,1)=SEKOR!H$2,1,0))</f>
        <v/>
      </c>
      <c r="I63" s="125" t="str">
        <f>IF(Ujian!I70="","",IF(LEFT(Ujian!I70,1)=SEKOR!I$2,1,0))</f>
        <v/>
      </c>
      <c r="J63" s="125" t="str">
        <f>IF(Ujian!J70="","",IF(LEFT(Ujian!J70,1)=SEKOR!J$2,1,0))</f>
        <v/>
      </c>
      <c r="K63" s="125" t="str">
        <f>IF(Ujian!K70="","",IF(LEFT(Ujian!K70,1)=SEKOR!K$2,1,0))</f>
        <v/>
      </c>
      <c r="L63" s="125" t="str">
        <f>IF(Ujian!L70="","",IF(LEFT(Ujian!L70,1)=SEKOR!L$2,1,0))</f>
        <v/>
      </c>
      <c r="M63" s="125" t="str">
        <f>IF(Ujian!M70="","",IF(LEFT(Ujian!M70,1)=SEKOR!M$2,1,0))</f>
        <v/>
      </c>
      <c r="N63" s="125" t="str">
        <f>IF(Ujian!N70="","",IF(LEFT(Ujian!N70,1)=SEKOR!N$2,1,0))</f>
        <v/>
      </c>
      <c r="O63" s="125" t="str">
        <f>IF(Ujian!O70="","",IF(LEFT(Ujian!O70,1)=SEKOR!O$2,1,0))</f>
        <v/>
      </c>
      <c r="P63" s="125" t="str">
        <f>IF(Ujian!P70="","",IF(LEFT(Ujian!P70,1)=SEKOR!P$2,1,0))</f>
        <v/>
      </c>
      <c r="Q63" s="125" t="str">
        <f>IF(Ujian!Q70="","",IF(LEFT(Ujian!Q70,1)=SEKOR!Q$2,1,0))</f>
        <v/>
      </c>
      <c r="R63" s="125" t="str">
        <f>IF(Ujian!R70="","",IF(LEFT(Ujian!R70,1)=SEKOR!R$2,1,0))</f>
        <v/>
      </c>
      <c r="S63" s="125" t="str">
        <f>IF(Ujian!S70="","",IF(LEFT(Ujian!S70,1)=SEKOR!S$2,1,0))</f>
        <v/>
      </c>
      <c r="T63" s="125" t="str">
        <f>IF(Ujian!T70="","",IF(LEFT(Ujian!T70,1)=SEKOR!T$2,1,0))</f>
        <v/>
      </c>
      <c r="U63" s="125" t="str">
        <f>IF(Ujian!U70="","",IF(LEFT(Ujian!U70,1)=SEKOR!U$2,1,0))</f>
        <v/>
      </c>
      <c r="V63" s="125" t="str">
        <f>IF(Ujian!V70="","",IF(LEFT(Ujian!V70,1)=SEKOR!V$2,1,0))</f>
        <v/>
      </c>
      <c r="W63" s="125" t="str">
        <f>IF(Ujian!W70="","",IF(LEFT(Ujian!W70,1)=SEKOR!W$2,1,0))</f>
        <v/>
      </c>
      <c r="X63" s="125" t="str">
        <f>IF(Ujian!X70="","",IF(LEFT(Ujian!X70,1)=SEKOR!X$2,1,0))</f>
        <v/>
      </c>
      <c r="Y63" s="125" t="str">
        <f>IF(Ujian!Y70="","",IF(LEFT(Ujian!Y70,1)=SEKOR!Y$2,1,0))</f>
        <v/>
      </c>
      <c r="Z63" s="125" t="str">
        <f>IF(Ujian!Z70="","",IF(LEFT(Ujian!Z70,1)=SEKOR!Z$2,1,0))</f>
        <v/>
      </c>
      <c r="AA63" s="125" t="str">
        <f>IF(Ujian!AA70="","",IF(LEFT(Ujian!AA70,1)=SEKOR!AA$2,1,0))</f>
        <v/>
      </c>
      <c r="AB63" s="125" t="str">
        <f>IF(Ujian!AB70="","",IF(LEFT(Ujian!AB70,1)=SEKOR!AB$2,1,0))</f>
        <v/>
      </c>
      <c r="AC63" s="125" t="str">
        <f>IF(Ujian!AC70="","",IF(LEFT(Ujian!AC70,1)=SEKOR!AC$2,1,0))</f>
        <v/>
      </c>
      <c r="AD63" s="125" t="str">
        <f>IF(Ujian!AD70="","",IF(LEFT(Ujian!AD70,1)=SEKOR!AD$2,1,0))</f>
        <v/>
      </c>
      <c r="AE63" s="125" t="str">
        <f>IF(Ujian!AE70="","",IF(LEFT(Ujian!AE70,1)=SEKOR!AE$2,1,0))</f>
        <v/>
      </c>
      <c r="AF63" s="125" t="str">
        <f>IF(Ujian!AF70="","",IF(LEFT(Ujian!AF70,1)=SEKOR!AF$2,1,0))</f>
        <v/>
      </c>
      <c r="AG63" s="125" t="str">
        <f>IF(Ujian!AG70="","",IF(LEFT(Ujian!AG70,1)=SEKOR!AG$2,1,0))</f>
        <v/>
      </c>
      <c r="AH63" s="125" t="str">
        <f>IF(Ujian!AH70="","",IF(LEFT(Ujian!AH70,1)=SEKOR!AH$2,1,0))</f>
        <v/>
      </c>
      <c r="AI63" s="125" t="str">
        <f>IF(Ujian!AI70="","",IF(LEFT(Ujian!AI70,1)=SEKOR!AI$2,1,0))</f>
        <v/>
      </c>
      <c r="AJ63" s="125" t="str">
        <f>IF(Ujian!AJ70="","",IF(LEFT(Ujian!AJ70,1)=SEKOR!AJ$2,1,0))</f>
        <v/>
      </c>
      <c r="AK63" s="125" t="str">
        <f>IF(Ujian!AK70="","",IF(LEFT(Ujian!AK70,1)=SEKOR!AK$2,1,0))</f>
        <v/>
      </c>
      <c r="AL63" s="125" t="str">
        <f>IF(Ujian!AL70="","",IF(LEFT(Ujian!AL70,1)=SEKOR!AL$2,1,0))</f>
        <v/>
      </c>
      <c r="AM63" s="125" t="str">
        <f>IF(Ujian!AM70="","",IF(LEFT(Ujian!AM70,1)=SEKOR!AM$2,1,0))</f>
        <v/>
      </c>
      <c r="AN63" s="125" t="str">
        <f>IF(Ujian!AN70="","",IF(LEFT(Ujian!AN70,1)=SEKOR!AN$2,1,0))</f>
        <v/>
      </c>
      <c r="AO63" s="125" t="str">
        <f>IF(Ujian!AO70="","",IF(LEFT(Ujian!AO70,1)=SEKOR!AO$2,1,0))</f>
        <v/>
      </c>
      <c r="AP63" s="125" t="str">
        <f>IF(Ujian!AP70="","",IF(LEFT(Ujian!AP70,1)=SEKOR!AP$2,1,0))</f>
        <v/>
      </c>
      <c r="AQ63" s="125" t="str">
        <f>IF(Ujian!AQ70="","",IF(LEFT(Ujian!AQ70,1)=SEKOR!AQ$2,1,0))</f>
        <v/>
      </c>
      <c r="AR63" s="125" t="str">
        <f>IF(Ujian!AR70="","",IF(LEFT(Ujian!AR70,1)=SEKOR!AR$2,1,0))</f>
        <v/>
      </c>
      <c r="AS63" s="125" t="str">
        <f>IF(Ujian!AS70="","",IF(LEFT(Ujian!AS70,1)=SEKOR!AS$2,1,0))</f>
        <v/>
      </c>
      <c r="AT63" s="125" t="str">
        <f>IF(Ujian!AT70="","",IF(LEFT(Ujian!AT70,1)=SEKOR!AT$2,1,0))</f>
        <v/>
      </c>
      <c r="AU63" s="125" t="str">
        <f>IF(Ujian!AU70="","",IF(LEFT(Ujian!AU70,1)=SEKOR!AU$2,1,0))</f>
        <v/>
      </c>
      <c r="AV63" s="125" t="str">
        <f>IF(Ujian!AV70="","",IF(LEFT(Ujian!AV70,1)=SEKOR!AV$2,1,0))</f>
        <v/>
      </c>
      <c r="AW63" s="125" t="str">
        <f>IF(Ujian!AW70="","",IF(LEFT(Ujian!AW70,1)=SEKOR!AW$2,1,0))</f>
        <v/>
      </c>
      <c r="AX63" s="125" t="str">
        <f>IF(Ujian!AX70="","",IF(LEFT(Ujian!AX70,1)=SEKOR!AX$2,1,0))</f>
        <v/>
      </c>
      <c r="AY63" s="125" t="str">
        <f>IF(Ujian!AY70="","",IF(LEFT(Ujian!AY70,1)=SEKOR!AY$2,1,0))</f>
        <v/>
      </c>
      <c r="AZ63" s="125" t="str">
        <f>IF(Ujian!AZ70="","",IF(LEFT(Ujian!AZ70,1)=SEKOR!AZ$2,1,0))</f>
        <v/>
      </c>
      <c r="BA63" s="125" t="str">
        <f>IF(Ujian!BA70="","",IF(LEFT(Ujian!BA70,1)=SEKOR!BA$2,1,0))</f>
        <v/>
      </c>
      <c r="BB63" s="125" t="str">
        <f>IF(Ujian!BB70="","",IF(LEFT(Ujian!BB70,1)=SEKOR!BB$2,1,0))</f>
        <v/>
      </c>
      <c r="BC63" s="125" t="str">
        <f>IF(Ujian!BC70="","",IF(LEFT(Ujian!BC70,1)=SEKOR!BC$2,1,0))</f>
        <v/>
      </c>
      <c r="BD63" s="125" t="str">
        <f>IF(Ujian!BD70="","",IF(LEFT(Ujian!BD70,1)=SEKOR!BD$2,1,0))</f>
        <v/>
      </c>
      <c r="BE63" s="125" t="str">
        <f>IF(Ujian!BE70="","",IF(LEFT(Ujian!BE70,1)=SEKOR!BE$2,1,0))</f>
        <v/>
      </c>
      <c r="BF63" s="125" t="str">
        <f>IF(Ujian!BF70="","",IF(LEFT(Ujian!BF70,1)=SEKOR!BF$2,1,0))</f>
        <v/>
      </c>
      <c r="BG63" s="125" t="str">
        <f>IF(Ujian!BG70="","",IF(LEFT(Ujian!BG70,1)=SEKOR!BG$2,1,0))</f>
        <v/>
      </c>
      <c r="BH63" s="125" t="str">
        <f>IF(Ujian!BH70="","",IF(LEFT(Ujian!BH70,1)=SEKOR!BH$2,1,0))</f>
        <v/>
      </c>
      <c r="BI63" s="125" t="str">
        <f>IF(Ujian!BI70="","",IF(LEFT(Ujian!BI70,1)=SEKOR!BI$2,1,0))</f>
        <v/>
      </c>
      <c r="BJ63" s="125" t="str">
        <f>IF(Ujian!BJ70="","",IF(LEFT(Ujian!BJ70,1)=SEKOR!BJ$2,1,0))</f>
        <v/>
      </c>
      <c r="BK63" s="125" t="str">
        <f>IF(Ujian!BK70="","",IF(LEFT(Ujian!BK70,1)=SEKOR!BK$2,1,0))</f>
        <v/>
      </c>
      <c r="BL63" s="18">
        <f t="shared" si="0"/>
        <v>0</v>
      </c>
      <c r="BM63" s="18">
        <f>COUNTIF($D63:$BK63,"")+DATA!$F$14-DATA!$F$12</f>
        <v>60</v>
      </c>
      <c r="BN63" s="17">
        <f>IF(COUNTIF($D63:$BK63,1)&gt;DATA!$F$14,DATA!$F$14,COUNTIF($D63:$BK63,1))</f>
        <v>0</v>
      </c>
      <c r="BO63" s="17">
        <f>IF((BN63+COUNTIF($D63:$BK63,0))&lt;=DATA!$F$14,COUNTIF($D63:$BK63,0),DATA!$F$14-SEKOR!BN63)</f>
        <v>0</v>
      </c>
      <c r="BP63" s="4" t="str">
        <f>IF(BL63=0,"",BN63/DATA!$F$14*100)</f>
        <v/>
      </c>
      <c r="BQ63" s="121" t="str">
        <f t="shared" si="1"/>
        <v/>
      </c>
      <c r="BR63" s="2" t="str">
        <f>IF(Praktik!$E63=0,"",Praktik!$E63)</f>
        <v/>
      </c>
      <c r="BS63" s="2" t="str">
        <f>IF(BR63="","",(BP63*DATAINFO!$O$4)+(SEKOR!BR63*DATAINFO!$O$5)/(DATAINFO!$O$4+DATAINFO!$O$5))</f>
        <v/>
      </c>
      <c r="BT63" s="2" t="str">
        <f>IF(BL63=0,"",IF(DATA!$F$18="TIDAK",ROUNDUP((IF!$L$8*SEKOR!$BP63)+IF!$L$9,0),IF($BR63="","",ROUNDUP((IF!$L$20*$BS63)+IF!$L$21,0))))</f>
        <v/>
      </c>
      <c r="BU63" s="47" t="str">
        <f>IF(BP63="","",IF(SEKOR!BP63&gt;=DATA!$J$12,1,0))</f>
        <v/>
      </c>
      <c r="BV63" s="47" t="str">
        <f>IF(BQ63="","",IF(SEKOR!BQ63&gt;=DATA!$J$12,1,0))</f>
        <v/>
      </c>
      <c r="BW63" s="47" t="str">
        <f>IF(BR63="","",IF(SEKOR!BR63&gt;=DATA!$J$12,1,0))</f>
        <v/>
      </c>
      <c r="BX63" s="47" t="str">
        <f>IF(BT63="","",IF(DATA!$J$14="",IF(SEKOR!BT63&gt;=DATA!$J$12,1,0),IF(SEKOR!BT63&gt;=DATA!$J$14,1,0)))</f>
        <v/>
      </c>
    </row>
    <row r="64" spans="1:76" x14ac:dyDescent="0.25">
      <c r="A64" s="20" t="s">
        <v>91</v>
      </c>
      <c r="B64" s="21" t="str">
        <f>IF(Ujian!B71="","",Ujian!B71)</f>
        <v/>
      </c>
      <c r="C64" s="57" t="str">
        <f>IF(Ujian!C71="","",Ujian!C71)</f>
        <v/>
      </c>
      <c r="D64" s="125" t="str">
        <f>IF(Ujian!D71="","",IF(LEFT(Ujian!D71,1)=SEKOR!D$2,1,0))</f>
        <v/>
      </c>
      <c r="E64" s="125" t="str">
        <f>IF(Ujian!E71="","",IF(LEFT(Ujian!E71,1)=SEKOR!E$2,1,0))</f>
        <v/>
      </c>
      <c r="F64" s="125" t="str">
        <f>IF(Ujian!F71="","",IF(LEFT(Ujian!F71,1)=SEKOR!F$2,1,0))</f>
        <v/>
      </c>
      <c r="G64" s="125" t="str">
        <f>IF(Ujian!G71="","",IF(LEFT(Ujian!G71,1)=SEKOR!G$2,1,0))</f>
        <v/>
      </c>
      <c r="H64" s="125" t="str">
        <f>IF(Ujian!H71="","",IF(LEFT(Ujian!H71,1)=SEKOR!H$2,1,0))</f>
        <v/>
      </c>
      <c r="I64" s="125" t="str">
        <f>IF(Ujian!I71="","",IF(LEFT(Ujian!I71,1)=SEKOR!I$2,1,0))</f>
        <v/>
      </c>
      <c r="J64" s="125" t="str">
        <f>IF(Ujian!J71="","",IF(LEFT(Ujian!J71,1)=SEKOR!J$2,1,0))</f>
        <v/>
      </c>
      <c r="K64" s="125" t="str">
        <f>IF(Ujian!K71="","",IF(LEFT(Ujian!K71,1)=SEKOR!K$2,1,0))</f>
        <v/>
      </c>
      <c r="L64" s="125" t="str">
        <f>IF(Ujian!L71="","",IF(LEFT(Ujian!L71,1)=SEKOR!L$2,1,0))</f>
        <v/>
      </c>
      <c r="M64" s="125" t="str">
        <f>IF(Ujian!M71="","",IF(LEFT(Ujian!M71,1)=SEKOR!M$2,1,0))</f>
        <v/>
      </c>
      <c r="N64" s="125" t="str">
        <f>IF(Ujian!N71="","",IF(LEFT(Ujian!N71,1)=SEKOR!N$2,1,0))</f>
        <v/>
      </c>
      <c r="O64" s="125" t="str">
        <f>IF(Ujian!O71="","",IF(LEFT(Ujian!O71,1)=SEKOR!O$2,1,0))</f>
        <v/>
      </c>
      <c r="P64" s="125" t="str">
        <f>IF(Ujian!P71="","",IF(LEFT(Ujian!P71,1)=SEKOR!P$2,1,0))</f>
        <v/>
      </c>
      <c r="Q64" s="125" t="str">
        <f>IF(Ujian!Q71="","",IF(LEFT(Ujian!Q71,1)=SEKOR!Q$2,1,0))</f>
        <v/>
      </c>
      <c r="R64" s="125" t="str">
        <f>IF(Ujian!R71="","",IF(LEFT(Ujian!R71,1)=SEKOR!R$2,1,0))</f>
        <v/>
      </c>
      <c r="S64" s="125" t="str">
        <f>IF(Ujian!S71="","",IF(LEFT(Ujian!S71,1)=SEKOR!S$2,1,0))</f>
        <v/>
      </c>
      <c r="T64" s="125" t="str">
        <f>IF(Ujian!T71="","",IF(LEFT(Ujian!T71,1)=SEKOR!T$2,1,0))</f>
        <v/>
      </c>
      <c r="U64" s="125" t="str">
        <f>IF(Ujian!U71="","",IF(LEFT(Ujian!U71,1)=SEKOR!U$2,1,0))</f>
        <v/>
      </c>
      <c r="V64" s="125" t="str">
        <f>IF(Ujian!V71="","",IF(LEFT(Ujian!V71,1)=SEKOR!V$2,1,0))</f>
        <v/>
      </c>
      <c r="W64" s="125" t="str">
        <f>IF(Ujian!W71="","",IF(LEFT(Ujian!W71,1)=SEKOR!W$2,1,0))</f>
        <v/>
      </c>
      <c r="X64" s="125" t="str">
        <f>IF(Ujian!X71="","",IF(LEFT(Ujian!X71,1)=SEKOR!X$2,1,0))</f>
        <v/>
      </c>
      <c r="Y64" s="125" t="str">
        <f>IF(Ujian!Y71="","",IF(LEFT(Ujian!Y71,1)=SEKOR!Y$2,1,0))</f>
        <v/>
      </c>
      <c r="Z64" s="125" t="str">
        <f>IF(Ujian!Z71="","",IF(LEFT(Ujian!Z71,1)=SEKOR!Z$2,1,0))</f>
        <v/>
      </c>
      <c r="AA64" s="125" t="str">
        <f>IF(Ujian!AA71="","",IF(LEFT(Ujian!AA71,1)=SEKOR!AA$2,1,0))</f>
        <v/>
      </c>
      <c r="AB64" s="125" t="str">
        <f>IF(Ujian!AB71="","",IF(LEFT(Ujian!AB71,1)=SEKOR!AB$2,1,0))</f>
        <v/>
      </c>
      <c r="AC64" s="125" t="str">
        <f>IF(Ujian!AC71="","",IF(LEFT(Ujian!AC71,1)=SEKOR!AC$2,1,0))</f>
        <v/>
      </c>
      <c r="AD64" s="125" t="str">
        <f>IF(Ujian!AD71="","",IF(LEFT(Ujian!AD71,1)=SEKOR!AD$2,1,0))</f>
        <v/>
      </c>
      <c r="AE64" s="125" t="str">
        <f>IF(Ujian!AE71="","",IF(LEFT(Ujian!AE71,1)=SEKOR!AE$2,1,0))</f>
        <v/>
      </c>
      <c r="AF64" s="125" t="str">
        <f>IF(Ujian!AF71="","",IF(LEFT(Ujian!AF71,1)=SEKOR!AF$2,1,0))</f>
        <v/>
      </c>
      <c r="AG64" s="125" t="str">
        <f>IF(Ujian!AG71="","",IF(LEFT(Ujian!AG71,1)=SEKOR!AG$2,1,0))</f>
        <v/>
      </c>
      <c r="AH64" s="125" t="str">
        <f>IF(Ujian!AH71="","",IF(LEFT(Ujian!AH71,1)=SEKOR!AH$2,1,0))</f>
        <v/>
      </c>
      <c r="AI64" s="125" t="str">
        <f>IF(Ujian!AI71="","",IF(LEFT(Ujian!AI71,1)=SEKOR!AI$2,1,0))</f>
        <v/>
      </c>
      <c r="AJ64" s="125" t="str">
        <f>IF(Ujian!AJ71="","",IF(LEFT(Ujian!AJ71,1)=SEKOR!AJ$2,1,0))</f>
        <v/>
      </c>
      <c r="AK64" s="125" t="str">
        <f>IF(Ujian!AK71="","",IF(LEFT(Ujian!AK71,1)=SEKOR!AK$2,1,0))</f>
        <v/>
      </c>
      <c r="AL64" s="125" t="str">
        <f>IF(Ujian!AL71="","",IF(LEFT(Ujian!AL71,1)=SEKOR!AL$2,1,0))</f>
        <v/>
      </c>
      <c r="AM64" s="125" t="str">
        <f>IF(Ujian!AM71="","",IF(LEFT(Ujian!AM71,1)=SEKOR!AM$2,1,0))</f>
        <v/>
      </c>
      <c r="AN64" s="125" t="str">
        <f>IF(Ujian!AN71="","",IF(LEFT(Ujian!AN71,1)=SEKOR!AN$2,1,0))</f>
        <v/>
      </c>
      <c r="AO64" s="125" t="str">
        <f>IF(Ujian!AO71="","",IF(LEFT(Ujian!AO71,1)=SEKOR!AO$2,1,0))</f>
        <v/>
      </c>
      <c r="AP64" s="125" t="str">
        <f>IF(Ujian!AP71="","",IF(LEFT(Ujian!AP71,1)=SEKOR!AP$2,1,0))</f>
        <v/>
      </c>
      <c r="AQ64" s="125" t="str">
        <f>IF(Ujian!AQ71="","",IF(LEFT(Ujian!AQ71,1)=SEKOR!AQ$2,1,0))</f>
        <v/>
      </c>
      <c r="AR64" s="125" t="str">
        <f>IF(Ujian!AR71="","",IF(LEFT(Ujian!AR71,1)=SEKOR!AR$2,1,0))</f>
        <v/>
      </c>
      <c r="AS64" s="125" t="str">
        <f>IF(Ujian!AS71="","",IF(LEFT(Ujian!AS71,1)=SEKOR!AS$2,1,0))</f>
        <v/>
      </c>
      <c r="AT64" s="125" t="str">
        <f>IF(Ujian!AT71="","",IF(LEFT(Ujian!AT71,1)=SEKOR!AT$2,1,0))</f>
        <v/>
      </c>
      <c r="AU64" s="125" t="str">
        <f>IF(Ujian!AU71="","",IF(LEFT(Ujian!AU71,1)=SEKOR!AU$2,1,0))</f>
        <v/>
      </c>
      <c r="AV64" s="125" t="str">
        <f>IF(Ujian!AV71="","",IF(LEFT(Ujian!AV71,1)=SEKOR!AV$2,1,0))</f>
        <v/>
      </c>
      <c r="AW64" s="125" t="str">
        <f>IF(Ujian!AW71="","",IF(LEFT(Ujian!AW71,1)=SEKOR!AW$2,1,0))</f>
        <v/>
      </c>
      <c r="AX64" s="125" t="str">
        <f>IF(Ujian!AX71="","",IF(LEFT(Ujian!AX71,1)=SEKOR!AX$2,1,0))</f>
        <v/>
      </c>
      <c r="AY64" s="125" t="str">
        <f>IF(Ujian!AY71="","",IF(LEFT(Ujian!AY71,1)=SEKOR!AY$2,1,0))</f>
        <v/>
      </c>
      <c r="AZ64" s="125" t="str">
        <f>IF(Ujian!AZ71="","",IF(LEFT(Ujian!AZ71,1)=SEKOR!AZ$2,1,0))</f>
        <v/>
      </c>
      <c r="BA64" s="125" t="str">
        <f>IF(Ujian!BA71="","",IF(LEFT(Ujian!BA71,1)=SEKOR!BA$2,1,0))</f>
        <v/>
      </c>
      <c r="BB64" s="125" t="str">
        <f>IF(Ujian!BB71="","",IF(LEFT(Ujian!BB71,1)=SEKOR!BB$2,1,0))</f>
        <v/>
      </c>
      <c r="BC64" s="125" t="str">
        <f>IF(Ujian!BC71="","",IF(LEFT(Ujian!BC71,1)=SEKOR!BC$2,1,0))</f>
        <v/>
      </c>
      <c r="BD64" s="125" t="str">
        <f>IF(Ujian!BD71="","",IF(LEFT(Ujian!BD71,1)=SEKOR!BD$2,1,0))</f>
        <v/>
      </c>
      <c r="BE64" s="125" t="str">
        <f>IF(Ujian!BE71="","",IF(LEFT(Ujian!BE71,1)=SEKOR!BE$2,1,0))</f>
        <v/>
      </c>
      <c r="BF64" s="125" t="str">
        <f>IF(Ujian!BF71="","",IF(LEFT(Ujian!BF71,1)=SEKOR!BF$2,1,0))</f>
        <v/>
      </c>
      <c r="BG64" s="125" t="str">
        <f>IF(Ujian!BG71="","",IF(LEFT(Ujian!BG71,1)=SEKOR!BG$2,1,0))</f>
        <v/>
      </c>
      <c r="BH64" s="125" t="str">
        <f>IF(Ujian!BH71="","",IF(LEFT(Ujian!BH71,1)=SEKOR!BH$2,1,0))</f>
        <v/>
      </c>
      <c r="BI64" s="125" t="str">
        <f>IF(Ujian!BI71="","",IF(LEFT(Ujian!BI71,1)=SEKOR!BI$2,1,0))</f>
        <v/>
      </c>
      <c r="BJ64" s="125" t="str">
        <f>IF(Ujian!BJ71="","",IF(LEFT(Ujian!BJ71,1)=SEKOR!BJ$2,1,0))</f>
        <v/>
      </c>
      <c r="BK64" s="125" t="str">
        <f>IF(Ujian!BK71="","",IF(LEFT(Ujian!BK71,1)=SEKOR!BK$2,1,0))</f>
        <v/>
      </c>
      <c r="BL64" s="18">
        <f t="shared" si="0"/>
        <v>0</v>
      </c>
      <c r="BM64" s="18">
        <f>COUNTIF($D64:$BK64,"")+DATA!$F$14-DATA!$F$12</f>
        <v>60</v>
      </c>
      <c r="BN64" s="17">
        <f>IF(COUNTIF($D64:$BK64,1)&gt;DATA!$F$14,DATA!$F$14,COUNTIF($D64:$BK64,1))</f>
        <v>0</v>
      </c>
      <c r="BO64" s="17">
        <f>IF((BN64+COUNTIF($D64:$BK64,0))&lt;=DATA!$F$14,COUNTIF($D64:$BK64,0),DATA!$F$14-SEKOR!BN64)</f>
        <v>0</v>
      </c>
      <c r="BP64" s="4" t="str">
        <f>IF(BL64=0,"",BN64/DATA!$F$14*100)</f>
        <v/>
      </c>
      <c r="BQ64" s="121" t="str">
        <f t="shared" si="1"/>
        <v/>
      </c>
      <c r="BR64" s="2" t="str">
        <f>IF(Praktik!$E64=0,"",Praktik!$E64)</f>
        <v/>
      </c>
      <c r="BS64" s="2" t="str">
        <f>IF(BR64="","",(BP64*DATAINFO!$O$4)+(SEKOR!BR64*DATAINFO!$O$5)/(DATAINFO!$O$4+DATAINFO!$O$5))</f>
        <v/>
      </c>
      <c r="BT64" s="2" t="str">
        <f>IF(BL64=0,"",IF(DATA!$F$18="TIDAK",ROUNDUP((IF!$L$8*SEKOR!$BP64)+IF!$L$9,0),IF($BR64="","",ROUNDUP((IF!$L$20*$BS64)+IF!$L$21,0))))</f>
        <v/>
      </c>
      <c r="BU64" s="47" t="str">
        <f>IF(BP64="","",IF(SEKOR!BP64&gt;=DATA!$J$12,1,0))</f>
        <v/>
      </c>
      <c r="BV64" s="47" t="str">
        <f>IF(BQ64="","",IF(SEKOR!BQ64&gt;=DATA!$J$12,1,0))</f>
        <v/>
      </c>
      <c r="BW64" s="47" t="str">
        <f>IF(BR64="","",IF(SEKOR!BR64&gt;=DATA!$J$12,1,0))</f>
        <v/>
      </c>
      <c r="BX64" s="47" t="str">
        <f>IF(BT64="","",IF(DATA!$J$14="",IF(SEKOR!BT64&gt;=DATA!$J$12,1,0),IF(SEKOR!BT64&gt;=DATA!$J$14,1,0)))</f>
        <v/>
      </c>
    </row>
    <row r="65" spans="1:76" x14ac:dyDescent="0.25">
      <c r="A65" s="20" t="s">
        <v>92</v>
      </c>
      <c r="B65" s="21" t="str">
        <f>IF(Ujian!B72="","",Ujian!B72)</f>
        <v/>
      </c>
      <c r="C65" s="57" t="str">
        <f>IF(Ujian!C72="","",Ujian!C72)</f>
        <v/>
      </c>
      <c r="D65" s="125" t="str">
        <f>IF(Ujian!D72="","",IF(LEFT(Ujian!D72,1)=SEKOR!D$2,1,0))</f>
        <v/>
      </c>
      <c r="E65" s="125" t="str">
        <f>IF(Ujian!E72="","",IF(LEFT(Ujian!E72,1)=SEKOR!E$2,1,0))</f>
        <v/>
      </c>
      <c r="F65" s="125" t="str">
        <f>IF(Ujian!F72="","",IF(LEFT(Ujian!F72,1)=SEKOR!F$2,1,0))</f>
        <v/>
      </c>
      <c r="G65" s="125" t="str">
        <f>IF(Ujian!G72="","",IF(LEFT(Ujian!G72,1)=SEKOR!G$2,1,0))</f>
        <v/>
      </c>
      <c r="H65" s="125" t="str">
        <f>IF(Ujian!H72="","",IF(LEFT(Ujian!H72,1)=SEKOR!H$2,1,0))</f>
        <v/>
      </c>
      <c r="I65" s="125" t="str">
        <f>IF(Ujian!I72="","",IF(LEFT(Ujian!I72,1)=SEKOR!I$2,1,0))</f>
        <v/>
      </c>
      <c r="J65" s="125" t="str">
        <f>IF(Ujian!J72="","",IF(LEFT(Ujian!J72,1)=SEKOR!J$2,1,0))</f>
        <v/>
      </c>
      <c r="K65" s="125" t="str">
        <f>IF(Ujian!K72="","",IF(LEFT(Ujian!K72,1)=SEKOR!K$2,1,0))</f>
        <v/>
      </c>
      <c r="L65" s="125" t="str">
        <f>IF(Ujian!L72="","",IF(LEFT(Ujian!L72,1)=SEKOR!L$2,1,0))</f>
        <v/>
      </c>
      <c r="M65" s="125" t="str">
        <f>IF(Ujian!M72="","",IF(LEFT(Ujian!M72,1)=SEKOR!M$2,1,0))</f>
        <v/>
      </c>
      <c r="N65" s="125" t="str">
        <f>IF(Ujian!N72="","",IF(LEFT(Ujian!N72,1)=SEKOR!N$2,1,0))</f>
        <v/>
      </c>
      <c r="O65" s="125" t="str">
        <f>IF(Ujian!O72="","",IF(LEFT(Ujian!O72,1)=SEKOR!O$2,1,0))</f>
        <v/>
      </c>
      <c r="P65" s="125" t="str">
        <f>IF(Ujian!P72="","",IF(LEFT(Ujian!P72,1)=SEKOR!P$2,1,0))</f>
        <v/>
      </c>
      <c r="Q65" s="125" t="str">
        <f>IF(Ujian!Q72="","",IF(LEFT(Ujian!Q72,1)=SEKOR!Q$2,1,0))</f>
        <v/>
      </c>
      <c r="R65" s="125" t="str">
        <f>IF(Ujian!R72="","",IF(LEFT(Ujian!R72,1)=SEKOR!R$2,1,0))</f>
        <v/>
      </c>
      <c r="S65" s="125" t="str">
        <f>IF(Ujian!S72="","",IF(LEFT(Ujian!S72,1)=SEKOR!S$2,1,0))</f>
        <v/>
      </c>
      <c r="T65" s="125" t="str">
        <f>IF(Ujian!T72="","",IF(LEFT(Ujian!T72,1)=SEKOR!T$2,1,0))</f>
        <v/>
      </c>
      <c r="U65" s="125" t="str">
        <f>IF(Ujian!U72="","",IF(LEFT(Ujian!U72,1)=SEKOR!U$2,1,0))</f>
        <v/>
      </c>
      <c r="V65" s="125" t="str">
        <f>IF(Ujian!V72="","",IF(LEFT(Ujian!V72,1)=SEKOR!V$2,1,0))</f>
        <v/>
      </c>
      <c r="W65" s="125" t="str">
        <f>IF(Ujian!W72="","",IF(LEFT(Ujian!W72,1)=SEKOR!W$2,1,0))</f>
        <v/>
      </c>
      <c r="X65" s="125" t="str">
        <f>IF(Ujian!X72="","",IF(LEFT(Ujian!X72,1)=SEKOR!X$2,1,0))</f>
        <v/>
      </c>
      <c r="Y65" s="125" t="str">
        <f>IF(Ujian!Y72="","",IF(LEFT(Ujian!Y72,1)=SEKOR!Y$2,1,0))</f>
        <v/>
      </c>
      <c r="Z65" s="125" t="str">
        <f>IF(Ujian!Z72="","",IF(LEFT(Ujian!Z72,1)=SEKOR!Z$2,1,0))</f>
        <v/>
      </c>
      <c r="AA65" s="125" t="str">
        <f>IF(Ujian!AA72="","",IF(LEFT(Ujian!AA72,1)=SEKOR!AA$2,1,0))</f>
        <v/>
      </c>
      <c r="AB65" s="125" t="str">
        <f>IF(Ujian!AB72="","",IF(LEFT(Ujian!AB72,1)=SEKOR!AB$2,1,0))</f>
        <v/>
      </c>
      <c r="AC65" s="125" t="str">
        <f>IF(Ujian!AC72="","",IF(LEFT(Ujian!AC72,1)=SEKOR!AC$2,1,0))</f>
        <v/>
      </c>
      <c r="AD65" s="125" t="str">
        <f>IF(Ujian!AD72="","",IF(LEFT(Ujian!AD72,1)=SEKOR!AD$2,1,0))</f>
        <v/>
      </c>
      <c r="AE65" s="125" t="str">
        <f>IF(Ujian!AE72="","",IF(LEFT(Ujian!AE72,1)=SEKOR!AE$2,1,0))</f>
        <v/>
      </c>
      <c r="AF65" s="125" t="str">
        <f>IF(Ujian!AF72="","",IF(LEFT(Ujian!AF72,1)=SEKOR!AF$2,1,0))</f>
        <v/>
      </c>
      <c r="AG65" s="125" t="str">
        <f>IF(Ujian!AG72="","",IF(LEFT(Ujian!AG72,1)=SEKOR!AG$2,1,0))</f>
        <v/>
      </c>
      <c r="AH65" s="125" t="str">
        <f>IF(Ujian!AH72="","",IF(LEFT(Ujian!AH72,1)=SEKOR!AH$2,1,0))</f>
        <v/>
      </c>
      <c r="AI65" s="125" t="str">
        <f>IF(Ujian!AI72="","",IF(LEFT(Ujian!AI72,1)=SEKOR!AI$2,1,0))</f>
        <v/>
      </c>
      <c r="AJ65" s="125" t="str">
        <f>IF(Ujian!AJ72="","",IF(LEFT(Ujian!AJ72,1)=SEKOR!AJ$2,1,0))</f>
        <v/>
      </c>
      <c r="AK65" s="125" t="str">
        <f>IF(Ujian!AK72="","",IF(LEFT(Ujian!AK72,1)=SEKOR!AK$2,1,0))</f>
        <v/>
      </c>
      <c r="AL65" s="125" t="str">
        <f>IF(Ujian!AL72="","",IF(LEFT(Ujian!AL72,1)=SEKOR!AL$2,1,0))</f>
        <v/>
      </c>
      <c r="AM65" s="125" t="str">
        <f>IF(Ujian!AM72="","",IF(LEFT(Ujian!AM72,1)=SEKOR!AM$2,1,0))</f>
        <v/>
      </c>
      <c r="AN65" s="125" t="str">
        <f>IF(Ujian!AN72="","",IF(LEFT(Ujian!AN72,1)=SEKOR!AN$2,1,0))</f>
        <v/>
      </c>
      <c r="AO65" s="125" t="str">
        <f>IF(Ujian!AO72="","",IF(LEFT(Ujian!AO72,1)=SEKOR!AO$2,1,0))</f>
        <v/>
      </c>
      <c r="AP65" s="125" t="str">
        <f>IF(Ujian!AP72="","",IF(LEFT(Ujian!AP72,1)=SEKOR!AP$2,1,0))</f>
        <v/>
      </c>
      <c r="AQ65" s="125" t="str">
        <f>IF(Ujian!AQ72="","",IF(LEFT(Ujian!AQ72,1)=SEKOR!AQ$2,1,0))</f>
        <v/>
      </c>
      <c r="AR65" s="125" t="str">
        <f>IF(Ujian!AR72="","",IF(LEFT(Ujian!AR72,1)=SEKOR!AR$2,1,0))</f>
        <v/>
      </c>
      <c r="AS65" s="125" t="str">
        <f>IF(Ujian!AS72="","",IF(LEFT(Ujian!AS72,1)=SEKOR!AS$2,1,0))</f>
        <v/>
      </c>
      <c r="AT65" s="125" t="str">
        <f>IF(Ujian!AT72="","",IF(LEFT(Ujian!AT72,1)=SEKOR!AT$2,1,0))</f>
        <v/>
      </c>
      <c r="AU65" s="125" t="str">
        <f>IF(Ujian!AU72="","",IF(LEFT(Ujian!AU72,1)=SEKOR!AU$2,1,0))</f>
        <v/>
      </c>
      <c r="AV65" s="125" t="str">
        <f>IF(Ujian!AV72="","",IF(LEFT(Ujian!AV72,1)=SEKOR!AV$2,1,0))</f>
        <v/>
      </c>
      <c r="AW65" s="125" t="str">
        <f>IF(Ujian!AW72="","",IF(LEFT(Ujian!AW72,1)=SEKOR!AW$2,1,0))</f>
        <v/>
      </c>
      <c r="AX65" s="125" t="str">
        <f>IF(Ujian!AX72="","",IF(LEFT(Ujian!AX72,1)=SEKOR!AX$2,1,0))</f>
        <v/>
      </c>
      <c r="AY65" s="125" t="str">
        <f>IF(Ujian!AY72="","",IF(LEFT(Ujian!AY72,1)=SEKOR!AY$2,1,0))</f>
        <v/>
      </c>
      <c r="AZ65" s="125" t="str">
        <f>IF(Ujian!AZ72="","",IF(LEFT(Ujian!AZ72,1)=SEKOR!AZ$2,1,0))</f>
        <v/>
      </c>
      <c r="BA65" s="125" t="str">
        <f>IF(Ujian!BA72="","",IF(LEFT(Ujian!BA72,1)=SEKOR!BA$2,1,0))</f>
        <v/>
      </c>
      <c r="BB65" s="125" t="str">
        <f>IF(Ujian!BB72="","",IF(LEFT(Ujian!BB72,1)=SEKOR!BB$2,1,0))</f>
        <v/>
      </c>
      <c r="BC65" s="125" t="str">
        <f>IF(Ujian!BC72="","",IF(LEFT(Ujian!BC72,1)=SEKOR!BC$2,1,0))</f>
        <v/>
      </c>
      <c r="BD65" s="125" t="str">
        <f>IF(Ujian!BD72="","",IF(LEFT(Ujian!BD72,1)=SEKOR!BD$2,1,0))</f>
        <v/>
      </c>
      <c r="BE65" s="125" t="str">
        <f>IF(Ujian!BE72="","",IF(LEFT(Ujian!BE72,1)=SEKOR!BE$2,1,0))</f>
        <v/>
      </c>
      <c r="BF65" s="125" t="str">
        <f>IF(Ujian!BF72="","",IF(LEFT(Ujian!BF72,1)=SEKOR!BF$2,1,0))</f>
        <v/>
      </c>
      <c r="BG65" s="125" t="str">
        <f>IF(Ujian!BG72="","",IF(LEFT(Ujian!BG72,1)=SEKOR!BG$2,1,0))</f>
        <v/>
      </c>
      <c r="BH65" s="125" t="str">
        <f>IF(Ujian!BH72="","",IF(LEFT(Ujian!BH72,1)=SEKOR!BH$2,1,0))</f>
        <v/>
      </c>
      <c r="BI65" s="125" t="str">
        <f>IF(Ujian!BI72="","",IF(LEFT(Ujian!BI72,1)=SEKOR!BI$2,1,0))</f>
        <v/>
      </c>
      <c r="BJ65" s="125" t="str">
        <f>IF(Ujian!BJ72="","",IF(LEFT(Ujian!BJ72,1)=SEKOR!BJ$2,1,0))</f>
        <v/>
      </c>
      <c r="BK65" s="125" t="str">
        <f>IF(Ujian!BK72="","",IF(LEFT(Ujian!BK72,1)=SEKOR!BK$2,1,0))</f>
        <v/>
      </c>
      <c r="BL65" s="18">
        <f t="shared" si="0"/>
        <v>0</v>
      </c>
      <c r="BM65" s="18">
        <f>COUNTIF($D65:$BK65,"")+DATA!$F$14-DATA!$F$12</f>
        <v>60</v>
      </c>
      <c r="BN65" s="17">
        <f>IF(COUNTIF($D65:$BK65,1)&gt;DATA!$F$14,DATA!$F$14,COUNTIF($D65:$BK65,1))</f>
        <v>0</v>
      </c>
      <c r="BO65" s="17">
        <f>IF((BN65+COUNTIF($D65:$BK65,0))&lt;=DATA!$F$14,COUNTIF($D65:$BK65,0),DATA!$F$14-SEKOR!BN65)</f>
        <v>0</v>
      </c>
      <c r="BP65" s="4" t="str">
        <f>IF(BL65=0,"",BN65/DATA!$F$14*100)</f>
        <v/>
      </c>
      <c r="BQ65" s="121" t="str">
        <f t="shared" si="1"/>
        <v/>
      </c>
      <c r="BR65" s="2" t="str">
        <f>IF(Praktik!$E65=0,"",Praktik!$E65)</f>
        <v/>
      </c>
      <c r="BS65" s="2" t="str">
        <f>IF(BR65="","",(BP65*DATAINFO!$O$4)+(SEKOR!BR65*DATAINFO!$O$5)/(DATAINFO!$O$4+DATAINFO!$O$5))</f>
        <v/>
      </c>
      <c r="BT65" s="2" t="str">
        <f>IF(BL65=0,"",IF(DATA!$F$18="TIDAK",ROUNDUP((IF!$L$8*SEKOR!$BP65)+IF!$L$9,0),IF($BR65="","",ROUNDUP((IF!$L$20*$BS65)+IF!$L$21,0))))</f>
        <v/>
      </c>
      <c r="BU65" s="47" t="str">
        <f>IF(BP65="","",IF(SEKOR!BP65&gt;=DATA!$J$12,1,0))</f>
        <v/>
      </c>
      <c r="BV65" s="47" t="str">
        <f>IF(BQ65="","",IF(SEKOR!BQ65&gt;=DATA!$J$12,1,0))</f>
        <v/>
      </c>
      <c r="BW65" s="47" t="str">
        <f>IF(BR65="","",IF(SEKOR!BR65&gt;=DATA!$J$12,1,0))</f>
        <v/>
      </c>
      <c r="BX65" s="47" t="str">
        <f>IF(BT65="","",IF(DATA!$J$14="",IF(SEKOR!BT65&gt;=DATA!$J$12,1,0),IF(SEKOR!BT65&gt;=DATA!$J$14,1,0)))</f>
        <v/>
      </c>
    </row>
    <row r="66" spans="1:76" x14ac:dyDescent="0.25">
      <c r="A66" s="20" t="s">
        <v>93</v>
      </c>
      <c r="B66" s="21" t="str">
        <f>IF(Ujian!B73="","",Ujian!B73)</f>
        <v/>
      </c>
      <c r="C66" s="57" t="str">
        <f>IF(Ujian!C73="","",Ujian!C73)</f>
        <v/>
      </c>
      <c r="D66" s="125" t="str">
        <f>IF(Ujian!D73="","",IF(LEFT(Ujian!D73,1)=SEKOR!D$2,1,0))</f>
        <v/>
      </c>
      <c r="E66" s="125" t="str">
        <f>IF(Ujian!E73="","",IF(LEFT(Ujian!E73,1)=SEKOR!E$2,1,0))</f>
        <v/>
      </c>
      <c r="F66" s="125" t="str">
        <f>IF(Ujian!F73="","",IF(LEFT(Ujian!F73,1)=SEKOR!F$2,1,0))</f>
        <v/>
      </c>
      <c r="G66" s="125" t="str">
        <f>IF(Ujian!G73="","",IF(LEFT(Ujian!G73,1)=SEKOR!G$2,1,0))</f>
        <v/>
      </c>
      <c r="H66" s="125" t="str">
        <f>IF(Ujian!H73="","",IF(LEFT(Ujian!H73,1)=SEKOR!H$2,1,0))</f>
        <v/>
      </c>
      <c r="I66" s="125" t="str">
        <f>IF(Ujian!I73="","",IF(LEFT(Ujian!I73,1)=SEKOR!I$2,1,0))</f>
        <v/>
      </c>
      <c r="J66" s="125" t="str">
        <f>IF(Ujian!J73="","",IF(LEFT(Ujian!J73,1)=SEKOR!J$2,1,0))</f>
        <v/>
      </c>
      <c r="K66" s="125" t="str">
        <f>IF(Ujian!K73="","",IF(LEFT(Ujian!K73,1)=SEKOR!K$2,1,0))</f>
        <v/>
      </c>
      <c r="L66" s="125" t="str">
        <f>IF(Ujian!L73="","",IF(LEFT(Ujian!L73,1)=SEKOR!L$2,1,0))</f>
        <v/>
      </c>
      <c r="M66" s="125" t="str">
        <f>IF(Ujian!M73="","",IF(LEFT(Ujian!M73,1)=SEKOR!M$2,1,0))</f>
        <v/>
      </c>
      <c r="N66" s="125" t="str">
        <f>IF(Ujian!N73="","",IF(LEFT(Ujian!N73,1)=SEKOR!N$2,1,0))</f>
        <v/>
      </c>
      <c r="O66" s="125" t="str">
        <f>IF(Ujian!O73="","",IF(LEFT(Ujian!O73,1)=SEKOR!O$2,1,0))</f>
        <v/>
      </c>
      <c r="P66" s="125" t="str">
        <f>IF(Ujian!P73="","",IF(LEFT(Ujian!P73,1)=SEKOR!P$2,1,0))</f>
        <v/>
      </c>
      <c r="Q66" s="125" t="str">
        <f>IF(Ujian!Q73="","",IF(LEFT(Ujian!Q73,1)=SEKOR!Q$2,1,0))</f>
        <v/>
      </c>
      <c r="R66" s="125" t="str">
        <f>IF(Ujian!R73="","",IF(LEFT(Ujian!R73,1)=SEKOR!R$2,1,0))</f>
        <v/>
      </c>
      <c r="S66" s="125" t="str">
        <f>IF(Ujian!S73="","",IF(LEFT(Ujian!S73,1)=SEKOR!S$2,1,0))</f>
        <v/>
      </c>
      <c r="T66" s="125" t="str">
        <f>IF(Ujian!T73="","",IF(LEFT(Ujian!T73,1)=SEKOR!T$2,1,0))</f>
        <v/>
      </c>
      <c r="U66" s="125" t="str">
        <f>IF(Ujian!U73="","",IF(LEFT(Ujian!U73,1)=SEKOR!U$2,1,0))</f>
        <v/>
      </c>
      <c r="V66" s="125" t="str">
        <f>IF(Ujian!V73="","",IF(LEFT(Ujian!V73,1)=SEKOR!V$2,1,0))</f>
        <v/>
      </c>
      <c r="W66" s="125" t="str">
        <f>IF(Ujian!W73="","",IF(LEFT(Ujian!W73,1)=SEKOR!W$2,1,0))</f>
        <v/>
      </c>
      <c r="X66" s="125" t="str">
        <f>IF(Ujian!X73="","",IF(LEFT(Ujian!X73,1)=SEKOR!X$2,1,0))</f>
        <v/>
      </c>
      <c r="Y66" s="125" t="str">
        <f>IF(Ujian!Y73="","",IF(LEFT(Ujian!Y73,1)=SEKOR!Y$2,1,0))</f>
        <v/>
      </c>
      <c r="Z66" s="125" t="str">
        <f>IF(Ujian!Z73="","",IF(LEFT(Ujian!Z73,1)=SEKOR!Z$2,1,0))</f>
        <v/>
      </c>
      <c r="AA66" s="125" t="str">
        <f>IF(Ujian!AA73="","",IF(LEFT(Ujian!AA73,1)=SEKOR!AA$2,1,0))</f>
        <v/>
      </c>
      <c r="AB66" s="125" t="str">
        <f>IF(Ujian!AB73="","",IF(LEFT(Ujian!AB73,1)=SEKOR!AB$2,1,0))</f>
        <v/>
      </c>
      <c r="AC66" s="125" t="str">
        <f>IF(Ujian!AC73="","",IF(LEFT(Ujian!AC73,1)=SEKOR!AC$2,1,0))</f>
        <v/>
      </c>
      <c r="AD66" s="125" t="str">
        <f>IF(Ujian!AD73="","",IF(LEFT(Ujian!AD73,1)=SEKOR!AD$2,1,0))</f>
        <v/>
      </c>
      <c r="AE66" s="125" t="str">
        <f>IF(Ujian!AE73="","",IF(LEFT(Ujian!AE73,1)=SEKOR!AE$2,1,0))</f>
        <v/>
      </c>
      <c r="AF66" s="125" t="str">
        <f>IF(Ujian!AF73="","",IF(LEFT(Ujian!AF73,1)=SEKOR!AF$2,1,0))</f>
        <v/>
      </c>
      <c r="AG66" s="125" t="str">
        <f>IF(Ujian!AG73="","",IF(LEFT(Ujian!AG73,1)=SEKOR!AG$2,1,0))</f>
        <v/>
      </c>
      <c r="AH66" s="125" t="str">
        <f>IF(Ujian!AH73="","",IF(LEFT(Ujian!AH73,1)=SEKOR!AH$2,1,0))</f>
        <v/>
      </c>
      <c r="AI66" s="125" t="str">
        <f>IF(Ujian!AI73="","",IF(LEFT(Ujian!AI73,1)=SEKOR!AI$2,1,0))</f>
        <v/>
      </c>
      <c r="AJ66" s="125" t="str">
        <f>IF(Ujian!AJ73="","",IF(LEFT(Ujian!AJ73,1)=SEKOR!AJ$2,1,0))</f>
        <v/>
      </c>
      <c r="AK66" s="125" t="str">
        <f>IF(Ujian!AK73="","",IF(LEFT(Ujian!AK73,1)=SEKOR!AK$2,1,0))</f>
        <v/>
      </c>
      <c r="AL66" s="125" t="str">
        <f>IF(Ujian!AL73="","",IF(LEFT(Ujian!AL73,1)=SEKOR!AL$2,1,0))</f>
        <v/>
      </c>
      <c r="AM66" s="125" t="str">
        <f>IF(Ujian!AM73="","",IF(LEFT(Ujian!AM73,1)=SEKOR!AM$2,1,0))</f>
        <v/>
      </c>
      <c r="AN66" s="125" t="str">
        <f>IF(Ujian!AN73="","",IF(LEFT(Ujian!AN73,1)=SEKOR!AN$2,1,0))</f>
        <v/>
      </c>
      <c r="AO66" s="125" t="str">
        <f>IF(Ujian!AO73="","",IF(LEFT(Ujian!AO73,1)=SEKOR!AO$2,1,0))</f>
        <v/>
      </c>
      <c r="AP66" s="125" t="str">
        <f>IF(Ujian!AP73="","",IF(LEFT(Ujian!AP73,1)=SEKOR!AP$2,1,0))</f>
        <v/>
      </c>
      <c r="AQ66" s="125" t="str">
        <f>IF(Ujian!AQ73="","",IF(LEFT(Ujian!AQ73,1)=SEKOR!AQ$2,1,0))</f>
        <v/>
      </c>
      <c r="AR66" s="125" t="str">
        <f>IF(Ujian!AR73="","",IF(LEFT(Ujian!AR73,1)=SEKOR!AR$2,1,0))</f>
        <v/>
      </c>
      <c r="AS66" s="125" t="str">
        <f>IF(Ujian!AS73="","",IF(LEFT(Ujian!AS73,1)=SEKOR!AS$2,1,0))</f>
        <v/>
      </c>
      <c r="AT66" s="125" t="str">
        <f>IF(Ujian!AT73="","",IF(LEFT(Ujian!AT73,1)=SEKOR!AT$2,1,0))</f>
        <v/>
      </c>
      <c r="AU66" s="125" t="str">
        <f>IF(Ujian!AU73="","",IF(LEFT(Ujian!AU73,1)=SEKOR!AU$2,1,0))</f>
        <v/>
      </c>
      <c r="AV66" s="125" t="str">
        <f>IF(Ujian!AV73="","",IF(LEFT(Ujian!AV73,1)=SEKOR!AV$2,1,0))</f>
        <v/>
      </c>
      <c r="AW66" s="125" t="str">
        <f>IF(Ujian!AW73="","",IF(LEFT(Ujian!AW73,1)=SEKOR!AW$2,1,0))</f>
        <v/>
      </c>
      <c r="AX66" s="125" t="str">
        <f>IF(Ujian!AX73="","",IF(LEFT(Ujian!AX73,1)=SEKOR!AX$2,1,0))</f>
        <v/>
      </c>
      <c r="AY66" s="125" t="str">
        <f>IF(Ujian!AY73="","",IF(LEFT(Ujian!AY73,1)=SEKOR!AY$2,1,0))</f>
        <v/>
      </c>
      <c r="AZ66" s="125" t="str">
        <f>IF(Ujian!AZ73="","",IF(LEFT(Ujian!AZ73,1)=SEKOR!AZ$2,1,0))</f>
        <v/>
      </c>
      <c r="BA66" s="125" t="str">
        <f>IF(Ujian!BA73="","",IF(LEFT(Ujian!BA73,1)=SEKOR!BA$2,1,0))</f>
        <v/>
      </c>
      <c r="BB66" s="125" t="str">
        <f>IF(Ujian!BB73="","",IF(LEFT(Ujian!BB73,1)=SEKOR!BB$2,1,0))</f>
        <v/>
      </c>
      <c r="BC66" s="125" t="str">
        <f>IF(Ujian!BC73="","",IF(LEFT(Ujian!BC73,1)=SEKOR!BC$2,1,0))</f>
        <v/>
      </c>
      <c r="BD66" s="125" t="str">
        <f>IF(Ujian!BD73="","",IF(LEFT(Ujian!BD73,1)=SEKOR!BD$2,1,0))</f>
        <v/>
      </c>
      <c r="BE66" s="125" t="str">
        <f>IF(Ujian!BE73="","",IF(LEFT(Ujian!BE73,1)=SEKOR!BE$2,1,0))</f>
        <v/>
      </c>
      <c r="BF66" s="125" t="str">
        <f>IF(Ujian!BF73="","",IF(LEFT(Ujian!BF73,1)=SEKOR!BF$2,1,0))</f>
        <v/>
      </c>
      <c r="BG66" s="125" t="str">
        <f>IF(Ujian!BG73="","",IF(LEFT(Ujian!BG73,1)=SEKOR!BG$2,1,0))</f>
        <v/>
      </c>
      <c r="BH66" s="125" t="str">
        <f>IF(Ujian!BH73="","",IF(LEFT(Ujian!BH73,1)=SEKOR!BH$2,1,0))</f>
        <v/>
      </c>
      <c r="BI66" s="125" t="str">
        <f>IF(Ujian!BI73="","",IF(LEFT(Ujian!BI73,1)=SEKOR!BI$2,1,0))</f>
        <v/>
      </c>
      <c r="BJ66" s="125" t="str">
        <f>IF(Ujian!BJ73="","",IF(LEFT(Ujian!BJ73,1)=SEKOR!BJ$2,1,0))</f>
        <v/>
      </c>
      <c r="BK66" s="125" t="str">
        <f>IF(Ujian!BK73="","",IF(LEFT(Ujian!BK73,1)=SEKOR!BK$2,1,0))</f>
        <v/>
      </c>
      <c r="BL66" s="18">
        <f t="shared" si="0"/>
        <v>0</v>
      </c>
      <c r="BM66" s="18">
        <f>COUNTIF($D66:$BK66,"")+DATA!$F$14-DATA!$F$12</f>
        <v>60</v>
      </c>
      <c r="BN66" s="17">
        <f>IF(COUNTIF($D66:$BK66,1)&gt;DATA!$F$14,DATA!$F$14,COUNTIF($D66:$BK66,1))</f>
        <v>0</v>
      </c>
      <c r="BO66" s="17">
        <f>IF((BN66+COUNTIF($D66:$BK66,0))&lt;=DATA!$F$14,COUNTIF($D66:$BK66,0),DATA!$F$14-SEKOR!BN66)</f>
        <v>0</v>
      </c>
      <c r="BP66" s="4" t="str">
        <f>IF(BL66=0,"",BN66/DATA!$F$14*100)</f>
        <v/>
      </c>
      <c r="BQ66" s="121" t="str">
        <f t="shared" si="1"/>
        <v/>
      </c>
      <c r="BR66" s="2" t="str">
        <f>IF(Praktik!$E66=0,"",Praktik!$E66)</f>
        <v/>
      </c>
      <c r="BS66" s="2" t="str">
        <f>IF(BR66="","",(BP66*DATAINFO!$O$4)+(SEKOR!BR66*DATAINFO!$O$5)/(DATAINFO!$O$4+DATAINFO!$O$5))</f>
        <v/>
      </c>
      <c r="BT66" s="2" t="str">
        <f>IF(BL66=0,"",IF(DATA!$F$18="TIDAK",ROUNDUP((IF!$L$8*SEKOR!$BP66)+IF!$L$9,0),IF($BR66="","",ROUNDUP((IF!$L$20*$BS66)+IF!$L$21,0))))</f>
        <v/>
      </c>
      <c r="BU66" s="47" t="str">
        <f>IF(BP66="","",IF(SEKOR!BP66&gt;=DATA!$J$12,1,0))</f>
        <v/>
      </c>
      <c r="BV66" s="47" t="str">
        <f>IF(BQ66="","",IF(SEKOR!BQ66&gt;=DATA!$J$12,1,0))</f>
        <v/>
      </c>
      <c r="BW66" s="47" t="str">
        <f>IF(BR66="","",IF(SEKOR!BR66&gt;=DATA!$J$12,1,0))</f>
        <v/>
      </c>
      <c r="BX66" s="47" t="str">
        <f>IF(BT66="","",IF(DATA!$J$14="",IF(SEKOR!BT66&gt;=DATA!$J$12,1,0),IF(SEKOR!BT66&gt;=DATA!$J$14,1,0)))</f>
        <v/>
      </c>
    </row>
    <row r="67" spans="1:76" x14ac:dyDescent="0.25">
      <c r="A67" s="20" t="s">
        <v>94</v>
      </c>
      <c r="B67" s="21" t="str">
        <f>IF(Ujian!B74="","",Ujian!B74)</f>
        <v/>
      </c>
      <c r="C67" s="57" t="str">
        <f>IF(Ujian!C74="","",Ujian!C74)</f>
        <v/>
      </c>
      <c r="D67" s="125" t="str">
        <f>IF(Ujian!D74="","",IF(LEFT(Ujian!D74,1)=SEKOR!D$2,1,0))</f>
        <v/>
      </c>
      <c r="E67" s="125" t="str">
        <f>IF(Ujian!E74="","",IF(LEFT(Ujian!E74,1)=SEKOR!E$2,1,0))</f>
        <v/>
      </c>
      <c r="F67" s="125" t="str">
        <f>IF(Ujian!F74="","",IF(LEFT(Ujian!F74,1)=SEKOR!F$2,1,0))</f>
        <v/>
      </c>
      <c r="G67" s="125" t="str">
        <f>IF(Ujian!G74="","",IF(LEFT(Ujian!G74,1)=SEKOR!G$2,1,0))</f>
        <v/>
      </c>
      <c r="H67" s="125" t="str">
        <f>IF(Ujian!H74="","",IF(LEFT(Ujian!H74,1)=SEKOR!H$2,1,0))</f>
        <v/>
      </c>
      <c r="I67" s="125" t="str">
        <f>IF(Ujian!I74="","",IF(LEFT(Ujian!I74,1)=SEKOR!I$2,1,0))</f>
        <v/>
      </c>
      <c r="J67" s="125" t="str">
        <f>IF(Ujian!J74="","",IF(LEFT(Ujian!J74,1)=SEKOR!J$2,1,0))</f>
        <v/>
      </c>
      <c r="K67" s="125" t="str">
        <f>IF(Ujian!K74="","",IF(LEFT(Ujian!K74,1)=SEKOR!K$2,1,0))</f>
        <v/>
      </c>
      <c r="L67" s="125" t="str">
        <f>IF(Ujian!L74="","",IF(LEFT(Ujian!L74,1)=SEKOR!L$2,1,0))</f>
        <v/>
      </c>
      <c r="M67" s="125" t="str">
        <f>IF(Ujian!M74="","",IF(LEFT(Ujian!M74,1)=SEKOR!M$2,1,0))</f>
        <v/>
      </c>
      <c r="N67" s="125" t="str">
        <f>IF(Ujian!N74="","",IF(LEFT(Ujian!N74,1)=SEKOR!N$2,1,0))</f>
        <v/>
      </c>
      <c r="O67" s="125" t="str">
        <f>IF(Ujian!O74="","",IF(LEFT(Ujian!O74,1)=SEKOR!O$2,1,0))</f>
        <v/>
      </c>
      <c r="P67" s="125" t="str">
        <f>IF(Ujian!P74="","",IF(LEFT(Ujian!P74,1)=SEKOR!P$2,1,0))</f>
        <v/>
      </c>
      <c r="Q67" s="125" t="str">
        <f>IF(Ujian!Q74="","",IF(LEFT(Ujian!Q74,1)=SEKOR!Q$2,1,0))</f>
        <v/>
      </c>
      <c r="R67" s="125" t="str">
        <f>IF(Ujian!R74="","",IF(LEFT(Ujian!R74,1)=SEKOR!R$2,1,0))</f>
        <v/>
      </c>
      <c r="S67" s="125" t="str">
        <f>IF(Ujian!S74="","",IF(LEFT(Ujian!S74,1)=SEKOR!S$2,1,0))</f>
        <v/>
      </c>
      <c r="T67" s="125" t="str">
        <f>IF(Ujian!T74="","",IF(LEFT(Ujian!T74,1)=SEKOR!T$2,1,0))</f>
        <v/>
      </c>
      <c r="U67" s="125" t="str">
        <f>IF(Ujian!U74="","",IF(LEFT(Ujian!U74,1)=SEKOR!U$2,1,0))</f>
        <v/>
      </c>
      <c r="V67" s="125" t="str">
        <f>IF(Ujian!V74="","",IF(LEFT(Ujian!V74,1)=SEKOR!V$2,1,0))</f>
        <v/>
      </c>
      <c r="W67" s="125" t="str">
        <f>IF(Ujian!W74="","",IF(LEFT(Ujian!W74,1)=SEKOR!W$2,1,0))</f>
        <v/>
      </c>
      <c r="X67" s="125" t="str">
        <f>IF(Ujian!X74="","",IF(LEFT(Ujian!X74,1)=SEKOR!X$2,1,0))</f>
        <v/>
      </c>
      <c r="Y67" s="125" t="str">
        <f>IF(Ujian!Y74="","",IF(LEFT(Ujian!Y74,1)=SEKOR!Y$2,1,0))</f>
        <v/>
      </c>
      <c r="Z67" s="125" t="str">
        <f>IF(Ujian!Z74="","",IF(LEFT(Ujian!Z74,1)=SEKOR!Z$2,1,0))</f>
        <v/>
      </c>
      <c r="AA67" s="125" t="str">
        <f>IF(Ujian!AA74="","",IF(LEFT(Ujian!AA74,1)=SEKOR!AA$2,1,0))</f>
        <v/>
      </c>
      <c r="AB67" s="125" t="str">
        <f>IF(Ujian!AB74="","",IF(LEFT(Ujian!AB74,1)=SEKOR!AB$2,1,0))</f>
        <v/>
      </c>
      <c r="AC67" s="125" t="str">
        <f>IF(Ujian!AC74="","",IF(LEFT(Ujian!AC74,1)=SEKOR!AC$2,1,0))</f>
        <v/>
      </c>
      <c r="AD67" s="125" t="str">
        <f>IF(Ujian!AD74="","",IF(LEFT(Ujian!AD74,1)=SEKOR!AD$2,1,0))</f>
        <v/>
      </c>
      <c r="AE67" s="125" t="str">
        <f>IF(Ujian!AE74="","",IF(LEFT(Ujian!AE74,1)=SEKOR!AE$2,1,0))</f>
        <v/>
      </c>
      <c r="AF67" s="125" t="str">
        <f>IF(Ujian!AF74="","",IF(LEFT(Ujian!AF74,1)=SEKOR!AF$2,1,0))</f>
        <v/>
      </c>
      <c r="AG67" s="125" t="str">
        <f>IF(Ujian!AG74="","",IF(LEFT(Ujian!AG74,1)=SEKOR!AG$2,1,0))</f>
        <v/>
      </c>
      <c r="AH67" s="125" t="str">
        <f>IF(Ujian!AH74="","",IF(LEFT(Ujian!AH74,1)=SEKOR!AH$2,1,0))</f>
        <v/>
      </c>
      <c r="AI67" s="125" t="str">
        <f>IF(Ujian!AI74="","",IF(LEFT(Ujian!AI74,1)=SEKOR!AI$2,1,0))</f>
        <v/>
      </c>
      <c r="AJ67" s="125" t="str">
        <f>IF(Ujian!AJ74="","",IF(LEFT(Ujian!AJ74,1)=SEKOR!AJ$2,1,0))</f>
        <v/>
      </c>
      <c r="AK67" s="125" t="str">
        <f>IF(Ujian!AK74="","",IF(LEFT(Ujian!AK74,1)=SEKOR!AK$2,1,0))</f>
        <v/>
      </c>
      <c r="AL67" s="125" t="str">
        <f>IF(Ujian!AL74="","",IF(LEFT(Ujian!AL74,1)=SEKOR!AL$2,1,0))</f>
        <v/>
      </c>
      <c r="AM67" s="125" t="str">
        <f>IF(Ujian!AM74="","",IF(LEFT(Ujian!AM74,1)=SEKOR!AM$2,1,0))</f>
        <v/>
      </c>
      <c r="AN67" s="125" t="str">
        <f>IF(Ujian!AN74="","",IF(LEFT(Ujian!AN74,1)=SEKOR!AN$2,1,0))</f>
        <v/>
      </c>
      <c r="AO67" s="125" t="str">
        <f>IF(Ujian!AO74="","",IF(LEFT(Ujian!AO74,1)=SEKOR!AO$2,1,0))</f>
        <v/>
      </c>
      <c r="AP67" s="125" t="str">
        <f>IF(Ujian!AP74="","",IF(LEFT(Ujian!AP74,1)=SEKOR!AP$2,1,0))</f>
        <v/>
      </c>
      <c r="AQ67" s="125" t="str">
        <f>IF(Ujian!AQ74="","",IF(LEFT(Ujian!AQ74,1)=SEKOR!AQ$2,1,0))</f>
        <v/>
      </c>
      <c r="AR67" s="125" t="str">
        <f>IF(Ujian!AR74="","",IF(LEFT(Ujian!AR74,1)=SEKOR!AR$2,1,0))</f>
        <v/>
      </c>
      <c r="AS67" s="125" t="str">
        <f>IF(Ujian!AS74="","",IF(LEFT(Ujian!AS74,1)=SEKOR!AS$2,1,0))</f>
        <v/>
      </c>
      <c r="AT67" s="125" t="str">
        <f>IF(Ujian!AT74="","",IF(LEFT(Ujian!AT74,1)=SEKOR!AT$2,1,0))</f>
        <v/>
      </c>
      <c r="AU67" s="125" t="str">
        <f>IF(Ujian!AU74="","",IF(LEFT(Ujian!AU74,1)=SEKOR!AU$2,1,0))</f>
        <v/>
      </c>
      <c r="AV67" s="125" t="str">
        <f>IF(Ujian!AV74="","",IF(LEFT(Ujian!AV74,1)=SEKOR!AV$2,1,0))</f>
        <v/>
      </c>
      <c r="AW67" s="125" t="str">
        <f>IF(Ujian!AW74="","",IF(LEFT(Ujian!AW74,1)=SEKOR!AW$2,1,0))</f>
        <v/>
      </c>
      <c r="AX67" s="125" t="str">
        <f>IF(Ujian!AX74="","",IF(LEFT(Ujian!AX74,1)=SEKOR!AX$2,1,0))</f>
        <v/>
      </c>
      <c r="AY67" s="125" t="str">
        <f>IF(Ujian!AY74="","",IF(LEFT(Ujian!AY74,1)=SEKOR!AY$2,1,0))</f>
        <v/>
      </c>
      <c r="AZ67" s="125" t="str">
        <f>IF(Ujian!AZ74="","",IF(LEFT(Ujian!AZ74,1)=SEKOR!AZ$2,1,0))</f>
        <v/>
      </c>
      <c r="BA67" s="125" t="str">
        <f>IF(Ujian!BA74="","",IF(LEFT(Ujian!BA74,1)=SEKOR!BA$2,1,0))</f>
        <v/>
      </c>
      <c r="BB67" s="125" t="str">
        <f>IF(Ujian!BB74="","",IF(LEFT(Ujian!BB74,1)=SEKOR!BB$2,1,0))</f>
        <v/>
      </c>
      <c r="BC67" s="125" t="str">
        <f>IF(Ujian!BC74="","",IF(LEFT(Ujian!BC74,1)=SEKOR!BC$2,1,0))</f>
        <v/>
      </c>
      <c r="BD67" s="125" t="str">
        <f>IF(Ujian!BD74="","",IF(LEFT(Ujian!BD74,1)=SEKOR!BD$2,1,0))</f>
        <v/>
      </c>
      <c r="BE67" s="125" t="str">
        <f>IF(Ujian!BE74="","",IF(LEFT(Ujian!BE74,1)=SEKOR!BE$2,1,0))</f>
        <v/>
      </c>
      <c r="BF67" s="125" t="str">
        <f>IF(Ujian!BF74="","",IF(LEFT(Ujian!BF74,1)=SEKOR!BF$2,1,0))</f>
        <v/>
      </c>
      <c r="BG67" s="125" t="str">
        <f>IF(Ujian!BG74="","",IF(LEFT(Ujian!BG74,1)=SEKOR!BG$2,1,0))</f>
        <v/>
      </c>
      <c r="BH67" s="125" t="str">
        <f>IF(Ujian!BH74="","",IF(LEFT(Ujian!BH74,1)=SEKOR!BH$2,1,0))</f>
        <v/>
      </c>
      <c r="BI67" s="125" t="str">
        <f>IF(Ujian!BI74="","",IF(LEFT(Ujian!BI74,1)=SEKOR!BI$2,1,0))</f>
        <v/>
      </c>
      <c r="BJ67" s="125" t="str">
        <f>IF(Ujian!BJ74="","",IF(LEFT(Ujian!BJ74,1)=SEKOR!BJ$2,1,0))</f>
        <v/>
      </c>
      <c r="BK67" s="125" t="str">
        <f>IF(Ujian!BK74="","",IF(LEFT(Ujian!BK74,1)=SEKOR!BK$2,1,0))</f>
        <v/>
      </c>
      <c r="BL67" s="18">
        <f t="shared" si="0"/>
        <v>0</v>
      </c>
      <c r="BM67" s="18">
        <f>COUNTIF($D67:$BK67,"")+DATA!$F$14-DATA!$F$12</f>
        <v>60</v>
      </c>
      <c r="BN67" s="17">
        <f>IF(COUNTIF($D67:$BK67,1)&gt;DATA!$F$14,DATA!$F$14,COUNTIF($D67:$BK67,1))</f>
        <v>0</v>
      </c>
      <c r="BO67" s="17">
        <f>IF((BN67+COUNTIF($D67:$BK67,0))&lt;=DATA!$F$14,COUNTIF($D67:$BK67,0),DATA!$F$14-SEKOR!BN67)</f>
        <v>0</v>
      </c>
      <c r="BP67" s="4" t="str">
        <f>IF(BL67=0,"",BN67/DATA!$F$14*100)</f>
        <v/>
      </c>
      <c r="BQ67" s="121" t="str">
        <f t="shared" si="1"/>
        <v/>
      </c>
      <c r="BR67" s="2" t="str">
        <f>IF(Praktik!$E67=0,"",Praktik!$E67)</f>
        <v/>
      </c>
      <c r="BS67" s="2" t="str">
        <f>IF(BR67="","",(BP67*DATAINFO!$O$4)+(SEKOR!BR67*DATAINFO!$O$5)/(DATAINFO!$O$4+DATAINFO!$O$5))</f>
        <v/>
      </c>
      <c r="BT67" s="2" t="str">
        <f>IF(BL67=0,"",IF(DATA!$F$18="TIDAK",ROUNDUP((IF!$L$8*SEKOR!$BP67)+IF!$L$9,0),IF($BR67="","",ROUNDUP((IF!$L$20*$BS67)+IF!$L$21,0))))</f>
        <v/>
      </c>
      <c r="BU67" s="47" t="str">
        <f>IF(BP67="","",IF(SEKOR!BP67&gt;=DATA!$J$12,1,0))</f>
        <v/>
      </c>
      <c r="BV67" s="47" t="str">
        <f>IF(BQ67="","",IF(SEKOR!BQ67&gt;=DATA!$J$12,1,0))</f>
        <v/>
      </c>
      <c r="BW67" s="47" t="str">
        <f>IF(BR67="","",IF(SEKOR!BR67&gt;=DATA!$J$12,1,0))</f>
        <v/>
      </c>
      <c r="BX67" s="47" t="str">
        <f>IF(BT67="","",IF(DATA!$J$14="",IF(SEKOR!BT67&gt;=DATA!$J$12,1,0),IF(SEKOR!BT67&gt;=DATA!$J$14,1,0)))</f>
        <v/>
      </c>
    </row>
    <row r="68" spans="1:76" x14ac:dyDescent="0.25">
      <c r="A68" s="20" t="s">
        <v>95</v>
      </c>
      <c r="B68" s="21" t="str">
        <f>IF(Ujian!B75="","",Ujian!B75)</f>
        <v/>
      </c>
      <c r="C68" s="57" t="str">
        <f>IF(Ujian!C75="","",Ujian!C75)</f>
        <v/>
      </c>
      <c r="D68" s="125" t="str">
        <f>IF(Ujian!D75="","",IF(LEFT(Ujian!D75,1)=SEKOR!D$2,1,0))</f>
        <v/>
      </c>
      <c r="E68" s="125" t="str">
        <f>IF(Ujian!E75="","",IF(LEFT(Ujian!E75,1)=SEKOR!E$2,1,0))</f>
        <v/>
      </c>
      <c r="F68" s="125" t="str">
        <f>IF(Ujian!F75="","",IF(LEFT(Ujian!F75,1)=SEKOR!F$2,1,0))</f>
        <v/>
      </c>
      <c r="G68" s="125" t="str">
        <f>IF(Ujian!G75="","",IF(LEFT(Ujian!G75,1)=SEKOR!G$2,1,0))</f>
        <v/>
      </c>
      <c r="H68" s="125" t="str">
        <f>IF(Ujian!H75="","",IF(LEFT(Ujian!H75,1)=SEKOR!H$2,1,0))</f>
        <v/>
      </c>
      <c r="I68" s="125" t="str">
        <f>IF(Ujian!I75="","",IF(LEFT(Ujian!I75,1)=SEKOR!I$2,1,0))</f>
        <v/>
      </c>
      <c r="J68" s="125" t="str">
        <f>IF(Ujian!J75="","",IF(LEFT(Ujian!J75,1)=SEKOR!J$2,1,0))</f>
        <v/>
      </c>
      <c r="K68" s="125" t="str">
        <f>IF(Ujian!K75="","",IF(LEFT(Ujian!K75,1)=SEKOR!K$2,1,0))</f>
        <v/>
      </c>
      <c r="L68" s="125" t="str">
        <f>IF(Ujian!L75="","",IF(LEFT(Ujian!L75,1)=SEKOR!L$2,1,0))</f>
        <v/>
      </c>
      <c r="M68" s="125" t="str">
        <f>IF(Ujian!M75="","",IF(LEFT(Ujian!M75,1)=SEKOR!M$2,1,0))</f>
        <v/>
      </c>
      <c r="N68" s="125" t="str">
        <f>IF(Ujian!N75="","",IF(LEFT(Ujian!N75,1)=SEKOR!N$2,1,0))</f>
        <v/>
      </c>
      <c r="O68" s="125" t="str">
        <f>IF(Ujian!O75="","",IF(LEFT(Ujian!O75,1)=SEKOR!O$2,1,0))</f>
        <v/>
      </c>
      <c r="P68" s="125" t="str">
        <f>IF(Ujian!P75="","",IF(LEFT(Ujian!P75,1)=SEKOR!P$2,1,0))</f>
        <v/>
      </c>
      <c r="Q68" s="125" t="str">
        <f>IF(Ujian!Q75="","",IF(LEFT(Ujian!Q75,1)=SEKOR!Q$2,1,0))</f>
        <v/>
      </c>
      <c r="R68" s="125" t="str">
        <f>IF(Ujian!R75="","",IF(LEFT(Ujian!R75,1)=SEKOR!R$2,1,0))</f>
        <v/>
      </c>
      <c r="S68" s="125" t="str">
        <f>IF(Ujian!S75="","",IF(LEFT(Ujian!S75,1)=SEKOR!S$2,1,0))</f>
        <v/>
      </c>
      <c r="T68" s="125" t="str">
        <f>IF(Ujian!T75="","",IF(LEFT(Ujian!T75,1)=SEKOR!T$2,1,0))</f>
        <v/>
      </c>
      <c r="U68" s="125" t="str">
        <f>IF(Ujian!U75="","",IF(LEFT(Ujian!U75,1)=SEKOR!U$2,1,0))</f>
        <v/>
      </c>
      <c r="V68" s="125" t="str">
        <f>IF(Ujian!V75="","",IF(LEFT(Ujian!V75,1)=SEKOR!V$2,1,0))</f>
        <v/>
      </c>
      <c r="W68" s="125" t="str">
        <f>IF(Ujian!W75="","",IF(LEFT(Ujian!W75,1)=SEKOR!W$2,1,0))</f>
        <v/>
      </c>
      <c r="X68" s="125" t="str">
        <f>IF(Ujian!X75="","",IF(LEFT(Ujian!X75,1)=SEKOR!X$2,1,0))</f>
        <v/>
      </c>
      <c r="Y68" s="125" t="str">
        <f>IF(Ujian!Y75="","",IF(LEFT(Ujian!Y75,1)=SEKOR!Y$2,1,0))</f>
        <v/>
      </c>
      <c r="Z68" s="125" t="str">
        <f>IF(Ujian!Z75="","",IF(LEFT(Ujian!Z75,1)=SEKOR!Z$2,1,0))</f>
        <v/>
      </c>
      <c r="AA68" s="125" t="str">
        <f>IF(Ujian!AA75="","",IF(LEFT(Ujian!AA75,1)=SEKOR!AA$2,1,0))</f>
        <v/>
      </c>
      <c r="AB68" s="125" t="str">
        <f>IF(Ujian!AB75="","",IF(LEFT(Ujian!AB75,1)=SEKOR!AB$2,1,0))</f>
        <v/>
      </c>
      <c r="AC68" s="125" t="str">
        <f>IF(Ujian!AC75="","",IF(LEFT(Ujian!AC75,1)=SEKOR!AC$2,1,0))</f>
        <v/>
      </c>
      <c r="AD68" s="125" t="str">
        <f>IF(Ujian!AD75="","",IF(LEFT(Ujian!AD75,1)=SEKOR!AD$2,1,0))</f>
        <v/>
      </c>
      <c r="AE68" s="125" t="str">
        <f>IF(Ujian!AE75="","",IF(LEFT(Ujian!AE75,1)=SEKOR!AE$2,1,0))</f>
        <v/>
      </c>
      <c r="AF68" s="125" t="str">
        <f>IF(Ujian!AF75="","",IF(LEFT(Ujian!AF75,1)=SEKOR!AF$2,1,0))</f>
        <v/>
      </c>
      <c r="AG68" s="125" t="str">
        <f>IF(Ujian!AG75="","",IF(LEFT(Ujian!AG75,1)=SEKOR!AG$2,1,0))</f>
        <v/>
      </c>
      <c r="AH68" s="125" t="str">
        <f>IF(Ujian!AH75="","",IF(LEFT(Ujian!AH75,1)=SEKOR!AH$2,1,0))</f>
        <v/>
      </c>
      <c r="AI68" s="125" t="str">
        <f>IF(Ujian!AI75="","",IF(LEFT(Ujian!AI75,1)=SEKOR!AI$2,1,0))</f>
        <v/>
      </c>
      <c r="AJ68" s="125" t="str">
        <f>IF(Ujian!AJ75="","",IF(LEFT(Ujian!AJ75,1)=SEKOR!AJ$2,1,0))</f>
        <v/>
      </c>
      <c r="AK68" s="125" t="str">
        <f>IF(Ujian!AK75="","",IF(LEFT(Ujian!AK75,1)=SEKOR!AK$2,1,0))</f>
        <v/>
      </c>
      <c r="AL68" s="125" t="str">
        <f>IF(Ujian!AL75="","",IF(LEFT(Ujian!AL75,1)=SEKOR!AL$2,1,0))</f>
        <v/>
      </c>
      <c r="AM68" s="125" t="str">
        <f>IF(Ujian!AM75="","",IF(LEFT(Ujian!AM75,1)=SEKOR!AM$2,1,0))</f>
        <v/>
      </c>
      <c r="AN68" s="125" t="str">
        <f>IF(Ujian!AN75="","",IF(LEFT(Ujian!AN75,1)=SEKOR!AN$2,1,0))</f>
        <v/>
      </c>
      <c r="AO68" s="125" t="str">
        <f>IF(Ujian!AO75="","",IF(LEFT(Ujian!AO75,1)=SEKOR!AO$2,1,0))</f>
        <v/>
      </c>
      <c r="AP68" s="125" t="str">
        <f>IF(Ujian!AP75="","",IF(LEFT(Ujian!AP75,1)=SEKOR!AP$2,1,0))</f>
        <v/>
      </c>
      <c r="AQ68" s="125" t="str">
        <f>IF(Ujian!AQ75="","",IF(LEFT(Ujian!AQ75,1)=SEKOR!AQ$2,1,0))</f>
        <v/>
      </c>
      <c r="AR68" s="125" t="str">
        <f>IF(Ujian!AR75="","",IF(LEFT(Ujian!AR75,1)=SEKOR!AR$2,1,0))</f>
        <v/>
      </c>
      <c r="AS68" s="125" t="str">
        <f>IF(Ujian!AS75="","",IF(LEFT(Ujian!AS75,1)=SEKOR!AS$2,1,0))</f>
        <v/>
      </c>
      <c r="AT68" s="125" t="str">
        <f>IF(Ujian!AT75="","",IF(LEFT(Ujian!AT75,1)=SEKOR!AT$2,1,0))</f>
        <v/>
      </c>
      <c r="AU68" s="125" t="str">
        <f>IF(Ujian!AU75="","",IF(LEFT(Ujian!AU75,1)=SEKOR!AU$2,1,0))</f>
        <v/>
      </c>
      <c r="AV68" s="125" t="str">
        <f>IF(Ujian!AV75="","",IF(LEFT(Ujian!AV75,1)=SEKOR!AV$2,1,0))</f>
        <v/>
      </c>
      <c r="AW68" s="125" t="str">
        <f>IF(Ujian!AW75="","",IF(LEFT(Ujian!AW75,1)=SEKOR!AW$2,1,0))</f>
        <v/>
      </c>
      <c r="AX68" s="125" t="str">
        <f>IF(Ujian!AX75="","",IF(LEFT(Ujian!AX75,1)=SEKOR!AX$2,1,0))</f>
        <v/>
      </c>
      <c r="AY68" s="125" t="str">
        <f>IF(Ujian!AY75="","",IF(LEFT(Ujian!AY75,1)=SEKOR!AY$2,1,0))</f>
        <v/>
      </c>
      <c r="AZ68" s="125" t="str">
        <f>IF(Ujian!AZ75="","",IF(LEFT(Ujian!AZ75,1)=SEKOR!AZ$2,1,0))</f>
        <v/>
      </c>
      <c r="BA68" s="125" t="str">
        <f>IF(Ujian!BA75="","",IF(LEFT(Ujian!BA75,1)=SEKOR!BA$2,1,0))</f>
        <v/>
      </c>
      <c r="BB68" s="125" t="str">
        <f>IF(Ujian!BB75="","",IF(LEFT(Ujian!BB75,1)=SEKOR!BB$2,1,0))</f>
        <v/>
      </c>
      <c r="BC68" s="125" t="str">
        <f>IF(Ujian!BC75="","",IF(LEFT(Ujian!BC75,1)=SEKOR!BC$2,1,0))</f>
        <v/>
      </c>
      <c r="BD68" s="125" t="str">
        <f>IF(Ujian!BD75="","",IF(LEFT(Ujian!BD75,1)=SEKOR!BD$2,1,0))</f>
        <v/>
      </c>
      <c r="BE68" s="125" t="str">
        <f>IF(Ujian!BE75="","",IF(LEFT(Ujian!BE75,1)=SEKOR!BE$2,1,0))</f>
        <v/>
      </c>
      <c r="BF68" s="125" t="str">
        <f>IF(Ujian!BF75="","",IF(LEFT(Ujian!BF75,1)=SEKOR!BF$2,1,0))</f>
        <v/>
      </c>
      <c r="BG68" s="125" t="str">
        <f>IF(Ujian!BG75="","",IF(LEFT(Ujian!BG75,1)=SEKOR!BG$2,1,0))</f>
        <v/>
      </c>
      <c r="BH68" s="125" t="str">
        <f>IF(Ujian!BH75="","",IF(LEFT(Ujian!BH75,1)=SEKOR!BH$2,1,0))</f>
        <v/>
      </c>
      <c r="BI68" s="125" t="str">
        <f>IF(Ujian!BI75="","",IF(LEFT(Ujian!BI75,1)=SEKOR!BI$2,1,0))</f>
        <v/>
      </c>
      <c r="BJ68" s="125" t="str">
        <f>IF(Ujian!BJ75="","",IF(LEFT(Ujian!BJ75,1)=SEKOR!BJ$2,1,0))</f>
        <v/>
      </c>
      <c r="BK68" s="125" t="str">
        <f>IF(Ujian!BK75="","",IF(LEFT(Ujian!BK75,1)=SEKOR!BK$2,1,0))</f>
        <v/>
      </c>
      <c r="BL68" s="18">
        <f t="shared" ref="BL68:BL131" si="2">COUNT($D68:$BK68)</f>
        <v>0</v>
      </c>
      <c r="BM68" s="18">
        <f>COUNTIF($D68:$BK68,"")+DATA!$F$14-DATA!$F$12</f>
        <v>60</v>
      </c>
      <c r="BN68" s="17">
        <f>IF(COUNTIF($D68:$BK68,1)&gt;DATA!$F$14,DATA!$F$14,COUNTIF($D68:$BK68,1))</f>
        <v>0</v>
      </c>
      <c r="BO68" s="17">
        <f>IF((BN68+COUNTIF($D68:$BK68,0))&lt;=DATA!$F$14,COUNTIF($D68:$BK68,0),DATA!$F$14-SEKOR!BN68)</f>
        <v>0</v>
      </c>
      <c r="BP68" s="4" t="str">
        <f>IF(BL68=0,"",BN68/DATA!$F$14*100)</f>
        <v/>
      </c>
      <c r="BQ68" s="121" t="str">
        <f t="shared" ref="BQ68:BQ131" si="3">IF(BL68=0,"",BN68/MAX($BN$3:$BN$222)*100)</f>
        <v/>
      </c>
      <c r="BR68" s="2" t="str">
        <f>IF(Praktik!$E68=0,"",Praktik!$E68)</f>
        <v/>
      </c>
      <c r="BS68" s="2" t="str">
        <f>IF(BR68="","",(BP68*DATAINFO!$O$4)+(SEKOR!BR68*DATAINFO!$O$5)/(DATAINFO!$O$4+DATAINFO!$O$5))</f>
        <v/>
      </c>
      <c r="BT68" s="2" t="str">
        <f>IF(BL68=0,"",IF(DATA!$F$18="TIDAK",ROUNDUP((IF!$L$8*SEKOR!$BP68)+IF!$L$9,0),IF($BR68="","",ROUNDUP((IF!$L$20*$BS68)+IF!$L$21,0))))</f>
        <v/>
      </c>
      <c r="BU68" s="47" t="str">
        <f>IF(BP68="","",IF(SEKOR!BP68&gt;=DATA!$J$12,1,0))</f>
        <v/>
      </c>
      <c r="BV68" s="47" t="str">
        <f>IF(BQ68="","",IF(SEKOR!BQ68&gt;=DATA!$J$12,1,0))</f>
        <v/>
      </c>
      <c r="BW68" s="47" t="str">
        <f>IF(BR68="","",IF(SEKOR!BR68&gt;=DATA!$J$12,1,0))</f>
        <v/>
      </c>
      <c r="BX68" s="47" t="str">
        <f>IF(BT68="","",IF(DATA!$J$14="",IF(SEKOR!BT68&gt;=DATA!$J$12,1,0),IF(SEKOR!BT68&gt;=DATA!$J$14,1,0)))</f>
        <v/>
      </c>
    </row>
    <row r="69" spans="1:76" x14ac:dyDescent="0.25">
      <c r="A69" s="20" t="s">
        <v>96</v>
      </c>
      <c r="B69" s="21" t="str">
        <f>IF(Ujian!B76="","",Ujian!B76)</f>
        <v/>
      </c>
      <c r="C69" s="57" t="str">
        <f>IF(Ujian!C76="","",Ujian!C76)</f>
        <v/>
      </c>
      <c r="D69" s="125" t="str">
        <f>IF(Ujian!D76="","",IF(LEFT(Ujian!D76,1)=SEKOR!D$2,1,0))</f>
        <v/>
      </c>
      <c r="E69" s="125" t="str">
        <f>IF(Ujian!E76="","",IF(LEFT(Ujian!E76,1)=SEKOR!E$2,1,0))</f>
        <v/>
      </c>
      <c r="F69" s="125" t="str">
        <f>IF(Ujian!F76="","",IF(LEFT(Ujian!F76,1)=SEKOR!F$2,1,0))</f>
        <v/>
      </c>
      <c r="G69" s="125" t="str">
        <f>IF(Ujian!G76="","",IF(LEFT(Ujian!G76,1)=SEKOR!G$2,1,0))</f>
        <v/>
      </c>
      <c r="H69" s="125" t="str">
        <f>IF(Ujian!H76="","",IF(LEFT(Ujian!H76,1)=SEKOR!H$2,1,0))</f>
        <v/>
      </c>
      <c r="I69" s="125" t="str">
        <f>IF(Ujian!I76="","",IF(LEFT(Ujian!I76,1)=SEKOR!I$2,1,0))</f>
        <v/>
      </c>
      <c r="J69" s="125" t="str">
        <f>IF(Ujian!J76="","",IF(LEFT(Ujian!J76,1)=SEKOR!J$2,1,0))</f>
        <v/>
      </c>
      <c r="K69" s="125" t="str">
        <f>IF(Ujian!K76="","",IF(LEFT(Ujian!K76,1)=SEKOR!K$2,1,0))</f>
        <v/>
      </c>
      <c r="L69" s="125" t="str">
        <f>IF(Ujian!L76="","",IF(LEFT(Ujian!L76,1)=SEKOR!L$2,1,0))</f>
        <v/>
      </c>
      <c r="M69" s="125" t="str">
        <f>IF(Ujian!M76="","",IF(LEFT(Ujian!M76,1)=SEKOR!M$2,1,0))</f>
        <v/>
      </c>
      <c r="N69" s="125" t="str">
        <f>IF(Ujian!N76="","",IF(LEFT(Ujian!N76,1)=SEKOR!N$2,1,0))</f>
        <v/>
      </c>
      <c r="O69" s="125" t="str">
        <f>IF(Ujian!O76="","",IF(LEFT(Ujian!O76,1)=SEKOR!O$2,1,0))</f>
        <v/>
      </c>
      <c r="P69" s="125" t="str">
        <f>IF(Ujian!P76="","",IF(LEFT(Ujian!P76,1)=SEKOR!P$2,1,0))</f>
        <v/>
      </c>
      <c r="Q69" s="125" t="str">
        <f>IF(Ujian!Q76="","",IF(LEFT(Ujian!Q76,1)=SEKOR!Q$2,1,0))</f>
        <v/>
      </c>
      <c r="R69" s="125" t="str">
        <f>IF(Ujian!R76="","",IF(LEFT(Ujian!R76,1)=SEKOR!R$2,1,0))</f>
        <v/>
      </c>
      <c r="S69" s="125" t="str">
        <f>IF(Ujian!S76="","",IF(LEFT(Ujian!S76,1)=SEKOR!S$2,1,0))</f>
        <v/>
      </c>
      <c r="T69" s="125" t="str">
        <f>IF(Ujian!T76="","",IF(LEFT(Ujian!T76,1)=SEKOR!T$2,1,0))</f>
        <v/>
      </c>
      <c r="U69" s="125" t="str">
        <f>IF(Ujian!U76="","",IF(LEFT(Ujian!U76,1)=SEKOR!U$2,1,0))</f>
        <v/>
      </c>
      <c r="V69" s="125" t="str">
        <f>IF(Ujian!V76="","",IF(LEFT(Ujian!V76,1)=SEKOR!V$2,1,0))</f>
        <v/>
      </c>
      <c r="W69" s="125" t="str">
        <f>IF(Ujian!W76="","",IF(LEFT(Ujian!W76,1)=SEKOR!W$2,1,0))</f>
        <v/>
      </c>
      <c r="X69" s="125" t="str">
        <f>IF(Ujian!X76="","",IF(LEFT(Ujian!X76,1)=SEKOR!X$2,1,0))</f>
        <v/>
      </c>
      <c r="Y69" s="125" t="str">
        <f>IF(Ujian!Y76="","",IF(LEFT(Ujian!Y76,1)=SEKOR!Y$2,1,0))</f>
        <v/>
      </c>
      <c r="Z69" s="125" t="str">
        <f>IF(Ujian!Z76="","",IF(LEFT(Ujian!Z76,1)=SEKOR!Z$2,1,0))</f>
        <v/>
      </c>
      <c r="AA69" s="125" t="str">
        <f>IF(Ujian!AA76="","",IF(LEFT(Ujian!AA76,1)=SEKOR!AA$2,1,0))</f>
        <v/>
      </c>
      <c r="AB69" s="125" t="str">
        <f>IF(Ujian!AB76="","",IF(LEFT(Ujian!AB76,1)=SEKOR!AB$2,1,0))</f>
        <v/>
      </c>
      <c r="AC69" s="125" t="str">
        <f>IF(Ujian!AC76="","",IF(LEFT(Ujian!AC76,1)=SEKOR!AC$2,1,0))</f>
        <v/>
      </c>
      <c r="AD69" s="125" t="str">
        <f>IF(Ujian!AD76="","",IF(LEFT(Ujian!AD76,1)=SEKOR!AD$2,1,0))</f>
        <v/>
      </c>
      <c r="AE69" s="125" t="str">
        <f>IF(Ujian!AE76="","",IF(LEFT(Ujian!AE76,1)=SEKOR!AE$2,1,0))</f>
        <v/>
      </c>
      <c r="AF69" s="125" t="str">
        <f>IF(Ujian!AF76="","",IF(LEFT(Ujian!AF76,1)=SEKOR!AF$2,1,0))</f>
        <v/>
      </c>
      <c r="AG69" s="125" t="str">
        <f>IF(Ujian!AG76="","",IF(LEFT(Ujian!AG76,1)=SEKOR!AG$2,1,0))</f>
        <v/>
      </c>
      <c r="AH69" s="125" t="str">
        <f>IF(Ujian!AH76="","",IF(LEFT(Ujian!AH76,1)=SEKOR!AH$2,1,0))</f>
        <v/>
      </c>
      <c r="AI69" s="125" t="str">
        <f>IF(Ujian!AI76="","",IF(LEFT(Ujian!AI76,1)=SEKOR!AI$2,1,0))</f>
        <v/>
      </c>
      <c r="AJ69" s="125" t="str">
        <f>IF(Ujian!AJ76="","",IF(LEFT(Ujian!AJ76,1)=SEKOR!AJ$2,1,0))</f>
        <v/>
      </c>
      <c r="AK69" s="125" t="str">
        <f>IF(Ujian!AK76="","",IF(LEFT(Ujian!AK76,1)=SEKOR!AK$2,1,0))</f>
        <v/>
      </c>
      <c r="AL69" s="125" t="str">
        <f>IF(Ujian!AL76="","",IF(LEFT(Ujian!AL76,1)=SEKOR!AL$2,1,0))</f>
        <v/>
      </c>
      <c r="AM69" s="125" t="str">
        <f>IF(Ujian!AM76="","",IF(LEFT(Ujian!AM76,1)=SEKOR!AM$2,1,0))</f>
        <v/>
      </c>
      <c r="AN69" s="125" t="str">
        <f>IF(Ujian!AN76="","",IF(LEFT(Ujian!AN76,1)=SEKOR!AN$2,1,0))</f>
        <v/>
      </c>
      <c r="AO69" s="125" t="str">
        <f>IF(Ujian!AO76="","",IF(LEFT(Ujian!AO76,1)=SEKOR!AO$2,1,0))</f>
        <v/>
      </c>
      <c r="AP69" s="125" t="str">
        <f>IF(Ujian!AP76="","",IF(LEFT(Ujian!AP76,1)=SEKOR!AP$2,1,0))</f>
        <v/>
      </c>
      <c r="AQ69" s="125" t="str">
        <f>IF(Ujian!AQ76="","",IF(LEFT(Ujian!AQ76,1)=SEKOR!AQ$2,1,0))</f>
        <v/>
      </c>
      <c r="AR69" s="125" t="str">
        <f>IF(Ujian!AR76="","",IF(LEFT(Ujian!AR76,1)=SEKOR!AR$2,1,0))</f>
        <v/>
      </c>
      <c r="AS69" s="125" t="str">
        <f>IF(Ujian!AS76="","",IF(LEFT(Ujian!AS76,1)=SEKOR!AS$2,1,0))</f>
        <v/>
      </c>
      <c r="AT69" s="125" t="str">
        <f>IF(Ujian!AT76="","",IF(LEFT(Ujian!AT76,1)=SEKOR!AT$2,1,0))</f>
        <v/>
      </c>
      <c r="AU69" s="125" t="str">
        <f>IF(Ujian!AU76="","",IF(LEFT(Ujian!AU76,1)=SEKOR!AU$2,1,0))</f>
        <v/>
      </c>
      <c r="AV69" s="125" t="str">
        <f>IF(Ujian!AV76="","",IF(LEFT(Ujian!AV76,1)=SEKOR!AV$2,1,0))</f>
        <v/>
      </c>
      <c r="AW69" s="125" t="str">
        <f>IF(Ujian!AW76="","",IF(LEFT(Ujian!AW76,1)=SEKOR!AW$2,1,0))</f>
        <v/>
      </c>
      <c r="AX69" s="125" t="str">
        <f>IF(Ujian!AX76="","",IF(LEFT(Ujian!AX76,1)=SEKOR!AX$2,1,0))</f>
        <v/>
      </c>
      <c r="AY69" s="125" t="str">
        <f>IF(Ujian!AY76="","",IF(LEFT(Ujian!AY76,1)=SEKOR!AY$2,1,0))</f>
        <v/>
      </c>
      <c r="AZ69" s="125" t="str">
        <f>IF(Ujian!AZ76="","",IF(LEFT(Ujian!AZ76,1)=SEKOR!AZ$2,1,0))</f>
        <v/>
      </c>
      <c r="BA69" s="125" t="str">
        <f>IF(Ujian!BA76="","",IF(LEFT(Ujian!BA76,1)=SEKOR!BA$2,1,0))</f>
        <v/>
      </c>
      <c r="BB69" s="125" t="str">
        <f>IF(Ujian!BB76="","",IF(LEFT(Ujian!BB76,1)=SEKOR!BB$2,1,0))</f>
        <v/>
      </c>
      <c r="BC69" s="125" t="str">
        <f>IF(Ujian!BC76="","",IF(LEFT(Ujian!BC76,1)=SEKOR!BC$2,1,0))</f>
        <v/>
      </c>
      <c r="BD69" s="125" t="str">
        <f>IF(Ujian!BD76="","",IF(LEFT(Ujian!BD76,1)=SEKOR!BD$2,1,0))</f>
        <v/>
      </c>
      <c r="BE69" s="125" t="str">
        <f>IF(Ujian!BE76="","",IF(LEFT(Ujian!BE76,1)=SEKOR!BE$2,1,0))</f>
        <v/>
      </c>
      <c r="BF69" s="125" t="str">
        <f>IF(Ujian!BF76="","",IF(LEFT(Ujian!BF76,1)=SEKOR!BF$2,1,0))</f>
        <v/>
      </c>
      <c r="BG69" s="125" t="str">
        <f>IF(Ujian!BG76="","",IF(LEFT(Ujian!BG76,1)=SEKOR!BG$2,1,0))</f>
        <v/>
      </c>
      <c r="BH69" s="125" t="str">
        <f>IF(Ujian!BH76="","",IF(LEFT(Ujian!BH76,1)=SEKOR!BH$2,1,0))</f>
        <v/>
      </c>
      <c r="BI69" s="125" t="str">
        <f>IF(Ujian!BI76="","",IF(LEFT(Ujian!BI76,1)=SEKOR!BI$2,1,0))</f>
        <v/>
      </c>
      <c r="BJ69" s="125" t="str">
        <f>IF(Ujian!BJ76="","",IF(LEFT(Ujian!BJ76,1)=SEKOR!BJ$2,1,0))</f>
        <v/>
      </c>
      <c r="BK69" s="125" t="str">
        <f>IF(Ujian!BK76="","",IF(LEFT(Ujian!BK76,1)=SEKOR!BK$2,1,0))</f>
        <v/>
      </c>
      <c r="BL69" s="18">
        <f t="shared" si="2"/>
        <v>0</v>
      </c>
      <c r="BM69" s="18">
        <f>COUNTIF($D69:$BK69,"")+DATA!$F$14-DATA!$F$12</f>
        <v>60</v>
      </c>
      <c r="BN69" s="17">
        <f>IF(COUNTIF($D69:$BK69,1)&gt;DATA!$F$14,DATA!$F$14,COUNTIF($D69:$BK69,1))</f>
        <v>0</v>
      </c>
      <c r="BO69" s="17">
        <f>IF((BN69+COUNTIF($D69:$BK69,0))&lt;=DATA!$F$14,COUNTIF($D69:$BK69,0),DATA!$F$14-SEKOR!BN69)</f>
        <v>0</v>
      </c>
      <c r="BP69" s="4" t="str">
        <f>IF(BL69=0,"",BN69/DATA!$F$14*100)</f>
        <v/>
      </c>
      <c r="BQ69" s="121" t="str">
        <f t="shared" si="3"/>
        <v/>
      </c>
      <c r="BR69" s="2" t="str">
        <f>IF(Praktik!$E69=0,"",Praktik!$E69)</f>
        <v/>
      </c>
      <c r="BS69" s="2" t="str">
        <f>IF(BR69="","",(BP69*DATAINFO!$O$4)+(SEKOR!BR69*DATAINFO!$O$5)/(DATAINFO!$O$4+DATAINFO!$O$5))</f>
        <v/>
      </c>
      <c r="BT69" s="2" t="str">
        <f>IF(BL69=0,"",IF(DATA!$F$18="TIDAK",ROUNDUP((IF!$L$8*SEKOR!$BP69)+IF!$L$9,0),IF($BR69="","",ROUNDUP((IF!$L$20*$BS69)+IF!$L$21,0))))</f>
        <v/>
      </c>
      <c r="BU69" s="47" t="str">
        <f>IF(BP69="","",IF(SEKOR!BP69&gt;=DATA!$J$12,1,0))</f>
        <v/>
      </c>
      <c r="BV69" s="47" t="str">
        <f>IF(BQ69="","",IF(SEKOR!BQ69&gt;=DATA!$J$12,1,0))</f>
        <v/>
      </c>
      <c r="BW69" s="47" t="str">
        <f>IF(BR69="","",IF(SEKOR!BR69&gt;=DATA!$J$12,1,0))</f>
        <v/>
      </c>
      <c r="BX69" s="47" t="str">
        <f>IF(BT69="","",IF(DATA!$J$14="",IF(SEKOR!BT69&gt;=DATA!$J$12,1,0),IF(SEKOR!BT69&gt;=DATA!$J$14,1,0)))</f>
        <v/>
      </c>
    </row>
    <row r="70" spans="1:76" x14ac:dyDescent="0.25">
      <c r="A70" s="20" t="s">
        <v>97</v>
      </c>
      <c r="B70" s="21" t="str">
        <f>IF(Ujian!B77="","",Ujian!B77)</f>
        <v/>
      </c>
      <c r="C70" s="57" t="str">
        <f>IF(Ujian!C77="","",Ujian!C77)</f>
        <v/>
      </c>
      <c r="D70" s="125" t="str">
        <f>IF(Ujian!D77="","",IF(LEFT(Ujian!D77,1)=SEKOR!D$2,1,0))</f>
        <v/>
      </c>
      <c r="E70" s="125" t="str">
        <f>IF(Ujian!E77="","",IF(LEFT(Ujian!E77,1)=SEKOR!E$2,1,0))</f>
        <v/>
      </c>
      <c r="F70" s="125" t="str">
        <f>IF(Ujian!F77="","",IF(LEFT(Ujian!F77,1)=SEKOR!F$2,1,0))</f>
        <v/>
      </c>
      <c r="G70" s="125" t="str">
        <f>IF(Ujian!G77="","",IF(LEFT(Ujian!G77,1)=SEKOR!G$2,1,0))</f>
        <v/>
      </c>
      <c r="H70" s="125" t="str">
        <f>IF(Ujian!H77="","",IF(LEFT(Ujian!H77,1)=SEKOR!H$2,1,0))</f>
        <v/>
      </c>
      <c r="I70" s="125" t="str">
        <f>IF(Ujian!I77="","",IF(LEFT(Ujian!I77,1)=SEKOR!I$2,1,0))</f>
        <v/>
      </c>
      <c r="J70" s="125" t="str">
        <f>IF(Ujian!J77="","",IF(LEFT(Ujian!J77,1)=SEKOR!J$2,1,0))</f>
        <v/>
      </c>
      <c r="K70" s="125" t="str">
        <f>IF(Ujian!K77="","",IF(LEFT(Ujian!K77,1)=SEKOR!K$2,1,0))</f>
        <v/>
      </c>
      <c r="L70" s="125" t="str">
        <f>IF(Ujian!L77="","",IF(LEFT(Ujian!L77,1)=SEKOR!L$2,1,0))</f>
        <v/>
      </c>
      <c r="M70" s="125" t="str">
        <f>IF(Ujian!M77="","",IF(LEFT(Ujian!M77,1)=SEKOR!M$2,1,0))</f>
        <v/>
      </c>
      <c r="N70" s="125" t="str">
        <f>IF(Ujian!N77="","",IF(LEFT(Ujian!N77,1)=SEKOR!N$2,1,0))</f>
        <v/>
      </c>
      <c r="O70" s="125" t="str">
        <f>IF(Ujian!O77="","",IF(LEFT(Ujian!O77,1)=SEKOR!O$2,1,0))</f>
        <v/>
      </c>
      <c r="P70" s="125" t="str">
        <f>IF(Ujian!P77="","",IF(LEFT(Ujian!P77,1)=SEKOR!P$2,1,0))</f>
        <v/>
      </c>
      <c r="Q70" s="125" t="str">
        <f>IF(Ujian!Q77="","",IF(LEFT(Ujian!Q77,1)=SEKOR!Q$2,1,0))</f>
        <v/>
      </c>
      <c r="R70" s="125" t="str">
        <f>IF(Ujian!R77="","",IF(LEFT(Ujian!R77,1)=SEKOR!R$2,1,0))</f>
        <v/>
      </c>
      <c r="S70" s="125" t="str">
        <f>IF(Ujian!S77="","",IF(LEFT(Ujian!S77,1)=SEKOR!S$2,1,0))</f>
        <v/>
      </c>
      <c r="T70" s="125" t="str">
        <f>IF(Ujian!T77="","",IF(LEFT(Ujian!T77,1)=SEKOR!T$2,1,0))</f>
        <v/>
      </c>
      <c r="U70" s="125" t="str">
        <f>IF(Ujian!U77="","",IF(LEFT(Ujian!U77,1)=SEKOR!U$2,1,0))</f>
        <v/>
      </c>
      <c r="V70" s="125" t="str">
        <f>IF(Ujian!V77="","",IF(LEFT(Ujian!V77,1)=SEKOR!V$2,1,0))</f>
        <v/>
      </c>
      <c r="W70" s="125" t="str">
        <f>IF(Ujian!W77="","",IF(LEFT(Ujian!W77,1)=SEKOR!W$2,1,0))</f>
        <v/>
      </c>
      <c r="X70" s="125" t="str">
        <f>IF(Ujian!X77="","",IF(LEFT(Ujian!X77,1)=SEKOR!X$2,1,0))</f>
        <v/>
      </c>
      <c r="Y70" s="125" t="str">
        <f>IF(Ujian!Y77="","",IF(LEFT(Ujian!Y77,1)=SEKOR!Y$2,1,0))</f>
        <v/>
      </c>
      <c r="Z70" s="125" t="str">
        <f>IF(Ujian!Z77="","",IF(LEFT(Ujian!Z77,1)=SEKOR!Z$2,1,0))</f>
        <v/>
      </c>
      <c r="AA70" s="125" t="str">
        <f>IF(Ujian!AA77="","",IF(LEFT(Ujian!AA77,1)=SEKOR!AA$2,1,0))</f>
        <v/>
      </c>
      <c r="AB70" s="125" t="str">
        <f>IF(Ujian!AB77="","",IF(LEFT(Ujian!AB77,1)=SEKOR!AB$2,1,0))</f>
        <v/>
      </c>
      <c r="AC70" s="125" t="str">
        <f>IF(Ujian!AC77="","",IF(LEFT(Ujian!AC77,1)=SEKOR!AC$2,1,0))</f>
        <v/>
      </c>
      <c r="AD70" s="125" t="str">
        <f>IF(Ujian!AD77="","",IF(LEFT(Ujian!AD77,1)=SEKOR!AD$2,1,0))</f>
        <v/>
      </c>
      <c r="AE70" s="125" t="str">
        <f>IF(Ujian!AE77="","",IF(LEFT(Ujian!AE77,1)=SEKOR!AE$2,1,0))</f>
        <v/>
      </c>
      <c r="AF70" s="125" t="str">
        <f>IF(Ujian!AF77="","",IF(LEFT(Ujian!AF77,1)=SEKOR!AF$2,1,0))</f>
        <v/>
      </c>
      <c r="AG70" s="125" t="str">
        <f>IF(Ujian!AG77="","",IF(LEFT(Ujian!AG77,1)=SEKOR!AG$2,1,0))</f>
        <v/>
      </c>
      <c r="AH70" s="125" t="str">
        <f>IF(Ujian!AH77="","",IF(LEFT(Ujian!AH77,1)=SEKOR!AH$2,1,0))</f>
        <v/>
      </c>
      <c r="AI70" s="125" t="str">
        <f>IF(Ujian!AI77="","",IF(LEFT(Ujian!AI77,1)=SEKOR!AI$2,1,0))</f>
        <v/>
      </c>
      <c r="AJ70" s="125" t="str">
        <f>IF(Ujian!AJ77="","",IF(LEFT(Ujian!AJ77,1)=SEKOR!AJ$2,1,0))</f>
        <v/>
      </c>
      <c r="AK70" s="125" t="str">
        <f>IF(Ujian!AK77="","",IF(LEFT(Ujian!AK77,1)=SEKOR!AK$2,1,0))</f>
        <v/>
      </c>
      <c r="AL70" s="125" t="str">
        <f>IF(Ujian!AL77="","",IF(LEFT(Ujian!AL77,1)=SEKOR!AL$2,1,0))</f>
        <v/>
      </c>
      <c r="AM70" s="125" t="str">
        <f>IF(Ujian!AM77="","",IF(LEFT(Ujian!AM77,1)=SEKOR!AM$2,1,0))</f>
        <v/>
      </c>
      <c r="AN70" s="125" t="str">
        <f>IF(Ujian!AN77="","",IF(LEFT(Ujian!AN77,1)=SEKOR!AN$2,1,0))</f>
        <v/>
      </c>
      <c r="AO70" s="125" t="str">
        <f>IF(Ujian!AO77="","",IF(LEFT(Ujian!AO77,1)=SEKOR!AO$2,1,0))</f>
        <v/>
      </c>
      <c r="AP70" s="125" t="str">
        <f>IF(Ujian!AP77="","",IF(LEFT(Ujian!AP77,1)=SEKOR!AP$2,1,0))</f>
        <v/>
      </c>
      <c r="AQ70" s="125" t="str">
        <f>IF(Ujian!AQ77="","",IF(LEFT(Ujian!AQ77,1)=SEKOR!AQ$2,1,0))</f>
        <v/>
      </c>
      <c r="AR70" s="125" t="str">
        <f>IF(Ujian!AR77="","",IF(LEFT(Ujian!AR77,1)=SEKOR!AR$2,1,0))</f>
        <v/>
      </c>
      <c r="AS70" s="125" t="str">
        <f>IF(Ujian!AS77="","",IF(LEFT(Ujian!AS77,1)=SEKOR!AS$2,1,0))</f>
        <v/>
      </c>
      <c r="AT70" s="125" t="str">
        <f>IF(Ujian!AT77="","",IF(LEFT(Ujian!AT77,1)=SEKOR!AT$2,1,0))</f>
        <v/>
      </c>
      <c r="AU70" s="125" t="str">
        <f>IF(Ujian!AU77="","",IF(LEFT(Ujian!AU77,1)=SEKOR!AU$2,1,0))</f>
        <v/>
      </c>
      <c r="AV70" s="125" t="str">
        <f>IF(Ujian!AV77="","",IF(LEFT(Ujian!AV77,1)=SEKOR!AV$2,1,0))</f>
        <v/>
      </c>
      <c r="AW70" s="125" t="str">
        <f>IF(Ujian!AW77="","",IF(LEFT(Ujian!AW77,1)=SEKOR!AW$2,1,0))</f>
        <v/>
      </c>
      <c r="AX70" s="125" t="str">
        <f>IF(Ujian!AX77="","",IF(LEFT(Ujian!AX77,1)=SEKOR!AX$2,1,0))</f>
        <v/>
      </c>
      <c r="AY70" s="125" t="str">
        <f>IF(Ujian!AY77="","",IF(LEFT(Ujian!AY77,1)=SEKOR!AY$2,1,0))</f>
        <v/>
      </c>
      <c r="AZ70" s="125" t="str">
        <f>IF(Ujian!AZ77="","",IF(LEFT(Ujian!AZ77,1)=SEKOR!AZ$2,1,0))</f>
        <v/>
      </c>
      <c r="BA70" s="125" t="str">
        <f>IF(Ujian!BA77="","",IF(LEFT(Ujian!BA77,1)=SEKOR!BA$2,1,0))</f>
        <v/>
      </c>
      <c r="BB70" s="125" t="str">
        <f>IF(Ujian!BB77="","",IF(LEFT(Ujian!BB77,1)=SEKOR!BB$2,1,0))</f>
        <v/>
      </c>
      <c r="BC70" s="125" t="str">
        <f>IF(Ujian!BC77="","",IF(LEFT(Ujian!BC77,1)=SEKOR!BC$2,1,0))</f>
        <v/>
      </c>
      <c r="BD70" s="125" t="str">
        <f>IF(Ujian!BD77="","",IF(LEFT(Ujian!BD77,1)=SEKOR!BD$2,1,0))</f>
        <v/>
      </c>
      <c r="BE70" s="125" t="str">
        <f>IF(Ujian!BE77="","",IF(LEFT(Ujian!BE77,1)=SEKOR!BE$2,1,0))</f>
        <v/>
      </c>
      <c r="BF70" s="125" t="str">
        <f>IF(Ujian!BF77="","",IF(LEFT(Ujian!BF77,1)=SEKOR!BF$2,1,0))</f>
        <v/>
      </c>
      <c r="BG70" s="125" t="str">
        <f>IF(Ujian!BG77="","",IF(LEFT(Ujian!BG77,1)=SEKOR!BG$2,1,0))</f>
        <v/>
      </c>
      <c r="BH70" s="125" t="str">
        <f>IF(Ujian!BH77="","",IF(LEFT(Ujian!BH77,1)=SEKOR!BH$2,1,0))</f>
        <v/>
      </c>
      <c r="BI70" s="125" t="str">
        <f>IF(Ujian!BI77="","",IF(LEFT(Ujian!BI77,1)=SEKOR!BI$2,1,0))</f>
        <v/>
      </c>
      <c r="BJ70" s="125" t="str">
        <f>IF(Ujian!BJ77="","",IF(LEFT(Ujian!BJ77,1)=SEKOR!BJ$2,1,0))</f>
        <v/>
      </c>
      <c r="BK70" s="125" t="str">
        <f>IF(Ujian!BK77="","",IF(LEFT(Ujian!BK77,1)=SEKOR!BK$2,1,0))</f>
        <v/>
      </c>
      <c r="BL70" s="18">
        <f t="shared" si="2"/>
        <v>0</v>
      </c>
      <c r="BM70" s="18">
        <f>COUNTIF($D70:$BK70,"")+DATA!$F$14-DATA!$F$12</f>
        <v>60</v>
      </c>
      <c r="BN70" s="17">
        <f>IF(COUNTIF($D70:$BK70,1)&gt;DATA!$F$14,DATA!$F$14,COUNTIF($D70:$BK70,1))</f>
        <v>0</v>
      </c>
      <c r="BO70" s="17">
        <f>IF((BN70+COUNTIF($D70:$BK70,0))&lt;=DATA!$F$14,COUNTIF($D70:$BK70,0),DATA!$F$14-SEKOR!BN70)</f>
        <v>0</v>
      </c>
      <c r="BP70" s="4" t="str">
        <f>IF(BL70=0,"",BN70/DATA!$F$14*100)</f>
        <v/>
      </c>
      <c r="BQ70" s="121" t="str">
        <f t="shared" si="3"/>
        <v/>
      </c>
      <c r="BR70" s="2" t="str">
        <f>IF(Praktik!$E70=0,"",Praktik!$E70)</f>
        <v/>
      </c>
      <c r="BS70" s="2" t="str">
        <f>IF(BR70="","",(BP70*DATAINFO!$O$4)+(SEKOR!BR70*DATAINFO!$O$5)/(DATAINFO!$O$4+DATAINFO!$O$5))</f>
        <v/>
      </c>
      <c r="BT70" s="2" t="str">
        <f>IF(BL70=0,"",IF(DATA!$F$18="TIDAK",ROUNDUP((IF!$L$8*SEKOR!$BP70)+IF!$L$9,0),IF($BR70="","",ROUNDUP((IF!$L$20*$BS70)+IF!$L$21,0))))</f>
        <v/>
      </c>
      <c r="BU70" s="47" t="str">
        <f>IF(BP70="","",IF(SEKOR!BP70&gt;=DATA!$J$12,1,0))</f>
        <v/>
      </c>
      <c r="BV70" s="47" t="str">
        <f>IF(BQ70="","",IF(SEKOR!BQ70&gt;=DATA!$J$12,1,0))</f>
        <v/>
      </c>
      <c r="BW70" s="47" t="str">
        <f>IF(BR70="","",IF(SEKOR!BR70&gt;=DATA!$J$12,1,0))</f>
        <v/>
      </c>
      <c r="BX70" s="47" t="str">
        <f>IF(BT70="","",IF(DATA!$J$14="",IF(SEKOR!BT70&gt;=DATA!$J$12,1,0),IF(SEKOR!BT70&gt;=DATA!$J$14,1,0)))</f>
        <v/>
      </c>
    </row>
    <row r="71" spans="1:76" x14ac:dyDescent="0.25">
      <c r="A71" s="20" t="s">
        <v>98</v>
      </c>
      <c r="B71" s="21" t="str">
        <f>IF(Ujian!B78="","",Ujian!B78)</f>
        <v/>
      </c>
      <c r="C71" s="57" t="str">
        <f>IF(Ujian!C78="","",Ujian!C78)</f>
        <v/>
      </c>
      <c r="D71" s="125" t="str">
        <f>IF(Ujian!D78="","",IF(LEFT(Ujian!D78,1)=SEKOR!D$2,1,0))</f>
        <v/>
      </c>
      <c r="E71" s="125" t="str">
        <f>IF(Ujian!E78="","",IF(LEFT(Ujian!E78,1)=SEKOR!E$2,1,0))</f>
        <v/>
      </c>
      <c r="F71" s="125" t="str">
        <f>IF(Ujian!F78="","",IF(LEFT(Ujian!F78,1)=SEKOR!F$2,1,0))</f>
        <v/>
      </c>
      <c r="G71" s="125" t="str">
        <f>IF(Ujian!G78="","",IF(LEFT(Ujian!G78,1)=SEKOR!G$2,1,0))</f>
        <v/>
      </c>
      <c r="H71" s="125" t="str">
        <f>IF(Ujian!H78="","",IF(LEFT(Ujian!H78,1)=SEKOR!H$2,1,0))</f>
        <v/>
      </c>
      <c r="I71" s="125" t="str">
        <f>IF(Ujian!I78="","",IF(LEFT(Ujian!I78,1)=SEKOR!I$2,1,0))</f>
        <v/>
      </c>
      <c r="J71" s="125" t="str">
        <f>IF(Ujian!J78="","",IF(LEFT(Ujian!J78,1)=SEKOR!J$2,1,0))</f>
        <v/>
      </c>
      <c r="K71" s="125" t="str">
        <f>IF(Ujian!K78="","",IF(LEFT(Ujian!K78,1)=SEKOR!K$2,1,0))</f>
        <v/>
      </c>
      <c r="L71" s="125" t="str">
        <f>IF(Ujian!L78="","",IF(LEFT(Ujian!L78,1)=SEKOR!L$2,1,0))</f>
        <v/>
      </c>
      <c r="M71" s="125" t="str">
        <f>IF(Ujian!M78="","",IF(LEFT(Ujian!M78,1)=SEKOR!M$2,1,0))</f>
        <v/>
      </c>
      <c r="N71" s="125" t="str">
        <f>IF(Ujian!N78="","",IF(LEFT(Ujian!N78,1)=SEKOR!N$2,1,0))</f>
        <v/>
      </c>
      <c r="O71" s="125" t="str">
        <f>IF(Ujian!O78="","",IF(LEFT(Ujian!O78,1)=SEKOR!O$2,1,0))</f>
        <v/>
      </c>
      <c r="P71" s="125" t="str">
        <f>IF(Ujian!P78="","",IF(LEFT(Ujian!P78,1)=SEKOR!P$2,1,0))</f>
        <v/>
      </c>
      <c r="Q71" s="125" t="str">
        <f>IF(Ujian!Q78="","",IF(LEFT(Ujian!Q78,1)=SEKOR!Q$2,1,0))</f>
        <v/>
      </c>
      <c r="R71" s="125" t="str">
        <f>IF(Ujian!R78="","",IF(LEFT(Ujian!R78,1)=SEKOR!R$2,1,0))</f>
        <v/>
      </c>
      <c r="S71" s="125" t="str">
        <f>IF(Ujian!S78="","",IF(LEFT(Ujian!S78,1)=SEKOR!S$2,1,0))</f>
        <v/>
      </c>
      <c r="T71" s="125" t="str">
        <f>IF(Ujian!T78="","",IF(LEFT(Ujian!T78,1)=SEKOR!T$2,1,0))</f>
        <v/>
      </c>
      <c r="U71" s="125" t="str">
        <f>IF(Ujian!U78="","",IF(LEFT(Ujian!U78,1)=SEKOR!U$2,1,0))</f>
        <v/>
      </c>
      <c r="V71" s="125" t="str">
        <f>IF(Ujian!V78="","",IF(LEFT(Ujian!V78,1)=SEKOR!V$2,1,0))</f>
        <v/>
      </c>
      <c r="W71" s="125" t="str">
        <f>IF(Ujian!W78="","",IF(LEFT(Ujian!W78,1)=SEKOR!W$2,1,0))</f>
        <v/>
      </c>
      <c r="X71" s="125" t="str">
        <f>IF(Ujian!X78="","",IF(LEFT(Ujian!X78,1)=SEKOR!X$2,1,0))</f>
        <v/>
      </c>
      <c r="Y71" s="125" t="str">
        <f>IF(Ujian!Y78="","",IF(LEFT(Ujian!Y78,1)=SEKOR!Y$2,1,0))</f>
        <v/>
      </c>
      <c r="Z71" s="125" t="str">
        <f>IF(Ujian!Z78="","",IF(LEFT(Ujian!Z78,1)=SEKOR!Z$2,1,0))</f>
        <v/>
      </c>
      <c r="AA71" s="125" t="str">
        <f>IF(Ujian!AA78="","",IF(LEFT(Ujian!AA78,1)=SEKOR!AA$2,1,0))</f>
        <v/>
      </c>
      <c r="AB71" s="125" t="str">
        <f>IF(Ujian!AB78="","",IF(LEFT(Ujian!AB78,1)=SEKOR!AB$2,1,0))</f>
        <v/>
      </c>
      <c r="AC71" s="125" t="str">
        <f>IF(Ujian!AC78="","",IF(LEFT(Ujian!AC78,1)=SEKOR!AC$2,1,0))</f>
        <v/>
      </c>
      <c r="AD71" s="125" t="str">
        <f>IF(Ujian!AD78="","",IF(LEFT(Ujian!AD78,1)=SEKOR!AD$2,1,0))</f>
        <v/>
      </c>
      <c r="AE71" s="125" t="str">
        <f>IF(Ujian!AE78="","",IF(LEFT(Ujian!AE78,1)=SEKOR!AE$2,1,0))</f>
        <v/>
      </c>
      <c r="AF71" s="125" t="str">
        <f>IF(Ujian!AF78="","",IF(LEFT(Ujian!AF78,1)=SEKOR!AF$2,1,0))</f>
        <v/>
      </c>
      <c r="AG71" s="125" t="str">
        <f>IF(Ujian!AG78="","",IF(LEFT(Ujian!AG78,1)=SEKOR!AG$2,1,0))</f>
        <v/>
      </c>
      <c r="AH71" s="125" t="str">
        <f>IF(Ujian!AH78="","",IF(LEFT(Ujian!AH78,1)=SEKOR!AH$2,1,0))</f>
        <v/>
      </c>
      <c r="AI71" s="125" t="str">
        <f>IF(Ujian!AI78="","",IF(LEFT(Ujian!AI78,1)=SEKOR!AI$2,1,0))</f>
        <v/>
      </c>
      <c r="AJ71" s="125" t="str">
        <f>IF(Ujian!AJ78="","",IF(LEFT(Ujian!AJ78,1)=SEKOR!AJ$2,1,0))</f>
        <v/>
      </c>
      <c r="AK71" s="125" t="str">
        <f>IF(Ujian!AK78="","",IF(LEFT(Ujian!AK78,1)=SEKOR!AK$2,1,0))</f>
        <v/>
      </c>
      <c r="AL71" s="125" t="str">
        <f>IF(Ujian!AL78="","",IF(LEFT(Ujian!AL78,1)=SEKOR!AL$2,1,0))</f>
        <v/>
      </c>
      <c r="AM71" s="125" t="str">
        <f>IF(Ujian!AM78="","",IF(LEFT(Ujian!AM78,1)=SEKOR!AM$2,1,0))</f>
        <v/>
      </c>
      <c r="AN71" s="125" t="str">
        <f>IF(Ujian!AN78="","",IF(LEFT(Ujian!AN78,1)=SEKOR!AN$2,1,0))</f>
        <v/>
      </c>
      <c r="AO71" s="125" t="str">
        <f>IF(Ujian!AO78="","",IF(LEFT(Ujian!AO78,1)=SEKOR!AO$2,1,0))</f>
        <v/>
      </c>
      <c r="AP71" s="125" t="str">
        <f>IF(Ujian!AP78="","",IF(LEFT(Ujian!AP78,1)=SEKOR!AP$2,1,0))</f>
        <v/>
      </c>
      <c r="AQ71" s="125" t="str">
        <f>IF(Ujian!AQ78="","",IF(LEFT(Ujian!AQ78,1)=SEKOR!AQ$2,1,0))</f>
        <v/>
      </c>
      <c r="AR71" s="125" t="str">
        <f>IF(Ujian!AR78="","",IF(LEFT(Ujian!AR78,1)=SEKOR!AR$2,1,0))</f>
        <v/>
      </c>
      <c r="AS71" s="125" t="str">
        <f>IF(Ujian!AS78="","",IF(LEFT(Ujian!AS78,1)=SEKOR!AS$2,1,0))</f>
        <v/>
      </c>
      <c r="AT71" s="125" t="str">
        <f>IF(Ujian!AT78="","",IF(LEFT(Ujian!AT78,1)=SEKOR!AT$2,1,0))</f>
        <v/>
      </c>
      <c r="AU71" s="125" t="str">
        <f>IF(Ujian!AU78="","",IF(LEFT(Ujian!AU78,1)=SEKOR!AU$2,1,0))</f>
        <v/>
      </c>
      <c r="AV71" s="125" t="str">
        <f>IF(Ujian!AV78="","",IF(LEFT(Ujian!AV78,1)=SEKOR!AV$2,1,0))</f>
        <v/>
      </c>
      <c r="AW71" s="125" t="str">
        <f>IF(Ujian!AW78="","",IF(LEFT(Ujian!AW78,1)=SEKOR!AW$2,1,0))</f>
        <v/>
      </c>
      <c r="AX71" s="125" t="str">
        <f>IF(Ujian!AX78="","",IF(LEFT(Ujian!AX78,1)=SEKOR!AX$2,1,0))</f>
        <v/>
      </c>
      <c r="AY71" s="125" t="str">
        <f>IF(Ujian!AY78="","",IF(LEFT(Ujian!AY78,1)=SEKOR!AY$2,1,0))</f>
        <v/>
      </c>
      <c r="AZ71" s="125" t="str">
        <f>IF(Ujian!AZ78="","",IF(LEFT(Ujian!AZ78,1)=SEKOR!AZ$2,1,0))</f>
        <v/>
      </c>
      <c r="BA71" s="125" t="str">
        <f>IF(Ujian!BA78="","",IF(LEFT(Ujian!BA78,1)=SEKOR!BA$2,1,0))</f>
        <v/>
      </c>
      <c r="BB71" s="125" t="str">
        <f>IF(Ujian!BB78="","",IF(LEFT(Ujian!BB78,1)=SEKOR!BB$2,1,0))</f>
        <v/>
      </c>
      <c r="BC71" s="125" t="str">
        <f>IF(Ujian!BC78="","",IF(LEFT(Ujian!BC78,1)=SEKOR!BC$2,1,0))</f>
        <v/>
      </c>
      <c r="BD71" s="125" t="str">
        <f>IF(Ujian!BD78="","",IF(LEFT(Ujian!BD78,1)=SEKOR!BD$2,1,0))</f>
        <v/>
      </c>
      <c r="BE71" s="125" t="str">
        <f>IF(Ujian!BE78="","",IF(LEFT(Ujian!BE78,1)=SEKOR!BE$2,1,0))</f>
        <v/>
      </c>
      <c r="BF71" s="125" t="str">
        <f>IF(Ujian!BF78="","",IF(LEFT(Ujian!BF78,1)=SEKOR!BF$2,1,0))</f>
        <v/>
      </c>
      <c r="BG71" s="125" t="str">
        <f>IF(Ujian!BG78="","",IF(LEFT(Ujian!BG78,1)=SEKOR!BG$2,1,0))</f>
        <v/>
      </c>
      <c r="BH71" s="125" t="str">
        <f>IF(Ujian!BH78="","",IF(LEFT(Ujian!BH78,1)=SEKOR!BH$2,1,0))</f>
        <v/>
      </c>
      <c r="BI71" s="125" t="str">
        <f>IF(Ujian!BI78="","",IF(LEFT(Ujian!BI78,1)=SEKOR!BI$2,1,0))</f>
        <v/>
      </c>
      <c r="BJ71" s="125" t="str">
        <f>IF(Ujian!BJ78="","",IF(LEFT(Ujian!BJ78,1)=SEKOR!BJ$2,1,0))</f>
        <v/>
      </c>
      <c r="BK71" s="125" t="str">
        <f>IF(Ujian!BK78="","",IF(LEFT(Ujian!BK78,1)=SEKOR!BK$2,1,0))</f>
        <v/>
      </c>
      <c r="BL71" s="18">
        <f t="shared" si="2"/>
        <v>0</v>
      </c>
      <c r="BM71" s="18">
        <f>COUNTIF($D71:$BK71,"")+DATA!$F$14-DATA!$F$12</f>
        <v>60</v>
      </c>
      <c r="BN71" s="17">
        <f>IF(COUNTIF($D71:$BK71,1)&gt;DATA!$F$14,DATA!$F$14,COUNTIF($D71:$BK71,1))</f>
        <v>0</v>
      </c>
      <c r="BO71" s="17">
        <f>IF((BN71+COUNTIF($D71:$BK71,0))&lt;=DATA!$F$14,COUNTIF($D71:$BK71,0),DATA!$F$14-SEKOR!BN71)</f>
        <v>0</v>
      </c>
      <c r="BP71" s="4" t="str">
        <f>IF(BL71=0,"",BN71/DATA!$F$14*100)</f>
        <v/>
      </c>
      <c r="BQ71" s="121" t="str">
        <f t="shared" si="3"/>
        <v/>
      </c>
      <c r="BR71" s="2" t="str">
        <f>IF(Praktik!$E71=0,"",Praktik!$E71)</f>
        <v/>
      </c>
      <c r="BS71" s="2" t="str">
        <f>IF(BR71="","",(BP71*DATAINFO!$O$4)+(SEKOR!BR71*DATAINFO!$O$5)/(DATAINFO!$O$4+DATAINFO!$O$5))</f>
        <v/>
      </c>
      <c r="BT71" s="2" t="str">
        <f>IF(BL71=0,"",IF(DATA!$F$18="TIDAK",ROUNDUP((IF!$L$8*SEKOR!$BP71)+IF!$L$9,0),IF($BR71="","",ROUNDUP((IF!$L$20*$BS71)+IF!$L$21,0))))</f>
        <v/>
      </c>
      <c r="BU71" s="47" t="str">
        <f>IF(BP71="","",IF(SEKOR!BP71&gt;=DATA!$J$12,1,0))</f>
        <v/>
      </c>
      <c r="BV71" s="47" t="str">
        <f>IF(BQ71="","",IF(SEKOR!BQ71&gt;=DATA!$J$12,1,0))</f>
        <v/>
      </c>
      <c r="BW71" s="47" t="str">
        <f>IF(BR71="","",IF(SEKOR!BR71&gt;=DATA!$J$12,1,0))</f>
        <v/>
      </c>
      <c r="BX71" s="47" t="str">
        <f>IF(BT71="","",IF(DATA!$J$14="",IF(SEKOR!BT71&gt;=DATA!$J$12,1,0),IF(SEKOR!BT71&gt;=DATA!$J$14,1,0)))</f>
        <v/>
      </c>
    </row>
    <row r="72" spans="1:76" x14ac:dyDescent="0.25">
      <c r="A72" s="20" t="s">
        <v>99</v>
      </c>
      <c r="B72" s="21" t="str">
        <f>IF(Ujian!B79="","",Ujian!B79)</f>
        <v/>
      </c>
      <c r="C72" s="57" t="str">
        <f>IF(Ujian!C79="","",Ujian!C79)</f>
        <v/>
      </c>
      <c r="D72" s="125" t="str">
        <f>IF(Ujian!D79="","",IF(LEFT(Ujian!D79,1)=SEKOR!D$2,1,0))</f>
        <v/>
      </c>
      <c r="E72" s="125" t="str">
        <f>IF(Ujian!E79="","",IF(LEFT(Ujian!E79,1)=SEKOR!E$2,1,0))</f>
        <v/>
      </c>
      <c r="F72" s="125" t="str">
        <f>IF(Ujian!F79="","",IF(LEFT(Ujian!F79,1)=SEKOR!F$2,1,0))</f>
        <v/>
      </c>
      <c r="G72" s="125" t="str">
        <f>IF(Ujian!G79="","",IF(LEFT(Ujian!G79,1)=SEKOR!G$2,1,0))</f>
        <v/>
      </c>
      <c r="H72" s="125" t="str">
        <f>IF(Ujian!H79="","",IF(LEFT(Ujian!H79,1)=SEKOR!H$2,1,0))</f>
        <v/>
      </c>
      <c r="I72" s="125" t="str">
        <f>IF(Ujian!I79="","",IF(LEFT(Ujian!I79,1)=SEKOR!I$2,1,0))</f>
        <v/>
      </c>
      <c r="J72" s="125" t="str">
        <f>IF(Ujian!J79="","",IF(LEFT(Ujian!J79,1)=SEKOR!J$2,1,0))</f>
        <v/>
      </c>
      <c r="K72" s="125" t="str">
        <f>IF(Ujian!K79="","",IF(LEFT(Ujian!K79,1)=SEKOR!K$2,1,0))</f>
        <v/>
      </c>
      <c r="L72" s="125" t="str">
        <f>IF(Ujian!L79="","",IF(LEFT(Ujian!L79,1)=SEKOR!L$2,1,0))</f>
        <v/>
      </c>
      <c r="M72" s="125" t="str">
        <f>IF(Ujian!M79="","",IF(LEFT(Ujian!M79,1)=SEKOR!M$2,1,0))</f>
        <v/>
      </c>
      <c r="N72" s="125" t="str">
        <f>IF(Ujian!N79="","",IF(LEFT(Ujian!N79,1)=SEKOR!N$2,1,0))</f>
        <v/>
      </c>
      <c r="O72" s="125" t="str">
        <f>IF(Ujian!O79="","",IF(LEFT(Ujian!O79,1)=SEKOR!O$2,1,0))</f>
        <v/>
      </c>
      <c r="P72" s="125" t="str">
        <f>IF(Ujian!P79="","",IF(LEFT(Ujian!P79,1)=SEKOR!P$2,1,0))</f>
        <v/>
      </c>
      <c r="Q72" s="125" t="str">
        <f>IF(Ujian!Q79="","",IF(LEFT(Ujian!Q79,1)=SEKOR!Q$2,1,0))</f>
        <v/>
      </c>
      <c r="R72" s="125" t="str">
        <f>IF(Ujian!R79="","",IF(LEFT(Ujian!R79,1)=SEKOR!R$2,1,0))</f>
        <v/>
      </c>
      <c r="S72" s="125" t="str">
        <f>IF(Ujian!S79="","",IF(LEFT(Ujian!S79,1)=SEKOR!S$2,1,0))</f>
        <v/>
      </c>
      <c r="T72" s="125" t="str">
        <f>IF(Ujian!T79="","",IF(LEFT(Ujian!T79,1)=SEKOR!T$2,1,0))</f>
        <v/>
      </c>
      <c r="U72" s="125" t="str">
        <f>IF(Ujian!U79="","",IF(LEFT(Ujian!U79,1)=SEKOR!U$2,1,0))</f>
        <v/>
      </c>
      <c r="V72" s="125" t="str">
        <f>IF(Ujian!V79="","",IF(LEFT(Ujian!V79,1)=SEKOR!V$2,1,0))</f>
        <v/>
      </c>
      <c r="W72" s="125" t="str">
        <f>IF(Ujian!W79="","",IF(LEFT(Ujian!W79,1)=SEKOR!W$2,1,0))</f>
        <v/>
      </c>
      <c r="X72" s="125" t="str">
        <f>IF(Ujian!X79="","",IF(LEFT(Ujian!X79,1)=SEKOR!X$2,1,0))</f>
        <v/>
      </c>
      <c r="Y72" s="125" t="str">
        <f>IF(Ujian!Y79="","",IF(LEFT(Ujian!Y79,1)=SEKOR!Y$2,1,0))</f>
        <v/>
      </c>
      <c r="Z72" s="125" t="str">
        <f>IF(Ujian!Z79="","",IF(LEFT(Ujian!Z79,1)=SEKOR!Z$2,1,0))</f>
        <v/>
      </c>
      <c r="AA72" s="125" t="str">
        <f>IF(Ujian!AA79="","",IF(LEFT(Ujian!AA79,1)=SEKOR!AA$2,1,0))</f>
        <v/>
      </c>
      <c r="AB72" s="125" t="str">
        <f>IF(Ujian!AB79="","",IF(LEFT(Ujian!AB79,1)=SEKOR!AB$2,1,0))</f>
        <v/>
      </c>
      <c r="AC72" s="125" t="str">
        <f>IF(Ujian!AC79="","",IF(LEFT(Ujian!AC79,1)=SEKOR!AC$2,1,0))</f>
        <v/>
      </c>
      <c r="AD72" s="125" t="str">
        <f>IF(Ujian!AD79="","",IF(LEFT(Ujian!AD79,1)=SEKOR!AD$2,1,0))</f>
        <v/>
      </c>
      <c r="AE72" s="125" t="str">
        <f>IF(Ujian!AE79="","",IF(LEFT(Ujian!AE79,1)=SEKOR!AE$2,1,0))</f>
        <v/>
      </c>
      <c r="AF72" s="125" t="str">
        <f>IF(Ujian!AF79="","",IF(LEFT(Ujian!AF79,1)=SEKOR!AF$2,1,0))</f>
        <v/>
      </c>
      <c r="AG72" s="125" t="str">
        <f>IF(Ujian!AG79="","",IF(LEFT(Ujian!AG79,1)=SEKOR!AG$2,1,0))</f>
        <v/>
      </c>
      <c r="AH72" s="125" t="str">
        <f>IF(Ujian!AH79="","",IF(LEFT(Ujian!AH79,1)=SEKOR!AH$2,1,0))</f>
        <v/>
      </c>
      <c r="AI72" s="125" t="str">
        <f>IF(Ujian!AI79="","",IF(LEFT(Ujian!AI79,1)=SEKOR!AI$2,1,0))</f>
        <v/>
      </c>
      <c r="AJ72" s="125" t="str">
        <f>IF(Ujian!AJ79="","",IF(LEFT(Ujian!AJ79,1)=SEKOR!AJ$2,1,0))</f>
        <v/>
      </c>
      <c r="AK72" s="125" t="str">
        <f>IF(Ujian!AK79="","",IF(LEFT(Ujian!AK79,1)=SEKOR!AK$2,1,0))</f>
        <v/>
      </c>
      <c r="AL72" s="125" t="str">
        <f>IF(Ujian!AL79="","",IF(LEFT(Ujian!AL79,1)=SEKOR!AL$2,1,0))</f>
        <v/>
      </c>
      <c r="AM72" s="125" t="str">
        <f>IF(Ujian!AM79="","",IF(LEFT(Ujian!AM79,1)=SEKOR!AM$2,1,0))</f>
        <v/>
      </c>
      <c r="AN72" s="125" t="str">
        <f>IF(Ujian!AN79="","",IF(LEFT(Ujian!AN79,1)=SEKOR!AN$2,1,0))</f>
        <v/>
      </c>
      <c r="AO72" s="125" t="str">
        <f>IF(Ujian!AO79="","",IF(LEFT(Ujian!AO79,1)=SEKOR!AO$2,1,0))</f>
        <v/>
      </c>
      <c r="AP72" s="125" t="str">
        <f>IF(Ujian!AP79="","",IF(LEFT(Ujian!AP79,1)=SEKOR!AP$2,1,0))</f>
        <v/>
      </c>
      <c r="AQ72" s="125" t="str">
        <f>IF(Ujian!AQ79="","",IF(LEFT(Ujian!AQ79,1)=SEKOR!AQ$2,1,0))</f>
        <v/>
      </c>
      <c r="AR72" s="125" t="str">
        <f>IF(Ujian!AR79="","",IF(LEFT(Ujian!AR79,1)=SEKOR!AR$2,1,0))</f>
        <v/>
      </c>
      <c r="AS72" s="125" t="str">
        <f>IF(Ujian!AS79="","",IF(LEFT(Ujian!AS79,1)=SEKOR!AS$2,1,0))</f>
        <v/>
      </c>
      <c r="AT72" s="125" t="str">
        <f>IF(Ujian!AT79="","",IF(LEFT(Ujian!AT79,1)=SEKOR!AT$2,1,0))</f>
        <v/>
      </c>
      <c r="AU72" s="125" t="str">
        <f>IF(Ujian!AU79="","",IF(LEFT(Ujian!AU79,1)=SEKOR!AU$2,1,0))</f>
        <v/>
      </c>
      <c r="AV72" s="125" t="str">
        <f>IF(Ujian!AV79="","",IF(LEFT(Ujian!AV79,1)=SEKOR!AV$2,1,0))</f>
        <v/>
      </c>
      <c r="AW72" s="125" t="str">
        <f>IF(Ujian!AW79="","",IF(LEFT(Ujian!AW79,1)=SEKOR!AW$2,1,0))</f>
        <v/>
      </c>
      <c r="AX72" s="125" t="str">
        <f>IF(Ujian!AX79="","",IF(LEFT(Ujian!AX79,1)=SEKOR!AX$2,1,0))</f>
        <v/>
      </c>
      <c r="AY72" s="125" t="str">
        <f>IF(Ujian!AY79="","",IF(LEFT(Ujian!AY79,1)=SEKOR!AY$2,1,0))</f>
        <v/>
      </c>
      <c r="AZ72" s="125" t="str">
        <f>IF(Ujian!AZ79="","",IF(LEFT(Ujian!AZ79,1)=SEKOR!AZ$2,1,0))</f>
        <v/>
      </c>
      <c r="BA72" s="125" t="str">
        <f>IF(Ujian!BA79="","",IF(LEFT(Ujian!BA79,1)=SEKOR!BA$2,1,0))</f>
        <v/>
      </c>
      <c r="BB72" s="125" t="str">
        <f>IF(Ujian!BB79="","",IF(LEFT(Ujian!BB79,1)=SEKOR!BB$2,1,0))</f>
        <v/>
      </c>
      <c r="BC72" s="125" t="str">
        <f>IF(Ujian!BC79="","",IF(LEFT(Ujian!BC79,1)=SEKOR!BC$2,1,0))</f>
        <v/>
      </c>
      <c r="BD72" s="125" t="str">
        <f>IF(Ujian!BD79="","",IF(LEFT(Ujian!BD79,1)=SEKOR!BD$2,1,0))</f>
        <v/>
      </c>
      <c r="BE72" s="125" t="str">
        <f>IF(Ujian!BE79="","",IF(LEFT(Ujian!BE79,1)=SEKOR!BE$2,1,0))</f>
        <v/>
      </c>
      <c r="BF72" s="125" t="str">
        <f>IF(Ujian!BF79="","",IF(LEFT(Ujian!BF79,1)=SEKOR!BF$2,1,0))</f>
        <v/>
      </c>
      <c r="BG72" s="125" t="str">
        <f>IF(Ujian!BG79="","",IF(LEFT(Ujian!BG79,1)=SEKOR!BG$2,1,0))</f>
        <v/>
      </c>
      <c r="BH72" s="125" t="str">
        <f>IF(Ujian!BH79="","",IF(LEFT(Ujian!BH79,1)=SEKOR!BH$2,1,0))</f>
        <v/>
      </c>
      <c r="BI72" s="125" t="str">
        <f>IF(Ujian!BI79="","",IF(LEFT(Ujian!BI79,1)=SEKOR!BI$2,1,0))</f>
        <v/>
      </c>
      <c r="BJ72" s="125" t="str">
        <f>IF(Ujian!BJ79="","",IF(LEFT(Ujian!BJ79,1)=SEKOR!BJ$2,1,0))</f>
        <v/>
      </c>
      <c r="BK72" s="125" t="str">
        <f>IF(Ujian!BK79="","",IF(LEFT(Ujian!BK79,1)=SEKOR!BK$2,1,0))</f>
        <v/>
      </c>
      <c r="BL72" s="18">
        <f t="shared" si="2"/>
        <v>0</v>
      </c>
      <c r="BM72" s="18">
        <f>COUNTIF($D72:$BK72,"")+DATA!$F$14-DATA!$F$12</f>
        <v>60</v>
      </c>
      <c r="BN72" s="17">
        <f>IF(COUNTIF($D72:$BK72,1)&gt;DATA!$F$14,DATA!$F$14,COUNTIF($D72:$BK72,1))</f>
        <v>0</v>
      </c>
      <c r="BO72" s="17">
        <f>IF((BN72+COUNTIF($D72:$BK72,0))&lt;=DATA!$F$14,COUNTIF($D72:$BK72,0),DATA!$F$14-SEKOR!BN72)</f>
        <v>0</v>
      </c>
      <c r="BP72" s="4" t="str">
        <f>IF(BL72=0,"",BN72/DATA!$F$14*100)</f>
        <v/>
      </c>
      <c r="BQ72" s="121" t="str">
        <f t="shared" si="3"/>
        <v/>
      </c>
      <c r="BR72" s="2" t="str">
        <f>IF(Praktik!$E72=0,"",Praktik!$E72)</f>
        <v/>
      </c>
      <c r="BS72" s="2" t="str">
        <f>IF(BR72="","",(BP72*DATAINFO!$O$4)+(SEKOR!BR72*DATAINFO!$O$5)/(DATAINFO!$O$4+DATAINFO!$O$5))</f>
        <v/>
      </c>
      <c r="BT72" s="2" t="str">
        <f>IF(BL72=0,"",IF(DATA!$F$18="TIDAK",ROUNDUP((IF!$L$8*SEKOR!$BP72)+IF!$L$9,0),IF($BR72="","",ROUNDUP((IF!$L$20*$BS72)+IF!$L$21,0))))</f>
        <v/>
      </c>
      <c r="BU72" s="47" t="str">
        <f>IF(BP72="","",IF(SEKOR!BP72&gt;=DATA!$J$12,1,0))</f>
        <v/>
      </c>
      <c r="BV72" s="47" t="str">
        <f>IF(BQ72="","",IF(SEKOR!BQ72&gt;=DATA!$J$12,1,0))</f>
        <v/>
      </c>
      <c r="BW72" s="47" t="str">
        <f>IF(BR72="","",IF(SEKOR!BR72&gt;=DATA!$J$12,1,0))</f>
        <v/>
      </c>
      <c r="BX72" s="47" t="str">
        <f>IF(BT72="","",IF(DATA!$J$14="",IF(SEKOR!BT72&gt;=DATA!$J$12,1,0),IF(SEKOR!BT72&gt;=DATA!$J$14,1,0)))</f>
        <v/>
      </c>
    </row>
    <row r="73" spans="1:76" x14ac:dyDescent="0.25">
      <c r="A73" s="20" t="s">
        <v>100</v>
      </c>
      <c r="B73" s="21" t="str">
        <f>IF(Ujian!B80="","",Ujian!B80)</f>
        <v/>
      </c>
      <c r="C73" s="57" t="str">
        <f>IF(Ujian!C80="","",Ujian!C80)</f>
        <v/>
      </c>
      <c r="D73" s="125" t="str">
        <f>IF(Ujian!D80="","",IF(LEFT(Ujian!D80,1)=SEKOR!D$2,1,0))</f>
        <v/>
      </c>
      <c r="E73" s="125" t="str">
        <f>IF(Ujian!E80="","",IF(LEFT(Ujian!E80,1)=SEKOR!E$2,1,0))</f>
        <v/>
      </c>
      <c r="F73" s="125" t="str">
        <f>IF(Ujian!F80="","",IF(LEFT(Ujian!F80,1)=SEKOR!F$2,1,0))</f>
        <v/>
      </c>
      <c r="G73" s="125" t="str">
        <f>IF(Ujian!G80="","",IF(LEFT(Ujian!G80,1)=SEKOR!G$2,1,0))</f>
        <v/>
      </c>
      <c r="H73" s="125" t="str">
        <f>IF(Ujian!H80="","",IF(LEFT(Ujian!H80,1)=SEKOR!H$2,1,0))</f>
        <v/>
      </c>
      <c r="I73" s="125" t="str">
        <f>IF(Ujian!I80="","",IF(LEFT(Ujian!I80,1)=SEKOR!I$2,1,0))</f>
        <v/>
      </c>
      <c r="J73" s="125" t="str">
        <f>IF(Ujian!J80="","",IF(LEFT(Ujian!J80,1)=SEKOR!J$2,1,0))</f>
        <v/>
      </c>
      <c r="K73" s="125" t="str">
        <f>IF(Ujian!K80="","",IF(LEFT(Ujian!K80,1)=SEKOR!K$2,1,0))</f>
        <v/>
      </c>
      <c r="L73" s="125" t="str">
        <f>IF(Ujian!L80="","",IF(LEFT(Ujian!L80,1)=SEKOR!L$2,1,0))</f>
        <v/>
      </c>
      <c r="M73" s="125" t="str">
        <f>IF(Ujian!M80="","",IF(LEFT(Ujian!M80,1)=SEKOR!M$2,1,0))</f>
        <v/>
      </c>
      <c r="N73" s="125" t="str">
        <f>IF(Ujian!N80="","",IF(LEFT(Ujian!N80,1)=SEKOR!N$2,1,0))</f>
        <v/>
      </c>
      <c r="O73" s="125" t="str">
        <f>IF(Ujian!O80="","",IF(LEFT(Ujian!O80,1)=SEKOR!O$2,1,0))</f>
        <v/>
      </c>
      <c r="P73" s="125" t="str">
        <f>IF(Ujian!P80="","",IF(LEFT(Ujian!P80,1)=SEKOR!P$2,1,0))</f>
        <v/>
      </c>
      <c r="Q73" s="125" t="str">
        <f>IF(Ujian!Q80="","",IF(LEFT(Ujian!Q80,1)=SEKOR!Q$2,1,0))</f>
        <v/>
      </c>
      <c r="R73" s="125" t="str">
        <f>IF(Ujian!R80="","",IF(LEFT(Ujian!R80,1)=SEKOR!R$2,1,0))</f>
        <v/>
      </c>
      <c r="S73" s="125" t="str">
        <f>IF(Ujian!S80="","",IF(LEFT(Ujian!S80,1)=SEKOR!S$2,1,0))</f>
        <v/>
      </c>
      <c r="T73" s="125" t="str">
        <f>IF(Ujian!T80="","",IF(LEFT(Ujian!T80,1)=SEKOR!T$2,1,0))</f>
        <v/>
      </c>
      <c r="U73" s="125" t="str">
        <f>IF(Ujian!U80="","",IF(LEFT(Ujian!U80,1)=SEKOR!U$2,1,0))</f>
        <v/>
      </c>
      <c r="V73" s="125" t="str">
        <f>IF(Ujian!V80="","",IF(LEFT(Ujian!V80,1)=SEKOR!V$2,1,0))</f>
        <v/>
      </c>
      <c r="W73" s="125" t="str">
        <f>IF(Ujian!W80="","",IF(LEFT(Ujian!W80,1)=SEKOR!W$2,1,0))</f>
        <v/>
      </c>
      <c r="X73" s="125" t="str">
        <f>IF(Ujian!X80="","",IF(LEFT(Ujian!X80,1)=SEKOR!X$2,1,0))</f>
        <v/>
      </c>
      <c r="Y73" s="125" t="str">
        <f>IF(Ujian!Y80="","",IF(LEFT(Ujian!Y80,1)=SEKOR!Y$2,1,0))</f>
        <v/>
      </c>
      <c r="Z73" s="125" t="str">
        <f>IF(Ujian!Z80="","",IF(LEFT(Ujian!Z80,1)=SEKOR!Z$2,1,0))</f>
        <v/>
      </c>
      <c r="AA73" s="125" t="str">
        <f>IF(Ujian!AA80="","",IF(LEFT(Ujian!AA80,1)=SEKOR!AA$2,1,0))</f>
        <v/>
      </c>
      <c r="AB73" s="125" t="str">
        <f>IF(Ujian!AB80="","",IF(LEFT(Ujian!AB80,1)=SEKOR!AB$2,1,0))</f>
        <v/>
      </c>
      <c r="AC73" s="125" t="str">
        <f>IF(Ujian!AC80="","",IF(LEFT(Ujian!AC80,1)=SEKOR!AC$2,1,0))</f>
        <v/>
      </c>
      <c r="AD73" s="125" t="str">
        <f>IF(Ujian!AD80="","",IF(LEFT(Ujian!AD80,1)=SEKOR!AD$2,1,0))</f>
        <v/>
      </c>
      <c r="AE73" s="125" t="str">
        <f>IF(Ujian!AE80="","",IF(LEFT(Ujian!AE80,1)=SEKOR!AE$2,1,0))</f>
        <v/>
      </c>
      <c r="AF73" s="125" t="str">
        <f>IF(Ujian!AF80="","",IF(LEFT(Ujian!AF80,1)=SEKOR!AF$2,1,0))</f>
        <v/>
      </c>
      <c r="AG73" s="125" t="str">
        <f>IF(Ujian!AG80="","",IF(LEFT(Ujian!AG80,1)=SEKOR!AG$2,1,0))</f>
        <v/>
      </c>
      <c r="AH73" s="125" t="str">
        <f>IF(Ujian!AH80="","",IF(LEFT(Ujian!AH80,1)=SEKOR!AH$2,1,0))</f>
        <v/>
      </c>
      <c r="AI73" s="125" t="str">
        <f>IF(Ujian!AI80="","",IF(LEFT(Ujian!AI80,1)=SEKOR!AI$2,1,0))</f>
        <v/>
      </c>
      <c r="AJ73" s="125" t="str">
        <f>IF(Ujian!AJ80="","",IF(LEFT(Ujian!AJ80,1)=SEKOR!AJ$2,1,0))</f>
        <v/>
      </c>
      <c r="AK73" s="125" t="str">
        <f>IF(Ujian!AK80="","",IF(LEFT(Ujian!AK80,1)=SEKOR!AK$2,1,0))</f>
        <v/>
      </c>
      <c r="AL73" s="125" t="str">
        <f>IF(Ujian!AL80="","",IF(LEFT(Ujian!AL80,1)=SEKOR!AL$2,1,0))</f>
        <v/>
      </c>
      <c r="AM73" s="125" t="str">
        <f>IF(Ujian!AM80="","",IF(LEFT(Ujian!AM80,1)=SEKOR!AM$2,1,0))</f>
        <v/>
      </c>
      <c r="AN73" s="125" t="str">
        <f>IF(Ujian!AN80="","",IF(LEFT(Ujian!AN80,1)=SEKOR!AN$2,1,0))</f>
        <v/>
      </c>
      <c r="AO73" s="125" t="str">
        <f>IF(Ujian!AO80="","",IF(LEFT(Ujian!AO80,1)=SEKOR!AO$2,1,0))</f>
        <v/>
      </c>
      <c r="AP73" s="125" t="str">
        <f>IF(Ujian!AP80="","",IF(LEFT(Ujian!AP80,1)=SEKOR!AP$2,1,0))</f>
        <v/>
      </c>
      <c r="AQ73" s="125" t="str">
        <f>IF(Ujian!AQ80="","",IF(LEFT(Ujian!AQ80,1)=SEKOR!AQ$2,1,0))</f>
        <v/>
      </c>
      <c r="AR73" s="125" t="str">
        <f>IF(Ujian!AR80="","",IF(LEFT(Ujian!AR80,1)=SEKOR!AR$2,1,0))</f>
        <v/>
      </c>
      <c r="AS73" s="125" t="str">
        <f>IF(Ujian!AS80="","",IF(LEFT(Ujian!AS80,1)=SEKOR!AS$2,1,0))</f>
        <v/>
      </c>
      <c r="AT73" s="125" t="str">
        <f>IF(Ujian!AT80="","",IF(LEFT(Ujian!AT80,1)=SEKOR!AT$2,1,0))</f>
        <v/>
      </c>
      <c r="AU73" s="125" t="str">
        <f>IF(Ujian!AU80="","",IF(LEFT(Ujian!AU80,1)=SEKOR!AU$2,1,0))</f>
        <v/>
      </c>
      <c r="AV73" s="125" t="str">
        <f>IF(Ujian!AV80="","",IF(LEFT(Ujian!AV80,1)=SEKOR!AV$2,1,0))</f>
        <v/>
      </c>
      <c r="AW73" s="125" t="str">
        <f>IF(Ujian!AW80="","",IF(LEFT(Ujian!AW80,1)=SEKOR!AW$2,1,0))</f>
        <v/>
      </c>
      <c r="AX73" s="125" t="str">
        <f>IF(Ujian!AX80="","",IF(LEFT(Ujian!AX80,1)=SEKOR!AX$2,1,0))</f>
        <v/>
      </c>
      <c r="AY73" s="125" t="str">
        <f>IF(Ujian!AY80="","",IF(LEFT(Ujian!AY80,1)=SEKOR!AY$2,1,0))</f>
        <v/>
      </c>
      <c r="AZ73" s="125" t="str">
        <f>IF(Ujian!AZ80="","",IF(LEFT(Ujian!AZ80,1)=SEKOR!AZ$2,1,0))</f>
        <v/>
      </c>
      <c r="BA73" s="125" t="str">
        <f>IF(Ujian!BA80="","",IF(LEFT(Ujian!BA80,1)=SEKOR!BA$2,1,0))</f>
        <v/>
      </c>
      <c r="BB73" s="125" t="str">
        <f>IF(Ujian!BB80="","",IF(LEFT(Ujian!BB80,1)=SEKOR!BB$2,1,0))</f>
        <v/>
      </c>
      <c r="BC73" s="125" t="str">
        <f>IF(Ujian!BC80="","",IF(LEFT(Ujian!BC80,1)=SEKOR!BC$2,1,0))</f>
        <v/>
      </c>
      <c r="BD73" s="125" t="str">
        <f>IF(Ujian!BD80="","",IF(LEFT(Ujian!BD80,1)=SEKOR!BD$2,1,0))</f>
        <v/>
      </c>
      <c r="BE73" s="125" t="str">
        <f>IF(Ujian!BE80="","",IF(LEFT(Ujian!BE80,1)=SEKOR!BE$2,1,0))</f>
        <v/>
      </c>
      <c r="BF73" s="125" t="str">
        <f>IF(Ujian!BF80="","",IF(LEFT(Ujian!BF80,1)=SEKOR!BF$2,1,0))</f>
        <v/>
      </c>
      <c r="BG73" s="125" t="str">
        <f>IF(Ujian!BG80="","",IF(LEFT(Ujian!BG80,1)=SEKOR!BG$2,1,0))</f>
        <v/>
      </c>
      <c r="BH73" s="125" t="str">
        <f>IF(Ujian!BH80="","",IF(LEFT(Ujian!BH80,1)=SEKOR!BH$2,1,0))</f>
        <v/>
      </c>
      <c r="BI73" s="125" t="str">
        <f>IF(Ujian!BI80="","",IF(LEFT(Ujian!BI80,1)=SEKOR!BI$2,1,0))</f>
        <v/>
      </c>
      <c r="BJ73" s="125" t="str">
        <f>IF(Ujian!BJ80="","",IF(LEFT(Ujian!BJ80,1)=SEKOR!BJ$2,1,0))</f>
        <v/>
      </c>
      <c r="BK73" s="125" t="str">
        <f>IF(Ujian!BK80="","",IF(LEFT(Ujian!BK80,1)=SEKOR!BK$2,1,0))</f>
        <v/>
      </c>
      <c r="BL73" s="18">
        <f t="shared" si="2"/>
        <v>0</v>
      </c>
      <c r="BM73" s="18">
        <f>COUNTIF($D73:$BK73,"")+DATA!$F$14-DATA!$F$12</f>
        <v>60</v>
      </c>
      <c r="BN73" s="17">
        <f>IF(COUNTIF($D73:$BK73,1)&gt;DATA!$F$14,DATA!$F$14,COUNTIF($D73:$BK73,1))</f>
        <v>0</v>
      </c>
      <c r="BO73" s="17">
        <f>IF((BN73+COUNTIF($D73:$BK73,0))&lt;=DATA!$F$14,COUNTIF($D73:$BK73,0),DATA!$F$14-SEKOR!BN73)</f>
        <v>0</v>
      </c>
      <c r="BP73" s="4" t="str">
        <f>IF(BL73=0,"",BN73/DATA!$F$14*100)</f>
        <v/>
      </c>
      <c r="BQ73" s="121" t="str">
        <f t="shared" si="3"/>
        <v/>
      </c>
      <c r="BR73" s="2" t="str">
        <f>IF(Praktik!$E73=0,"",Praktik!$E73)</f>
        <v/>
      </c>
      <c r="BS73" s="2" t="str">
        <f>IF(BR73="","",(BP73*DATAINFO!$O$4)+(SEKOR!BR73*DATAINFO!$O$5)/(DATAINFO!$O$4+DATAINFO!$O$5))</f>
        <v/>
      </c>
      <c r="BT73" s="2" t="str">
        <f>IF(BL73=0,"",IF(DATA!$F$18="TIDAK",ROUNDUP((IF!$L$8*SEKOR!$BP73)+IF!$L$9,0),IF($BR73="","",ROUNDUP((IF!$L$20*$BS73)+IF!$L$21,0))))</f>
        <v/>
      </c>
      <c r="BU73" s="47" t="str">
        <f>IF(BP73="","",IF(SEKOR!BP73&gt;=DATA!$J$12,1,0))</f>
        <v/>
      </c>
      <c r="BV73" s="47" t="str">
        <f>IF(BQ73="","",IF(SEKOR!BQ73&gt;=DATA!$J$12,1,0))</f>
        <v/>
      </c>
      <c r="BW73" s="47" t="str">
        <f>IF(BR73="","",IF(SEKOR!BR73&gt;=DATA!$J$12,1,0))</f>
        <v/>
      </c>
      <c r="BX73" s="47" t="str">
        <f>IF(BT73="","",IF(DATA!$J$14="",IF(SEKOR!BT73&gt;=DATA!$J$12,1,0),IF(SEKOR!BT73&gt;=DATA!$J$14,1,0)))</f>
        <v/>
      </c>
    </row>
    <row r="74" spans="1:76" x14ac:dyDescent="0.25">
      <c r="A74" s="20" t="s">
        <v>101</v>
      </c>
      <c r="B74" s="21" t="str">
        <f>IF(Ujian!B81="","",Ujian!B81)</f>
        <v/>
      </c>
      <c r="C74" s="57" t="str">
        <f>IF(Ujian!C81="","",Ujian!C81)</f>
        <v/>
      </c>
      <c r="D74" s="125" t="str">
        <f>IF(Ujian!D81="","",IF(LEFT(Ujian!D81,1)=SEKOR!D$2,1,0))</f>
        <v/>
      </c>
      <c r="E74" s="125" t="str">
        <f>IF(Ujian!E81="","",IF(LEFT(Ujian!E81,1)=SEKOR!E$2,1,0))</f>
        <v/>
      </c>
      <c r="F74" s="125" t="str">
        <f>IF(Ujian!F81="","",IF(LEFT(Ujian!F81,1)=SEKOR!F$2,1,0))</f>
        <v/>
      </c>
      <c r="G74" s="125" t="str">
        <f>IF(Ujian!G81="","",IF(LEFT(Ujian!G81,1)=SEKOR!G$2,1,0))</f>
        <v/>
      </c>
      <c r="H74" s="125" t="str">
        <f>IF(Ujian!H81="","",IF(LEFT(Ujian!H81,1)=SEKOR!H$2,1,0))</f>
        <v/>
      </c>
      <c r="I74" s="125" t="str">
        <f>IF(Ujian!I81="","",IF(LEFT(Ujian!I81,1)=SEKOR!I$2,1,0))</f>
        <v/>
      </c>
      <c r="J74" s="125" t="str">
        <f>IF(Ujian!J81="","",IF(LEFT(Ujian!J81,1)=SEKOR!J$2,1,0))</f>
        <v/>
      </c>
      <c r="K74" s="125" t="str">
        <f>IF(Ujian!K81="","",IF(LEFT(Ujian!K81,1)=SEKOR!K$2,1,0))</f>
        <v/>
      </c>
      <c r="L74" s="125" t="str">
        <f>IF(Ujian!L81="","",IF(LEFT(Ujian!L81,1)=SEKOR!L$2,1,0))</f>
        <v/>
      </c>
      <c r="M74" s="125" t="str">
        <f>IF(Ujian!M81="","",IF(LEFT(Ujian!M81,1)=SEKOR!M$2,1,0))</f>
        <v/>
      </c>
      <c r="N74" s="125" t="str">
        <f>IF(Ujian!N81="","",IF(LEFT(Ujian!N81,1)=SEKOR!N$2,1,0))</f>
        <v/>
      </c>
      <c r="O74" s="125" t="str">
        <f>IF(Ujian!O81="","",IF(LEFT(Ujian!O81,1)=SEKOR!O$2,1,0))</f>
        <v/>
      </c>
      <c r="P74" s="125" t="str">
        <f>IF(Ujian!P81="","",IF(LEFT(Ujian!P81,1)=SEKOR!P$2,1,0))</f>
        <v/>
      </c>
      <c r="Q74" s="125" t="str">
        <f>IF(Ujian!Q81="","",IF(LEFT(Ujian!Q81,1)=SEKOR!Q$2,1,0))</f>
        <v/>
      </c>
      <c r="R74" s="125" t="str">
        <f>IF(Ujian!R81="","",IF(LEFT(Ujian!R81,1)=SEKOR!R$2,1,0))</f>
        <v/>
      </c>
      <c r="S74" s="125" t="str">
        <f>IF(Ujian!S81="","",IF(LEFT(Ujian!S81,1)=SEKOR!S$2,1,0))</f>
        <v/>
      </c>
      <c r="T74" s="125" t="str">
        <f>IF(Ujian!T81="","",IF(LEFT(Ujian!T81,1)=SEKOR!T$2,1,0))</f>
        <v/>
      </c>
      <c r="U74" s="125" t="str">
        <f>IF(Ujian!U81="","",IF(LEFT(Ujian!U81,1)=SEKOR!U$2,1,0))</f>
        <v/>
      </c>
      <c r="V74" s="125" t="str">
        <f>IF(Ujian!V81="","",IF(LEFT(Ujian!V81,1)=SEKOR!V$2,1,0))</f>
        <v/>
      </c>
      <c r="W74" s="125" t="str">
        <f>IF(Ujian!W81="","",IF(LEFT(Ujian!W81,1)=SEKOR!W$2,1,0))</f>
        <v/>
      </c>
      <c r="X74" s="125" t="str">
        <f>IF(Ujian!X81="","",IF(LEFT(Ujian!X81,1)=SEKOR!X$2,1,0))</f>
        <v/>
      </c>
      <c r="Y74" s="125" t="str">
        <f>IF(Ujian!Y81="","",IF(LEFT(Ujian!Y81,1)=SEKOR!Y$2,1,0))</f>
        <v/>
      </c>
      <c r="Z74" s="125" t="str">
        <f>IF(Ujian!Z81="","",IF(LEFT(Ujian!Z81,1)=SEKOR!Z$2,1,0))</f>
        <v/>
      </c>
      <c r="AA74" s="125" t="str">
        <f>IF(Ujian!AA81="","",IF(LEFT(Ujian!AA81,1)=SEKOR!AA$2,1,0))</f>
        <v/>
      </c>
      <c r="AB74" s="125" t="str">
        <f>IF(Ujian!AB81="","",IF(LEFT(Ujian!AB81,1)=SEKOR!AB$2,1,0))</f>
        <v/>
      </c>
      <c r="AC74" s="125" t="str">
        <f>IF(Ujian!AC81="","",IF(LEFT(Ujian!AC81,1)=SEKOR!AC$2,1,0))</f>
        <v/>
      </c>
      <c r="AD74" s="125" t="str">
        <f>IF(Ujian!AD81="","",IF(LEFT(Ujian!AD81,1)=SEKOR!AD$2,1,0))</f>
        <v/>
      </c>
      <c r="AE74" s="125" t="str">
        <f>IF(Ujian!AE81="","",IF(LEFT(Ujian!AE81,1)=SEKOR!AE$2,1,0))</f>
        <v/>
      </c>
      <c r="AF74" s="125" t="str">
        <f>IF(Ujian!AF81="","",IF(LEFT(Ujian!AF81,1)=SEKOR!AF$2,1,0))</f>
        <v/>
      </c>
      <c r="AG74" s="125" t="str">
        <f>IF(Ujian!AG81="","",IF(LEFT(Ujian!AG81,1)=SEKOR!AG$2,1,0))</f>
        <v/>
      </c>
      <c r="AH74" s="125" t="str">
        <f>IF(Ujian!AH81="","",IF(LEFT(Ujian!AH81,1)=SEKOR!AH$2,1,0))</f>
        <v/>
      </c>
      <c r="AI74" s="125" t="str">
        <f>IF(Ujian!AI81="","",IF(LEFT(Ujian!AI81,1)=SEKOR!AI$2,1,0))</f>
        <v/>
      </c>
      <c r="AJ74" s="125" t="str">
        <f>IF(Ujian!AJ81="","",IF(LEFT(Ujian!AJ81,1)=SEKOR!AJ$2,1,0))</f>
        <v/>
      </c>
      <c r="AK74" s="125" t="str">
        <f>IF(Ujian!AK81="","",IF(LEFT(Ujian!AK81,1)=SEKOR!AK$2,1,0))</f>
        <v/>
      </c>
      <c r="AL74" s="125" t="str">
        <f>IF(Ujian!AL81="","",IF(LEFT(Ujian!AL81,1)=SEKOR!AL$2,1,0))</f>
        <v/>
      </c>
      <c r="AM74" s="125" t="str">
        <f>IF(Ujian!AM81="","",IF(LEFT(Ujian!AM81,1)=SEKOR!AM$2,1,0))</f>
        <v/>
      </c>
      <c r="AN74" s="125" t="str">
        <f>IF(Ujian!AN81="","",IF(LEFT(Ujian!AN81,1)=SEKOR!AN$2,1,0))</f>
        <v/>
      </c>
      <c r="AO74" s="125" t="str">
        <f>IF(Ujian!AO81="","",IF(LEFT(Ujian!AO81,1)=SEKOR!AO$2,1,0))</f>
        <v/>
      </c>
      <c r="AP74" s="125" t="str">
        <f>IF(Ujian!AP81="","",IF(LEFT(Ujian!AP81,1)=SEKOR!AP$2,1,0))</f>
        <v/>
      </c>
      <c r="AQ74" s="125" t="str">
        <f>IF(Ujian!AQ81="","",IF(LEFT(Ujian!AQ81,1)=SEKOR!AQ$2,1,0))</f>
        <v/>
      </c>
      <c r="AR74" s="125" t="str">
        <f>IF(Ujian!AR81="","",IF(LEFT(Ujian!AR81,1)=SEKOR!AR$2,1,0))</f>
        <v/>
      </c>
      <c r="AS74" s="125" t="str">
        <f>IF(Ujian!AS81="","",IF(LEFT(Ujian!AS81,1)=SEKOR!AS$2,1,0))</f>
        <v/>
      </c>
      <c r="AT74" s="125" t="str">
        <f>IF(Ujian!AT81="","",IF(LEFT(Ujian!AT81,1)=SEKOR!AT$2,1,0))</f>
        <v/>
      </c>
      <c r="AU74" s="125" t="str">
        <f>IF(Ujian!AU81="","",IF(LEFT(Ujian!AU81,1)=SEKOR!AU$2,1,0))</f>
        <v/>
      </c>
      <c r="AV74" s="125" t="str">
        <f>IF(Ujian!AV81="","",IF(LEFT(Ujian!AV81,1)=SEKOR!AV$2,1,0))</f>
        <v/>
      </c>
      <c r="AW74" s="125" t="str">
        <f>IF(Ujian!AW81="","",IF(LEFT(Ujian!AW81,1)=SEKOR!AW$2,1,0))</f>
        <v/>
      </c>
      <c r="AX74" s="125" t="str">
        <f>IF(Ujian!AX81="","",IF(LEFT(Ujian!AX81,1)=SEKOR!AX$2,1,0))</f>
        <v/>
      </c>
      <c r="AY74" s="125" t="str">
        <f>IF(Ujian!AY81="","",IF(LEFT(Ujian!AY81,1)=SEKOR!AY$2,1,0))</f>
        <v/>
      </c>
      <c r="AZ74" s="125" t="str">
        <f>IF(Ujian!AZ81="","",IF(LEFT(Ujian!AZ81,1)=SEKOR!AZ$2,1,0))</f>
        <v/>
      </c>
      <c r="BA74" s="125" t="str">
        <f>IF(Ujian!BA81="","",IF(LEFT(Ujian!BA81,1)=SEKOR!BA$2,1,0))</f>
        <v/>
      </c>
      <c r="BB74" s="125" t="str">
        <f>IF(Ujian!BB81="","",IF(LEFT(Ujian!BB81,1)=SEKOR!BB$2,1,0))</f>
        <v/>
      </c>
      <c r="BC74" s="125" t="str">
        <f>IF(Ujian!BC81="","",IF(LEFT(Ujian!BC81,1)=SEKOR!BC$2,1,0))</f>
        <v/>
      </c>
      <c r="BD74" s="125" t="str">
        <f>IF(Ujian!BD81="","",IF(LEFT(Ujian!BD81,1)=SEKOR!BD$2,1,0))</f>
        <v/>
      </c>
      <c r="BE74" s="125" t="str">
        <f>IF(Ujian!BE81="","",IF(LEFT(Ujian!BE81,1)=SEKOR!BE$2,1,0))</f>
        <v/>
      </c>
      <c r="BF74" s="125" t="str">
        <f>IF(Ujian!BF81="","",IF(LEFT(Ujian!BF81,1)=SEKOR!BF$2,1,0))</f>
        <v/>
      </c>
      <c r="BG74" s="125" t="str">
        <f>IF(Ujian!BG81="","",IF(LEFT(Ujian!BG81,1)=SEKOR!BG$2,1,0))</f>
        <v/>
      </c>
      <c r="BH74" s="125" t="str">
        <f>IF(Ujian!BH81="","",IF(LEFT(Ujian!BH81,1)=SEKOR!BH$2,1,0))</f>
        <v/>
      </c>
      <c r="BI74" s="125" t="str">
        <f>IF(Ujian!BI81="","",IF(LEFT(Ujian!BI81,1)=SEKOR!BI$2,1,0))</f>
        <v/>
      </c>
      <c r="BJ74" s="125" t="str">
        <f>IF(Ujian!BJ81="","",IF(LEFT(Ujian!BJ81,1)=SEKOR!BJ$2,1,0))</f>
        <v/>
      </c>
      <c r="BK74" s="125" t="str">
        <f>IF(Ujian!BK81="","",IF(LEFT(Ujian!BK81,1)=SEKOR!BK$2,1,0))</f>
        <v/>
      </c>
      <c r="BL74" s="18">
        <f t="shared" si="2"/>
        <v>0</v>
      </c>
      <c r="BM74" s="18">
        <f>COUNTIF($D74:$BK74,"")+DATA!$F$14-DATA!$F$12</f>
        <v>60</v>
      </c>
      <c r="BN74" s="17">
        <f>IF(COUNTIF($D74:$BK74,1)&gt;DATA!$F$14,DATA!$F$14,COUNTIF($D74:$BK74,1))</f>
        <v>0</v>
      </c>
      <c r="BO74" s="17">
        <f>IF((BN74+COUNTIF($D74:$BK74,0))&lt;=DATA!$F$14,COUNTIF($D74:$BK74,0),DATA!$F$14-SEKOR!BN74)</f>
        <v>0</v>
      </c>
      <c r="BP74" s="4" t="str">
        <f>IF(BL74=0,"",BN74/DATA!$F$14*100)</f>
        <v/>
      </c>
      <c r="BQ74" s="121" t="str">
        <f t="shared" si="3"/>
        <v/>
      </c>
      <c r="BR74" s="2" t="str">
        <f>IF(Praktik!$E74=0,"",Praktik!$E74)</f>
        <v/>
      </c>
      <c r="BS74" s="2" t="str">
        <f>IF(BR74="","",(BP74*DATAINFO!$O$4)+(SEKOR!BR74*DATAINFO!$O$5)/(DATAINFO!$O$4+DATAINFO!$O$5))</f>
        <v/>
      </c>
      <c r="BT74" s="2" t="str">
        <f>IF(BL74=0,"",IF(DATA!$F$18="TIDAK",ROUNDUP((IF!$L$8*SEKOR!$BP74)+IF!$L$9,0),IF($BR74="","",ROUNDUP((IF!$L$20*$BS74)+IF!$L$21,0))))</f>
        <v/>
      </c>
      <c r="BU74" s="47" t="str">
        <f>IF(BP74="","",IF(SEKOR!BP74&gt;=DATA!$J$12,1,0))</f>
        <v/>
      </c>
      <c r="BV74" s="47" t="str">
        <f>IF(BQ74="","",IF(SEKOR!BQ74&gt;=DATA!$J$12,1,0))</f>
        <v/>
      </c>
      <c r="BW74" s="47" t="str">
        <f>IF(BR74="","",IF(SEKOR!BR74&gt;=DATA!$J$12,1,0))</f>
        <v/>
      </c>
      <c r="BX74" s="47" t="str">
        <f>IF(BT74="","",IF(DATA!$J$14="",IF(SEKOR!BT74&gt;=DATA!$J$12,1,0),IF(SEKOR!BT74&gt;=DATA!$J$14,1,0)))</f>
        <v/>
      </c>
    </row>
    <row r="75" spans="1:76" x14ac:dyDescent="0.25">
      <c r="A75" s="20" t="s">
        <v>102</v>
      </c>
      <c r="B75" s="21" t="str">
        <f>IF(Ujian!B82="","",Ujian!B82)</f>
        <v/>
      </c>
      <c r="C75" s="57" t="str">
        <f>IF(Ujian!C82="","",Ujian!C82)</f>
        <v/>
      </c>
      <c r="D75" s="125" t="str">
        <f>IF(Ujian!D82="","",IF(LEFT(Ujian!D82,1)=SEKOR!D$2,1,0))</f>
        <v/>
      </c>
      <c r="E75" s="125" t="str">
        <f>IF(Ujian!E82="","",IF(LEFT(Ujian!E82,1)=SEKOR!E$2,1,0))</f>
        <v/>
      </c>
      <c r="F75" s="125" t="str">
        <f>IF(Ujian!F82="","",IF(LEFT(Ujian!F82,1)=SEKOR!F$2,1,0))</f>
        <v/>
      </c>
      <c r="G75" s="125" t="str">
        <f>IF(Ujian!G82="","",IF(LEFT(Ujian!G82,1)=SEKOR!G$2,1,0))</f>
        <v/>
      </c>
      <c r="H75" s="125" t="str">
        <f>IF(Ujian!H82="","",IF(LEFT(Ujian!H82,1)=SEKOR!H$2,1,0))</f>
        <v/>
      </c>
      <c r="I75" s="125" t="str">
        <f>IF(Ujian!I82="","",IF(LEFT(Ujian!I82,1)=SEKOR!I$2,1,0))</f>
        <v/>
      </c>
      <c r="J75" s="125" t="str">
        <f>IF(Ujian!J82="","",IF(LEFT(Ujian!J82,1)=SEKOR!J$2,1,0))</f>
        <v/>
      </c>
      <c r="K75" s="125" t="str">
        <f>IF(Ujian!K82="","",IF(LEFT(Ujian!K82,1)=SEKOR!K$2,1,0))</f>
        <v/>
      </c>
      <c r="L75" s="125" t="str">
        <f>IF(Ujian!L82="","",IF(LEFT(Ujian!L82,1)=SEKOR!L$2,1,0))</f>
        <v/>
      </c>
      <c r="M75" s="125" t="str">
        <f>IF(Ujian!M82="","",IF(LEFT(Ujian!M82,1)=SEKOR!M$2,1,0))</f>
        <v/>
      </c>
      <c r="N75" s="125" t="str">
        <f>IF(Ujian!N82="","",IF(LEFT(Ujian!N82,1)=SEKOR!N$2,1,0))</f>
        <v/>
      </c>
      <c r="O75" s="125" t="str">
        <f>IF(Ujian!O82="","",IF(LEFT(Ujian!O82,1)=SEKOR!O$2,1,0))</f>
        <v/>
      </c>
      <c r="P75" s="125" t="str">
        <f>IF(Ujian!P82="","",IF(LEFT(Ujian!P82,1)=SEKOR!P$2,1,0))</f>
        <v/>
      </c>
      <c r="Q75" s="125" t="str">
        <f>IF(Ujian!Q82="","",IF(LEFT(Ujian!Q82,1)=SEKOR!Q$2,1,0))</f>
        <v/>
      </c>
      <c r="R75" s="125" t="str">
        <f>IF(Ujian!R82="","",IF(LEFT(Ujian!R82,1)=SEKOR!R$2,1,0))</f>
        <v/>
      </c>
      <c r="S75" s="125" t="str">
        <f>IF(Ujian!S82="","",IF(LEFT(Ujian!S82,1)=SEKOR!S$2,1,0))</f>
        <v/>
      </c>
      <c r="T75" s="125" t="str">
        <f>IF(Ujian!T82="","",IF(LEFT(Ujian!T82,1)=SEKOR!T$2,1,0))</f>
        <v/>
      </c>
      <c r="U75" s="125" t="str">
        <f>IF(Ujian!U82="","",IF(LEFT(Ujian!U82,1)=SEKOR!U$2,1,0))</f>
        <v/>
      </c>
      <c r="V75" s="125" t="str">
        <f>IF(Ujian!V82="","",IF(LEFT(Ujian!V82,1)=SEKOR!V$2,1,0))</f>
        <v/>
      </c>
      <c r="W75" s="125" t="str">
        <f>IF(Ujian!W82="","",IF(LEFT(Ujian!W82,1)=SEKOR!W$2,1,0))</f>
        <v/>
      </c>
      <c r="X75" s="125" t="str">
        <f>IF(Ujian!X82="","",IF(LEFT(Ujian!X82,1)=SEKOR!X$2,1,0))</f>
        <v/>
      </c>
      <c r="Y75" s="125" t="str">
        <f>IF(Ujian!Y82="","",IF(LEFT(Ujian!Y82,1)=SEKOR!Y$2,1,0))</f>
        <v/>
      </c>
      <c r="Z75" s="125" t="str">
        <f>IF(Ujian!Z82="","",IF(LEFT(Ujian!Z82,1)=SEKOR!Z$2,1,0))</f>
        <v/>
      </c>
      <c r="AA75" s="125" t="str">
        <f>IF(Ujian!AA82="","",IF(LEFT(Ujian!AA82,1)=SEKOR!AA$2,1,0))</f>
        <v/>
      </c>
      <c r="AB75" s="125" t="str">
        <f>IF(Ujian!AB82="","",IF(LEFT(Ujian!AB82,1)=SEKOR!AB$2,1,0))</f>
        <v/>
      </c>
      <c r="AC75" s="125" t="str">
        <f>IF(Ujian!AC82="","",IF(LEFT(Ujian!AC82,1)=SEKOR!AC$2,1,0))</f>
        <v/>
      </c>
      <c r="AD75" s="125" t="str">
        <f>IF(Ujian!AD82="","",IF(LEFT(Ujian!AD82,1)=SEKOR!AD$2,1,0))</f>
        <v/>
      </c>
      <c r="AE75" s="125" t="str">
        <f>IF(Ujian!AE82="","",IF(LEFT(Ujian!AE82,1)=SEKOR!AE$2,1,0))</f>
        <v/>
      </c>
      <c r="AF75" s="125" t="str">
        <f>IF(Ujian!AF82="","",IF(LEFT(Ujian!AF82,1)=SEKOR!AF$2,1,0))</f>
        <v/>
      </c>
      <c r="AG75" s="125" t="str">
        <f>IF(Ujian!AG82="","",IF(LEFT(Ujian!AG82,1)=SEKOR!AG$2,1,0))</f>
        <v/>
      </c>
      <c r="AH75" s="125" t="str">
        <f>IF(Ujian!AH82="","",IF(LEFT(Ujian!AH82,1)=SEKOR!AH$2,1,0))</f>
        <v/>
      </c>
      <c r="AI75" s="125" t="str">
        <f>IF(Ujian!AI82="","",IF(LEFT(Ujian!AI82,1)=SEKOR!AI$2,1,0))</f>
        <v/>
      </c>
      <c r="AJ75" s="125" t="str">
        <f>IF(Ujian!AJ82="","",IF(LEFT(Ujian!AJ82,1)=SEKOR!AJ$2,1,0))</f>
        <v/>
      </c>
      <c r="AK75" s="125" t="str">
        <f>IF(Ujian!AK82="","",IF(LEFT(Ujian!AK82,1)=SEKOR!AK$2,1,0))</f>
        <v/>
      </c>
      <c r="AL75" s="125" t="str">
        <f>IF(Ujian!AL82="","",IF(LEFT(Ujian!AL82,1)=SEKOR!AL$2,1,0))</f>
        <v/>
      </c>
      <c r="AM75" s="125" t="str">
        <f>IF(Ujian!AM82="","",IF(LEFT(Ujian!AM82,1)=SEKOR!AM$2,1,0))</f>
        <v/>
      </c>
      <c r="AN75" s="125" t="str">
        <f>IF(Ujian!AN82="","",IF(LEFT(Ujian!AN82,1)=SEKOR!AN$2,1,0))</f>
        <v/>
      </c>
      <c r="AO75" s="125" t="str">
        <f>IF(Ujian!AO82="","",IF(LEFT(Ujian!AO82,1)=SEKOR!AO$2,1,0))</f>
        <v/>
      </c>
      <c r="AP75" s="125" t="str">
        <f>IF(Ujian!AP82="","",IF(LEFT(Ujian!AP82,1)=SEKOR!AP$2,1,0))</f>
        <v/>
      </c>
      <c r="AQ75" s="125" t="str">
        <f>IF(Ujian!AQ82="","",IF(LEFT(Ujian!AQ82,1)=SEKOR!AQ$2,1,0))</f>
        <v/>
      </c>
      <c r="AR75" s="125" t="str">
        <f>IF(Ujian!AR82="","",IF(LEFT(Ujian!AR82,1)=SEKOR!AR$2,1,0))</f>
        <v/>
      </c>
      <c r="AS75" s="125" t="str">
        <f>IF(Ujian!AS82="","",IF(LEFT(Ujian!AS82,1)=SEKOR!AS$2,1,0))</f>
        <v/>
      </c>
      <c r="AT75" s="125" t="str">
        <f>IF(Ujian!AT82="","",IF(LEFT(Ujian!AT82,1)=SEKOR!AT$2,1,0))</f>
        <v/>
      </c>
      <c r="AU75" s="125" t="str">
        <f>IF(Ujian!AU82="","",IF(LEFT(Ujian!AU82,1)=SEKOR!AU$2,1,0))</f>
        <v/>
      </c>
      <c r="AV75" s="125" t="str">
        <f>IF(Ujian!AV82="","",IF(LEFT(Ujian!AV82,1)=SEKOR!AV$2,1,0))</f>
        <v/>
      </c>
      <c r="AW75" s="125" t="str">
        <f>IF(Ujian!AW82="","",IF(LEFT(Ujian!AW82,1)=SEKOR!AW$2,1,0))</f>
        <v/>
      </c>
      <c r="AX75" s="125" t="str">
        <f>IF(Ujian!AX82="","",IF(LEFT(Ujian!AX82,1)=SEKOR!AX$2,1,0))</f>
        <v/>
      </c>
      <c r="AY75" s="125" t="str">
        <f>IF(Ujian!AY82="","",IF(LEFT(Ujian!AY82,1)=SEKOR!AY$2,1,0))</f>
        <v/>
      </c>
      <c r="AZ75" s="125" t="str">
        <f>IF(Ujian!AZ82="","",IF(LEFT(Ujian!AZ82,1)=SEKOR!AZ$2,1,0))</f>
        <v/>
      </c>
      <c r="BA75" s="125" t="str">
        <f>IF(Ujian!BA82="","",IF(LEFT(Ujian!BA82,1)=SEKOR!BA$2,1,0))</f>
        <v/>
      </c>
      <c r="BB75" s="125" t="str">
        <f>IF(Ujian!BB82="","",IF(LEFT(Ujian!BB82,1)=SEKOR!BB$2,1,0))</f>
        <v/>
      </c>
      <c r="BC75" s="125" t="str">
        <f>IF(Ujian!BC82="","",IF(LEFT(Ujian!BC82,1)=SEKOR!BC$2,1,0))</f>
        <v/>
      </c>
      <c r="BD75" s="125" t="str">
        <f>IF(Ujian!BD82="","",IF(LEFT(Ujian!BD82,1)=SEKOR!BD$2,1,0))</f>
        <v/>
      </c>
      <c r="BE75" s="125" t="str">
        <f>IF(Ujian!BE82="","",IF(LEFT(Ujian!BE82,1)=SEKOR!BE$2,1,0))</f>
        <v/>
      </c>
      <c r="BF75" s="125" t="str">
        <f>IF(Ujian!BF82="","",IF(LEFT(Ujian!BF82,1)=SEKOR!BF$2,1,0))</f>
        <v/>
      </c>
      <c r="BG75" s="125" t="str">
        <f>IF(Ujian!BG82="","",IF(LEFT(Ujian!BG82,1)=SEKOR!BG$2,1,0))</f>
        <v/>
      </c>
      <c r="BH75" s="125" t="str">
        <f>IF(Ujian!BH82="","",IF(LEFT(Ujian!BH82,1)=SEKOR!BH$2,1,0))</f>
        <v/>
      </c>
      <c r="BI75" s="125" t="str">
        <f>IF(Ujian!BI82="","",IF(LEFT(Ujian!BI82,1)=SEKOR!BI$2,1,0))</f>
        <v/>
      </c>
      <c r="BJ75" s="125" t="str">
        <f>IF(Ujian!BJ82="","",IF(LEFT(Ujian!BJ82,1)=SEKOR!BJ$2,1,0))</f>
        <v/>
      </c>
      <c r="BK75" s="125" t="str">
        <f>IF(Ujian!BK82="","",IF(LEFT(Ujian!BK82,1)=SEKOR!BK$2,1,0))</f>
        <v/>
      </c>
      <c r="BL75" s="18">
        <f t="shared" si="2"/>
        <v>0</v>
      </c>
      <c r="BM75" s="18">
        <f>COUNTIF($D75:$BK75,"")+DATA!$F$14-DATA!$F$12</f>
        <v>60</v>
      </c>
      <c r="BN75" s="17">
        <f>IF(COUNTIF($D75:$BK75,1)&gt;DATA!$F$14,DATA!$F$14,COUNTIF($D75:$BK75,1))</f>
        <v>0</v>
      </c>
      <c r="BO75" s="17">
        <f>IF((BN75+COUNTIF($D75:$BK75,0))&lt;=DATA!$F$14,COUNTIF($D75:$BK75,0),DATA!$F$14-SEKOR!BN75)</f>
        <v>0</v>
      </c>
      <c r="BP75" s="4" t="str">
        <f>IF(BL75=0,"",BN75/DATA!$F$14*100)</f>
        <v/>
      </c>
      <c r="BQ75" s="121" t="str">
        <f t="shared" si="3"/>
        <v/>
      </c>
      <c r="BR75" s="2" t="str">
        <f>IF(Praktik!$E75=0,"",Praktik!$E75)</f>
        <v/>
      </c>
      <c r="BS75" s="2" t="str">
        <f>IF(BR75="","",(BP75*DATAINFO!$O$4)+(SEKOR!BR75*DATAINFO!$O$5)/(DATAINFO!$O$4+DATAINFO!$O$5))</f>
        <v/>
      </c>
      <c r="BT75" s="2" t="str">
        <f>IF(BL75=0,"",IF(DATA!$F$18="TIDAK",ROUNDUP((IF!$L$8*SEKOR!$BP75)+IF!$L$9,0),IF($BR75="","",ROUNDUP((IF!$L$20*$BS75)+IF!$L$21,0))))</f>
        <v/>
      </c>
      <c r="BU75" s="47" t="str">
        <f>IF(BP75="","",IF(SEKOR!BP75&gt;=DATA!$J$12,1,0))</f>
        <v/>
      </c>
      <c r="BV75" s="47" t="str">
        <f>IF(BQ75="","",IF(SEKOR!BQ75&gt;=DATA!$J$12,1,0))</f>
        <v/>
      </c>
      <c r="BW75" s="47" t="str">
        <f>IF(BR75="","",IF(SEKOR!BR75&gt;=DATA!$J$12,1,0))</f>
        <v/>
      </c>
      <c r="BX75" s="47" t="str">
        <f>IF(BT75="","",IF(DATA!$J$14="",IF(SEKOR!BT75&gt;=DATA!$J$12,1,0),IF(SEKOR!BT75&gt;=DATA!$J$14,1,0)))</f>
        <v/>
      </c>
    </row>
    <row r="76" spans="1:76" x14ac:dyDescent="0.25">
      <c r="A76" s="20" t="s">
        <v>103</v>
      </c>
      <c r="B76" s="21" t="str">
        <f>IF(Ujian!B83="","",Ujian!B83)</f>
        <v/>
      </c>
      <c r="C76" s="57" t="str">
        <f>IF(Ujian!C83="","",Ujian!C83)</f>
        <v/>
      </c>
      <c r="D76" s="125" t="str">
        <f>IF(Ujian!D83="","",IF(LEFT(Ujian!D83,1)=SEKOR!D$2,1,0))</f>
        <v/>
      </c>
      <c r="E76" s="125" t="str">
        <f>IF(Ujian!E83="","",IF(LEFT(Ujian!E83,1)=SEKOR!E$2,1,0))</f>
        <v/>
      </c>
      <c r="F76" s="125" t="str">
        <f>IF(Ujian!F83="","",IF(LEFT(Ujian!F83,1)=SEKOR!F$2,1,0))</f>
        <v/>
      </c>
      <c r="G76" s="125" t="str">
        <f>IF(Ujian!G83="","",IF(LEFT(Ujian!G83,1)=SEKOR!G$2,1,0))</f>
        <v/>
      </c>
      <c r="H76" s="125" t="str">
        <f>IF(Ujian!H83="","",IF(LEFT(Ujian!H83,1)=SEKOR!H$2,1,0))</f>
        <v/>
      </c>
      <c r="I76" s="125" t="str">
        <f>IF(Ujian!I83="","",IF(LEFT(Ujian!I83,1)=SEKOR!I$2,1,0))</f>
        <v/>
      </c>
      <c r="J76" s="125" t="str">
        <f>IF(Ujian!J83="","",IF(LEFT(Ujian!J83,1)=SEKOR!J$2,1,0))</f>
        <v/>
      </c>
      <c r="K76" s="125" t="str">
        <f>IF(Ujian!K83="","",IF(LEFT(Ujian!K83,1)=SEKOR!K$2,1,0))</f>
        <v/>
      </c>
      <c r="L76" s="125" t="str">
        <f>IF(Ujian!L83="","",IF(LEFT(Ujian!L83,1)=SEKOR!L$2,1,0))</f>
        <v/>
      </c>
      <c r="M76" s="125" t="str">
        <f>IF(Ujian!M83="","",IF(LEFT(Ujian!M83,1)=SEKOR!M$2,1,0))</f>
        <v/>
      </c>
      <c r="N76" s="125" t="str">
        <f>IF(Ujian!N83="","",IF(LEFT(Ujian!N83,1)=SEKOR!N$2,1,0))</f>
        <v/>
      </c>
      <c r="O76" s="125" t="str">
        <f>IF(Ujian!O83="","",IF(LEFT(Ujian!O83,1)=SEKOR!O$2,1,0))</f>
        <v/>
      </c>
      <c r="P76" s="125" t="str">
        <f>IF(Ujian!P83="","",IF(LEFT(Ujian!P83,1)=SEKOR!P$2,1,0))</f>
        <v/>
      </c>
      <c r="Q76" s="125" t="str">
        <f>IF(Ujian!Q83="","",IF(LEFT(Ujian!Q83,1)=SEKOR!Q$2,1,0))</f>
        <v/>
      </c>
      <c r="R76" s="125" t="str">
        <f>IF(Ujian!R83="","",IF(LEFT(Ujian!R83,1)=SEKOR!R$2,1,0))</f>
        <v/>
      </c>
      <c r="S76" s="125" t="str">
        <f>IF(Ujian!S83="","",IF(LEFT(Ujian!S83,1)=SEKOR!S$2,1,0))</f>
        <v/>
      </c>
      <c r="T76" s="125" t="str">
        <f>IF(Ujian!T83="","",IF(LEFT(Ujian!T83,1)=SEKOR!T$2,1,0))</f>
        <v/>
      </c>
      <c r="U76" s="125" t="str">
        <f>IF(Ujian!U83="","",IF(LEFT(Ujian!U83,1)=SEKOR!U$2,1,0))</f>
        <v/>
      </c>
      <c r="V76" s="125" t="str">
        <f>IF(Ujian!V83="","",IF(LEFT(Ujian!V83,1)=SEKOR!V$2,1,0))</f>
        <v/>
      </c>
      <c r="W76" s="125" t="str">
        <f>IF(Ujian!W83="","",IF(LEFT(Ujian!W83,1)=SEKOR!W$2,1,0))</f>
        <v/>
      </c>
      <c r="X76" s="125" t="str">
        <f>IF(Ujian!X83="","",IF(LEFT(Ujian!X83,1)=SEKOR!X$2,1,0))</f>
        <v/>
      </c>
      <c r="Y76" s="125" t="str">
        <f>IF(Ujian!Y83="","",IF(LEFT(Ujian!Y83,1)=SEKOR!Y$2,1,0))</f>
        <v/>
      </c>
      <c r="Z76" s="125" t="str">
        <f>IF(Ujian!Z83="","",IF(LEFT(Ujian!Z83,1)=SEKOR!Z$2,1,0))</f>
        <v/>
      </c>
      <c r="AA76" s="125" t="str">
        <f>IF(Ujian!AA83="","",IF(LEFT(Ujian!AA83,1)=SEKOR!AA$2,1,0))</f>
        <v/>
      </c>
      <c r="AB76" s="125" t="str">
        <f>IF(Ujian!AB83="","",IF(LEFT(Ujian!AB83,1)=SEKOR!AB$2,1,0))</f>
        <v/>
      </c>
      <c r="AC76" s="125" t="str">
        <f>IF(Ujian!AC83="","",IF(LEFT(Ujian!AC83,1)=SEKOR!AC$2,1,0))</f>
        <v/>
      </c>
      <c r="AD76" s="125" t="str">
        <f>IF(Ujian!AD83="","",IF(LEFT(Ujian!AD83,1)=SEKOR!AD$2,1,0))</f>
        <v/>
      </c>
      <c r="AE76" s="125" t="str">
        <f>IF(Ujian!AE83="","",IF(LEFT(Ujian!AE83,1)=SEKOR!AE$2,1,0))</f>
        <v/>
      </c>
      <c r="AF76" s="125" t="str">
        <f>IF(Ujian!AF83="","",IF(LEFT(Ujian!AF83,1)=SEKOR!AF$2,1,0))</f>
        <v/>
      </c>
      <c r="AG76" s="125" t="str">
        <f>IF(Ujian!AG83="","",IF(LEFT(Ujian!AG83,1)=SEKOR!AG$2,1,0))</f>
        <v/>
      </c>
      <c r="AH76" s="125" t="str">
        <f>IF(Ujian!AH83="","",IF(LEFT(Ujian!AH83,1)=SEKOR!AH$2,1,0))</f>
        <v/>
      </c>
      <c r="AI76" s="125" t="str">
        <f>IF(Ujian!AI83="","",IF(LEFT(Ujian!AI83,1)=SEKOR!AI$2,1,0))</f>
        <v/>
      </c>
      <c r="AJ76" s="125" t="str">
        <f>IF(Ujian!AJ83="","",IF(LEFT(Ujian!AJ83,1)=SEKOR!AJ$2,1,0))</f>
        <v/>
      </c>
      <c r="AK76" s="125" t="str">
        <f>IF(Ujian!AK83="","",IF(LEFT(Ujian!AK83,1)=SEKOR!AK$2,1,0))</f>
        <v/>
      </c>
      <c r="AL76" s="125" t="str">
        <f>IF(Ujian!AL83="","",IF(LEFT(Ujian!AL83,1)=SEKOR!AL$2,1,0))</f>
        <v/>
      </c>
      <c r="AM76" s="125" t="str">
        <f>IF(Ujian!AM83="","",IF(LEFT(Ujian!AM83,1)=SEKOR!AM$2,1,0))</f>
        <v/>
      </c>
      <c r="AN76" s="125" t="str">
        <f>IF(Ujian!AN83="","",IF(LEFT(Ujian!AN83,1)=SEKOR!AN$2,1,0))</f>
        <v/>
      </c>
      <c r="AO76" s="125" t="str">
        <f>IF(Ujian!AO83="","",IF(LEFT(Ujian!AO83,1)=SEKOR!AO$2,1,0))</f>
        <v/>
      </c>
      <c r="AP76" s="125" t="str">
        <f>IF(Ujian!AP83="","",IF(LEFT(Ujian!AP83,1)=SEKOR!AP$2,1,0))</f>
        <v/>
      </c>
      <c r="AQ76" s="125" t="str">
        <f>IF(Ujian!AQ83="","",IF(LEFT(Ujian!AQ83,1)=SEKOR!AQ$2,1,0))</f>
        <v/>
      </c>
      <c r="AR76" s="125" t="str">
        <f>IF(Ujian!AR83="","",IF(LEFT(Ujian!AR83,1)=SEKOR!AR$2,1,0))</f>
        <v/>
      </c>
      <c r="AS76" s="125" t="str">
        <f>IF(Ujian!AS83="","",IF(LEFT(Ujian!AS83,1)=SEKOR!AS$2,1,0))</f>
        <v/>
      </c>
      <c r="AT76" s="125" t="str">
        <f>IF(Ujian!AT83="","",IF(LEFT(Ujian!AT83,1)=SEKOR!AT$2,1,0))</f>
        <v/>
      </c>
      <c r="AU76" s="125" t="str">
        <f>IF(Ujian!AU83="","",IF(LEFT(Ujian!AU83,1)=SEKOR!AU$2,1,0))</f>
        <v/>
      </c>
      <c r="AV76" s="125" t="str">
        <f>IF(Ujian!AV83="","",IF(LEFT(Ujian!AV83,1)=SEKOR!AV$2,1,0))</f>
        <v/>
      </c>
      <c r="AW76" s="125" t="str">
        <f>IF(Ujian!AW83="","",IF(LEFT(Ujian!AW83,1)=SEKOR!AW$2,1,0))</f>
        <v/>
      </c>
      <c r="AX76" s="125" t="str">
        <f>IF(Ujian!AX83="","",IF(LEFT(Ujian!AX83,1)=SEKOR!AX$2,1,0))</f>
        <v/>
      </c>
      <c r="AY76" s="125" t="str">
        <f>IF(Ujian!AY83="","",IF(LEFT(Ujian!AY83,1)=SEKOR!AY$2,1,0))</f>
        <v/>
      </c>
      <c r="AZ76" s="125" t="str">
        <f>IF(Ujian!AZ83="","",IF(LEFT(Ujian!AZ83,1)=SEKOR!AZ$2,1,0))</f>
        <v/>
      </c>
      <c r="BA76" s="125" t="str">
        <f>IF(Ujian!BA83="","",IF(LEFT(Ujian!BA83,1)=SEKOR!BA$2,1,0))</f>
        <v/>
      </c>
      <c r="BB76" s="125" t="str">
        <f>IF(Ujian!BB83="","",IF(LEFT(Ujian!BB83,1)=SEKOR!BB$2,1,0))</f>
        <v/>
      </c>
      <c r="BC76" s="125" t="str">
        <f>IF(Ujian!BC83="","",IF(LEFT(Ujian!BC83,1)=SEKOR!BC$2,1,0))</f>
        <v/>
      </c>
      <c r="BD76" s="125" t="str">
        <f>IF(Ujian!BD83="","",IF(LEFT(Ujian!BD83,1)=SEKOR!BD$2,1,0))</f>
        <v/>
      </c>
      <c r="BE76" s="125" t="str">
        <f>IF(Ujian!BE83="","",IF(LEFT(Ujian!BE83,1)=SEKOR!BE$2,1,0))</f>
        <v/>
      </c>
      <c r="BF76" s="125" t="str">
        <f>IF(Ujian!BF83="","",IF(LEFT(Ujian!BF83,1)=SEKOR!BF$2,1,0))</f>
        <v/>
      </c>
      <c r="BG76" s="125" t="str">
        <f>IF(Ujian!BG83="","",IF(LEFT(Ujian!BG83,1)=SEKOR!BG$2,1,0))</f>
        <v/>
      </c>
      <c r="BH76" s="125" t="str">
        <f>IF(Ujian!BH83="","",IF(LEFT(Ujian!BH83,1)=SEKOR!BH$2,1,0))</f>
        <v/>
      </c>
      <c r="BI76" s="125" t="str">
        <f>IF(Ujian!BI83="","",IF(LEFT(Ujian!BI83,1)=SEKOR!BI$2,1,0))</f>
        <v/>
      </c>
      <c r="BJ76" s="125" t="str">
        <f>IF(Ujian!BJ83="","",IF(LEFT(Ujian!BJ83,1)=SEKOR!BJ$2,1,0))</f>
        <v/>
      </c>
      <c r="BK76" s="125" t="str">
        <f>IF(Ujian!BK83="","",IF(LEFT(Ujian!BK83,1)=SEKOR!BK$2,1,0))</f>
        <v/>
      </c>
      <c r="BL76" s="18">
        <f t="shared" si="2"/>
        <v>0</v>
      </c>
      <c r="BM76" s="18">
        <f>COUNTIF($D76:$BK76,"")+DATA!$F$14-DATA!$F$12</f>
        <v>60</v>
      </c>
      <c r="BN76" s="17">
        <f>IF(COUNTIF($D76:$BK76,1)&gt;DATA!$F$14,DATA!$F$14,COUNTIF($D76:$BK76,1))</f>
        <v>0</v>
      </c>
      <c r="BO76" s="17">
        <f>IF((BN76+COUNTIF($D76:$BK76,0))&lt;=DATA!$F$14,COUNTIF($D76:$BK76,0),DATA!$F$14-SEKOR!BN76)</f>
        <v>0</v>
      </c>
      <c r="BP76" s="4" t="str">
        <f>IF(BL76=0,"",BN76/DATA!$F$14*100)</f>
        <v/>
      </c>
      <c r="BQ76" s="121" t="str">
        <f t="shared" si="3"/>
        <v/>
      </c>
      <c r="BR76" s="2" t="str">
        <f>IF(Praktik!$E76=0,"",Praktik!$E76)</f>
        <v/>
      </c>
      <c r="BS76" s="2" t="str">
        <f>IF(BR76="","",(BP76*DATAINFO!$O$4)+(SEKOR!BR76*DATAINFO!$O$5)/(DATAINFO!$O$4+DATAINFO!$O$5))</f>
        <v/>
      </c>
      <c r="BT76" s="2" t="str">
        <f>IF(BL76=0,"",IF(DATA!$F$18="TIDAK",ROUNDUP((IF!$L$8*SEKOR!$BP76)+IF!$L$9,0),IF($BR76="","",ROUNDUP((IF!$L$20*$BS76)+IF!$L$21,0))))</f>
        <v/>
      </c>
      <c r="BU76" s="47" t="str">
        <f>IF(BP76="","",IF(SEKOR!BP76&gt;=DATA!$J$12,1,0))</f>
        <v/>
      </c>
      <c r="BV76" s="47" t="str">
        <f>IF(BQ76="","",IF(SEKOR!BQ76&gt;=DATA!$J$12,1,0))</f>
        <v/>
      </c>
      <c r="BW76" s="47" t="str">
        <f>IF(BR76="","",IF(SEKOR!BR76&gt;=DATA!$J$12,1,0))</f>
        <v/>
      </c>
      <c r="BX76" s="47" t="str">
        <f>IF(BT76="","",IF(DATA!$J$14="",IF(SEKOR!BT76&gt;=DATA!$J$12,1,0),IF(SEKOR!BT76&gt;=DATA!$J$14,1,0)))</f>
        <v/>
      </c>
    </row>
    <row r="77" spans="1:76" x14ac:dyDescent="0.25">
      <c r="A77" s="20" t="s">
        <v>104</v>
      </c>
      <c r="B77" s="21" t="str">
        <f>IF(Ujian!B84="","",Ujian!B84)</f>
        <v/>
      </c>
      <c r="C77" s="57" t="str">
        <f>IF(Ujian!C84="","",Ujian!C84)</f>
        <v/>
      </c>
      <c r="D77" s="125" t="str">
        <f>IF(Ujian!D84="","",IF(LEFT(Ujian!D84,1)=SEKOR!D$2,1,0))</f>
        <v/>
      </c>
      <c r="E77" s="125" t="str">
        <f>IF(Ujian!E84="","",IF(LEFT(Ujian!E84,1)=SEKOR!E$2,1,0))</f>
        <v/>
      </c>
      <c r="F77" s="125" t="str">
        <f>IF(Ujian!F84="","",IF(LEFT(Ujian!F84,1)=SEKOR!F$2,1,0))</f>
        <v/>
      </c>
      <c r="G77" s="125" t="str">
        <f>IF(Ujian!G84="","",IF(LEFT(Ujian!G84,1)=SEKOR!G$2,1,0))</f>
        <v/>
      </c>
      <c r="H77" s="125" t="str">
        <f>IF(Ujian!H84="","",IF(LEFT(Ujian!H84,1)=SEKOR!H$2,1,0))</f>
        <v/>
      </c>
      <c r="I77" s="125" t="str">
        <f>IF(Ujian!I84="","",IF(LEFT(Ujian!I84,1)=SEKOR!I$2,1,0))</f>
        <v/>
      </c>
      <c r="J77" s="125" t="str">
        <f>IF(Ujian!J84="","",IF(LEFT(Ujian!J84,1)=SEKOR!J$2,1,0))</f>
        <v/>
      </c>
      <c r="K77" s="125" t="str">
        <f>IF(Ujian!K84="","",IF(LEFT(Ujian!K84,1)=SEKOR!K$2,1,0))</f>
        <v/>
      </c>
      <c r="L77" s="125" t="str">
        <f>IF(Ujian!L84="","",IF(LEFT(Ujian!L84,1)=SEKOR!L$2,1,0))</f>
        <v/>
      </c>
      <c r="M77" s="125" t="str">
        <f>IF(Ujian!M84="","",IF(LEFT(Ujian!M84,1)=SEKOR!M$2,1,0))</f>
        <v/>
      </c>
      <c r="N77" s="125" t="str">
        <f>IF(Ujian!N84="","",IF(LEFT(Ujian!N84,1)=SEKOR!N$2,1,0))</f>
        <v/>
      </c>
      <c r="O77" s="125" t="str">
        <f>IF(Ujian!O84="","",IF(LEFT(Ujian!O84,1)=SEKOR!O$2,1,0))</f>
        <v/>
      </c>
      <c r="P77" s="125" t="str">
        <f>IF(Ujian!P84="","",IF(LEFT(Ujian!P84,1)=SEKOR!P$2,1,0))</f>
        <v/>
      </c>
      <c r="Q77" s="125" t="str">
        <f>IF(Ujian!Q84="","",IF(LEFT(Ujian!Q84,1)=SEKOR!Q$2,1,0))</f>
        <v/>
      </c>
      <c r="R77" s="125" t="str">
        <f>IF(Ujian!R84="","",IF(LEFT(Ujian!R84,1)=SEKOR!R$2,1,0))</f>
        <v/>
      </c>
      <c r="S77" s="125" t="str">
        <f>IF(Ujian!S84="","",IF(LEFT(Ujian!S84,1)=SEKOR!S$2,1,0))</f>
        <v/>
      </c>
      <c r="T77" s="125" t="str">
        <f>IF(Ujian!T84="","",IF(LEFT(Ujian!T84,1)=SEKOR!T$2,1,0))</f>
        <v/>
      </c>
      <c r="U77" s="125" t="str">
        <f>IF(Ujian!U84="","",IF(LEFT(Ujian!U84,1)=SEKOR!U$2,1,0))</f>
        <v/>
      </c>
      <c r="V77" s="125" t="str">
        <f>IF(Ujian!V84="","",IF(LEFT(Ujian!V84,1)=SEKOR!V$2,1,0))</f>
        <v/>
      </c>
      <c r="W77" s="125" t="str">
        <f>IF(Ujian!W84="","",IF(LEFT(Ujian!W84,1)=SEKOR!W$2,1,0))</f>
        <v/>
      </c>
      <c r="X77" s="125" t="str">
        <f>IF(Ujian!X84="","",IF(LEFT(Ujian!X84,1)=SEKOR!X$2,1,0))</f>
        <v/>
      </c>
      <c r="Y77" s="125" t="str">
        <f>IF(Ujian!Y84="","",IF(LEFT(Ujian!Y84,1)=SEKOR!Y$2,1,0))</f>
        <v/>
      </c>
      <c r="Z77" s="125" t="str">
        <f>IF(Ujian!Z84="","",IF(LEFT(Ujian!Z84,1)=SEKOR!Z$2,1,0))</f>
        <v/>
      </c>
      <c r="AA77" s="125" t="str">
        <f>IF(Ujian!AA84="","",IF(LEFT(Ujian!AA84,1)=SEKOR!AA$2,1,0))</f>
        <v/>
      </c>
      <c r="AB77" s="125" t="str">
        <f>IF(Ujian!AB84="","",IF(LEFT(Ujian!AB84,1)=SEKOR!AB$2,1,0))</f>
        <v/>
      </c>
      <c r="AC77" s="125" t="str">
        <f>IF(Ujian!AC84="","",IF(LEFT(Ujian!AC84,1)=SEKOR!AC$2,1,0))</f>
        <v/>
      </c>
      <c r="AD77" s="125" t="str">
        <f>IF(Ujian!AD84="","",IF(LEFT(Ujian!AD84,1)=SEKOR!AD$2,1,0))</f>
        <v/>
      </c>
      <c r="AE77" s="125" t="str">
        <f>IF(Ujian!AE84="","",IF(LEFT(Ujian!AE84,1)=SEKOR!AE$2,1,0))</f>
        <v/>
      </c>
      <c r="AF77" s="125" t="str">
        <f>IF(Ujian!AF84="","",IF(LEFT(Ujian!AF84,1)=SEKOR!AF$2,1,0))</f>
        <v/>
      </c>
      <c r="AG77" s="125" t="str">
        <f>IF(Ujian!AG84="","",IF(LEFT(Ujian!AG84,1)=SEKOR!AG$2,1,0))</f>
        <v/>
      </c>
      <c r="AH77" s="125" t="str">
        <f>IF(Ujian!AH84="","",IF(LEFT(Ujian!AH84,1)=SEKOR!AH$2,1,0))</f>
        <v/>
      </c>
      <c r="AI77" s="125" t="str">
        <f>IF(Ujian!AI84="","",IF(LEFT(Ujian!AI84,1)=SEKOR!AI$2,1,0))</f>
        <v/>
      </c>
      <c r="AJ77" s="125" t="str">
        <f>IF(Ujian!AJ84="","",IF(LEFT(Ujian!AJ84,1)=SEKOR!AJ$2,1,0))</f>
        <v/>
      </c>
      <c r="AK77" s="125" t="str">
        <f>IF(Ujian!AK84="","",IF(LEFT(Ujian!AK84,1)=SEKOR!AK$2,1,0))</f>
        <v/>
      </c>
      <c r="AL77" s="125" t="str">
        <f>IF(Ujian!AL84="","",IF(LEFT(Ujian!AL84,1)=SEKOR!AL$2,1,0))</f>
        <v/>
      </c>
      <c r="AM77" s="125" t="str">
        <f>IF(Ujian!AM84="","",IF(LEFT(Ujian!AM84,1)=SEKOR!AM$2,1,0))</f>
        <v/>
      </c>
      <c r="AN77" s="125" t="str">
        <f>IF(Ujian!AN84="","",IF(LEFT(Ujian!AN84,1)=SEKOR!AN$2,1,0))</f>
        <v/>
      </c>
      <c r="AO77" s="125" t="str">
        <f>IF(Ujian!AO84="","",IF(LEFT(Ujian!AO84,1)=SEKOR!AO$2,1,0))</f>
        <v/>
      </c>
      <c r="AP77" s="125" t="str">
        <f>IF(Ujian!AP84="","",IF(LEFT(Ujian!AP84,1)=SEKOR!AP$2,1,0))</f>
        <v/>
      </c>
      <c r="AQ77" s="125" t="str">
        <f>IF(Ujian!AQ84="","",IF(LEFT(Ujian!AQ84,1)=SEKOR!AQ$2,1,0))</f>
        <v/>
      </c>
      <c r="AR77" s="125" t="str">
        <f>IF(Ujian!AR84="","",IF(LEFT(Ujian!AR84,1)=SEKOR!AR$2,1,0))</f>
        <v/>
      </c>
      <c r="AS77" s="125" t="str">
        <f>IF(Ujian!AS84="","",IF(LEFT(Ujian!AS84,1)=SEKOR!AS$2,1,0))</f>
        <v/>
      </c>
      <c r="AT77" s="125" t="str">
        <f>IF(Ujian!AT84="","",IF(LEFT(Ujian!AT84,1)=SEKOR!AT$2,1,0))</f>
        <v/>
      </c>
      <c r="AU77" s="125" t="str">
        <f>IF(Ujian!AU84="","",IF(LEFT(Ujian!AU84,1)=SEKOR!AU$2,1,0))</f>
        <v/>
      </c>
      <c r="AV77" s="125" t="str">
        <f>IF(Ujian!AV84="","",IF(LEFT(Ujian!AV84,1)=SEKOR!AV$2,1,0))</f>
        <v/>
      </c>
      <c r="AW77" s="125" t="str">
        <f>IF(Ujian!AW84="","",IF(LEFT(Ujian!AW84,1)=SEKOR!AW$2,1,0))</f>
        <v/>
      </c>
      <c r="AX77" s="125" t="str">
        <f>IF(Ujian!AX84="","",IF(LEFT(Ujian!AX84,1)=SEKOR!AX$2,1,0))</f>
        <v/>
      </c>
      <c r="AY77" s="125" t="str">
        <f>IF(Ujian!AY84="","",IF(LEFT(Ujian!AY84,1)=SEKOR!AY$2,1,0))</f>
        <v/>
      </c>
      <c r="AZ77" s="125" t="str">
        <f>IF(Ujian!AZ84="","",IF(LEFT(Ujian!AZ84,1)=SEKOR!AZ$2,1,0))</f>
        <v/>
      </c>
      <c r="BA77" s="125" t="str">
        <f>IF(Ujian!BA84="","",IF(LEFT(Ujian!BA84,1)=SEKOR!BA$2,1,0))</f>
        <v/>
      </c>
      <c r="BB77" s="125" t="str">
        <f>IF(Ujian!BB84="","",IF(LEFT(Ujian!BB84,1)=SEKOR!BB$2,1,0))</f>
        <v/>
      </c>
      <c r="BC77" s="125" t="str">
        <f>IF(Ujian!BC84="","",IF(LEFT(Ujian!BC84,1)=SEKOR!BC$2,1,0))</f>
        <v/>
      </c>
      <c r="BD77" s="125" t="str">
        <f>IF(Ujian!BD84="","",IF(LEFT(Ujian!BD84,1)=SEKOR!BD$2,1,0))</f>
        <v/>
      </c>
      <c r="BE77" s="125" t="str">
        <f>IF(Ujian!BE84="","",IF(LEFT(Ujian!BE84,1)=SEKOR!BE$2,1,0))</f>
        <v/>
      </c>
      <c r="BF77" s="125" t="str">
        <f>IF(Ujian!BF84="","",IF(LEFT(Ujian!BF84,1)=SEKOR!BF$2,1,0))</f>
        <v/>
      </c>
      <c r="BG77" s="125" t="str">
        <f>IF(Ujian!BG84="","",IF(LEFT(Ujian!BG84,1)=SEKOR!BG$2,1,0))</f>
        <v/>
      </c>
      <c r="BH77" s="125" t="str">
        <f>IF(Ujian!BH84="","",IF(LEFT(Ujian!BH84,1)=SEKOR!BH$2,1,0))</f>
        <v/>
      </c>
      <c r="BI77" s="125" t="str">
        <f>IF(Ujian!BI84="","",IF(LEFT(Ujian!BI84,1)=SEKOR!BI$2,1,0))</f>
        <v/>
      </c>
      <c r="BJ77" s="125" t="str">
        <f>IF(Ujian!BJ84="","",IF(LEFT(Ujian!BJ84,1)=SEKOR!BJ$2,1,0))</f>
        <v/>
      </c>
      <c r="BK77" s="125" t="str">
        <f>IF(Ujian!BK84="","",IF(LEFT(Ujian!BK84,1)=SEKOR!BK$2,1,0))</f>
        <v/>
      </c>
      <c r="BL77" s="18">
        <f t="shared" si="2"/>
        <v>0</v>
      </c>
      <c r="BM77" s="18">
        <f>COUNTIF($D77:$BK77,"")+DATA!$F$14-DATA!$F$12</f>
        <v>60</v>
      </c>
      <c r="BN77" s="17">
        <f>IF(COUNTIF($D77:$BK77,1)&gt;DATA!$F$14,DATA!$F$14,COUNTIF($D77:$BK77,1))</f>
        <v>0</v>
      </c>
      <c r="BO77" s="17">
        <f>IF((BN77+COUNTIF($D77:$BK77,0))&lt;=DATA!$F$14,COUNTIF($D77:$BK77,0),DATA!$F$14-SEKOR!BN77)</f>
        <v>0</v>
      </c>
      <c r="BP77" s="4" t="str">
        <f>IF(BL77=0,"",BN77/DATA!$F$14*100)</f>
        <v/>
      </c>
      <c r="BQ77" s="121" t="str">
        <f t="shared" si="3"/>
        <v/>
      </c>
      <c r="BR77" s="2" t="str">
        <f>IF(Praktik!$E77=0,"",Praktik!$E77)</f>
        <v/>
      </c>
      <c r="BS77" s="2" t="str">
        <f>IF(BR77="","",(BP77*DATAINFO!$O$4)+(SEKOR!BR77*DATAINFO!$O$5)/(DATAINFO!$O$4+DATAINFO!$O$5))</f>
        <v/>
      </c>
      <c r="BT77" s="2" t="str">
        <f>IF(BL77=0,"",IF(DATA!$F$18="TIDAK",ROUNDUP((IF!$L$8*SEKOR!$BP77)+IF!$L$9,0),IF($BR77="","",ROUNDUP((IF!$L$20*$BS77)+IF!$L$21,0))))</f>
        <v/>
      </c>
      <c r="BU77" s="47" t="str">
        <f>IF(BP77="","",IF(SEKOR!BP77&gt;=DATA!$J$12,1,0))</f>
        <v/>
      </c>
      <c r="BV77" s="47" t="str">
        <f>IF(BQ77="","",IF(SEKOR!BQ77&gt;=DATA!$J$12,1,0))</f>
        <v/>
      </c>
      <c r="BW77" s="47" t="str">
        <f>IF(BR77="","",IF(SEKOR!BR77&gt;=DATA!$J$12,1,0))</f>
        <v/>
      </c>
      <c r="BX77" s="47" t="str">
        <f>IF(BT77="","",IF(DATA!$J$14="",IF(SEKOR!BT77&gt;=DATA!$J$12,1,0),IF(SEKOR!BT77&gt;=DATA!$J$14,1,0)))</f>
        <v/>
      </c>
    </row>
    <row r="78" spans="1:76" x14ac:dyDescent="0.25">
      <c r="A78" s="20" t="s">
        <v>105</v>
      </c>
      <c r="B78" s="21" t="str">
        <f>IF(Ujian!B85="","",Ujian!B85)</f>
        <v/>
      </c>
      <c r="C78" s="57" t="str">
        <f>IF(Ujian!C85="","",Ujian!C85)</f>
        <v/>
      </c>
      <c r="D78" s="125" t="str">
        <f>IF(Ujian!D85="","",IF(LEFT(Ujian!D85,1)=SEKOR!D$2,1,0))</f>
        <v/>
      </c>
      <c r="E78" s="125" t="str">
        <f>IF(Ujian!E85="","",IF(LEFT(Ujian!E85,1)=SEKOR!E$2,1,0))</f>
        <v/>
      </c>
      <c r="F78" s="125" t="str">
        <f>IF(Ujian!F85="","",IF(LEFT(Ujian!F85,1)=SEKOR!F$2,1,0))</f>
        <v/>
      </c>
      <c r="G78" s="125" t="str">
        <f>IF(Ujian!G85="","",IF(LEFT(Ujian!G85,1)=SEKOR!G$2,1,0))</f>
        <v/>
      </c>
      <c r="H78" s="125" t="str">
        <f>IF(Ujian!H85="","",IF(LEFT(Ujian!H85,1)=SEKOR!H$2,1,0))</f>
        <v/>
      </c>
      <c r="I78" s="125" t="str">
        <f>IF(Ujian!I85="","",IF(LEFT(Ujian!I85,1)=SEKOR!I$2,1,0))</f>
        <v/>
      </c>
      <c r="J78" s="125" t="str">
        <f>IF(Ujian!J85="","",IF(LEFT(Ujian!J85,1)=SEKOR!J$2,1,0))</f>
        <v/>
      </c>
      <c r="K78" s="125" t="str">
        <f>IF(Ujian!K85="","",IF(LEFT(Ujian!K85,1)=SEKOR!K$2,1,0))</f>
        <v/>
      </c>
      <c r="L78" s="125" t="str">
        <f>IF(Ujian!L85="","",IF(LEFT(Ujian!L85,1)=SEKOR!L$2,1,0))</f>
        <v/>
      </c>
      <c r="M78" s="125" t="str">
        <f>IF(Ujian!M85="","",IF(LEFT(Ujian!M85,1)=SEKOR!M$2,1,0))</f>
        <v/>
      </c>
      <c r="N78" s="125" t="str">
        <f>IF(Ujian!N85="","",IF(LEFT(Ujian!N85,1)=SEKOR!N$2,1,0))</f>
        <v/>
      </c>
      <c r="O78" s="125" t="str">
        <f>IF(Ujian!O85="","",IF(LEFT(Ujian!O85,1)=SEKOR!O$2,1,0))</f>
        <v/>
      </c>
      <c r="P78" s="125" t="str">
        <f>IF(Ujian!P85="","",IF(LEFT(Ujian!P85,1)=SEKOR!P$2,1,0))</f>
        <v/>
      </c>
      <c r="Q78" s="125" t="str">
        <f>IF(Ujian!Q85="","",IF(LEFT(Ujian!Q85,1)=SEKOR!Q$2,1,0))</f>
        <v/>
      </c>
      <c r="R78" s="125" t="str">
        <f>IF(Ujian!R85="","",IF(LEFT(Ujian!R85,1)=SEKOR!R$2,1,0))</f>
        <v/>
      </c>
      <c r="S78" s="125" t="str">
        <f>IF(Ujian!S85="","",IF(LEFT(Ujian!S85,1)=SEKOR!S$2,1,0))</f>
        <v/>
      </c>
      <c r="T78" s="125" t="str">
        <f>IF(Ujian!T85="","",IF(LEFT(Ujian!T85,1)=SEKOR!T$2,1,0))</f>
        <v/>
      </c>
      <c r="U78" s="125" t="str">
        <f>IF(Ujian!U85="","",IF(LEFT(Ujian!U85,1)=SEKOR!U$2,1,0))</f>
        <v/>
      </c>
      <c r="V78" s="125" t="str">
        <f>IF(Ujian!V85="","",IF(LEFT(Ujian!V85,1)=SEKOR!V$2,1,0))</f>
        <v/>
      </c>
      <c r="W78" s="125" t="str">
        <f>IF(Ujian!W85="","",IF(LEFT(Ujian!W85,1)=SEKOR!W$2,1,0))</f>
        <v/>
      </c>
      <c r="X78" s="125" t="str">
        <f>IF(Ujian!X85="","",IF(LEFT(Ujian!X85,1)=SEKOR!X$2,1,0))</f>
        <v/>
      </c>
      <c r="Y78" s="125" t="str">
        <f>IF(Ujian!Y85="","",IF(LEFT(Ujian!Y85,1)=SEKOR!Y$2,1,0))</f>
        <v/>
      </c>
      <c r="Z78" s="125" t="str">
        <f>IF(Ujian!Z85="","",IF(LEFT(Ujian!Z85,1)=SEKOR!Z$2,1,0))</f>
        <v/>
      </c>
      <c r="AA78" s="125" t="str">
        <f>IF(Ujian!AA85="","",IF(LEFT(Ujian!AA85,1)=SEKOR!AA$2,1,0))</f>
        <v/>
      </c>
      <c r="AB78" s="125" t="str">
        <f>IF(Ujian!AB85="","",IF(LEFT(Ujian!AB85,1)=SEKOR!AB$2,1,0))</f>
        <v/>
      </c>
      <c r="AC78" s="125" t="str">
        <f>IF(Ujian!AC85="","",IF(LEFT(Ujian!AC85,1)=SEKOR!AC$2,1,0))</f>
        <v/>
      </c>
      <c r="AD78" s="125" t="str">
        <f>IF(Ujian!AD85="","",IF(LEFT(Ujian!AD85,1)=SEKOR!AD$2,1,0))</f>
        <v/>
      </c>
      <c r="AE78" s="125" t="str">
        <f>IF(Ujian!AE85="","",IF(LEFT(Ujian!AE85,1)=SEKOR!AE$2,1,0))</f>
        <v/>
      </c>
      <c r="AF78" s="125" t="str">
        <f>IF(Ujian!AF85="","",IF(LEFT(Ujian!AF85,1)=SEKOR!AF$2,1,0))</f>
        <v/>
      </c>
      <c r="AG78" s="125" t="str">
        <f>IF(Ujian!AG85="","",IF(LEFT(Ujian!AG85,1)=SEKOR!AG$2,1,0))</f>
        <v/>
      </c>
      <c r="AH78" s="125" t="str">
        <f>IF(Ujian!AH85="","",IF(LEFT(Ujian!AH85,1)=SEKOR!AH$2,1,0))</f>
        <v/>
      </c>
      <c r="AI78" s="125" t="str">
        <f>IF(Ujian!AI85="","",IF(LEFT(Ujian!AI85,1)=SEKOR!AI$2,1,0))</f>
        <v/>
      </c>
      <c r="AJ78" s="125" t="str">
        <f>IF(Ujian!AJ85="","",IF(LEFT(Ujian!AJ85,1)=SEKOR!AJ$2,1,0))</f>
        <v/>
      </c>
      <c r="AK78" s="125" t="str">
        <f>IF(Ujian!AK85="","",IF(LEFT(Ujian!AK85,1)=SEKOR!AK$2,1,0))</f>
        <v/>
      </c>
      <c r="AL78" s="125" t="str">
        <f>IF(Ujian!AL85="","",IF(LEFT(Ujian!AL85,1)=SEKOR!AL$2,1,0))</f>
        <v/>
      </c>
      <c r="AM78" s="125" t="str">
        <f>IF(Ujian!AM85="","",IF(LEFT(Ujian!AM85,1)=SEKOR!AM$2,1,0))</f>
        <v/>
      </c>
      <c r="AN78" s="125" t="str">
        <f>IF(Ujian!AN85="","",IF(LEFT(Ujian!AN85,1)=SEKOR!AN$2,1,0))</f>
        <v/>
      </c>
      <c r="AO78" s="125" t="str">
        <f>IF(Ujian!AO85="","",IF(LEFT(Ujian!AO85,1)=SEKOR!AO$2,1,0))</f>
        <v/>
      </c>
      <c r="AP78" s="125" t="str">
        <f>IF(Ujian!AP85="","",IF(LEFT(Ujian!AP85,1)=SEKOR!AP$2,1,0))</f>
        <v/>
      </c>
      <c r="AQ78" s="125" t="str">
        <f>IF(Ujian!AQ85="","",IF(LEFT(Ujian!AQ85,1)=SEKOR!AQ$2,1,0))</f>
        <v/>
      </c>
      <c r="AR78" s="125" t="str">
        <f>IF(Ujian!AR85="","",IF(LEFT(Ujian!AR85,1)=SEKOR!AR$2,1,0))</f>
        <v/>
      </c>
      <c r="AS78" s="125" t="str">
        <f>IF(Ujian!AS85="","",IF(LEFT(Ujian!AS85,1)=SEKOR!AS$2,1,0))</f>
        <v/>
      </c>
      <c r="AT78" s="125" t="str">
        <f>IF(Ujian!AT85="","",IF(LEFT(Ujian!AT85,1)=SEKOR!AT$2,1,0))</f>
        <v/>
      </c>
      <c r="AU78" s="125" t="str">
        <f>IF(Ujian!AU85="","",IF(LEFT(Ujian!AU85,1)=SEKOR!AU$2,1,0))</f>
        <v/>
      </c>
      <c r="AV78" s="125" t="str">
        <f>IF(Ujian!AV85="","",IF(LEFT(Ujian!AV85,1)=SEKOR!AV$2,1,0))</f>
        <v/>
      </c>
      <c r="AW78" s="125" t="str">
        <f>IF(Ujian!AW85="","",IF(LEFT(Ujian!AW85,1)=SEKOR!AW$2,1,0))</f>
        <v/>
      </c>
      <c r="AX78" s="125" t="str">
        <f>IF(Ujian!AX85="","",IF(LEFT(Ujian!AX85,1)=SEKOR!AX$2,1,0))</f>
        <v/>
      </c>
      <c r="AY78" s="125" t="str">
        <f>IF(Ujian!AY85="","",IF(LEFT(Ujian!AY85,1)=SEKOR!AY$2,1,0))</f>
        <v/>
      </c>
      <c r="AZ78" s="125" t="str">
        <f>IF(Ujian!AZ85="","",IF(LEFT(Ujian!AZ85,1)=SEKOR!AZ$2,1,0))</f>
        <v/>
      </c>
      <c r="BA78" s="125" t="str">
        <f>IF(Ujian!BA85="","",IF(LEFT(Ujian!BA85,1)=SEKOR!BA$2,1,0))</f>
        <v/>
      </c>
      <c r="BB78" s="125" t="str">
        <f>IF(Ujian!BB85="","",IF(LEFT(Ujian!BB85,1)=SEKOR!BB$2,1,0))</f>
        <v/>
      </c>
      <c r="BC78" s="125" t="str">
        <f>IF(Ujian!BC85="","",IF(LEFT(Ujian!BC85,1)=SEKOR!BC$2,1,0))</f>
        <v/>
      </c>
      <c r="BD78" s="125" t="str">
        <f>IF(Ujian!BD85="","",IF(LEFT(Ujian!BD85,1)=SEKOR!BD$2,1,0))</f>
        <v/>
      </c>
      <c r="BE78" s="125" t="str">
        <f>IF(Ujian!BE85="","",IF(LEFT(Ujian!BE85,1)=SEKOR!BE$2,1,0))</f>
        <v/>
      </c>
      <c r="BF78" s="125" t="str">
        <f>IF(Ujian!BF85="","",IF(LEFT(Ujian!BF85,1)=SEKOR!BF$2,1,0))</f>
        <v/>
      </c>
      <c r="BG78" s="125" t="str">
        <f>IF(Ujian!BG85="","",IF(LEFT(Ujian!BG85,1)=SEKOR!BG$2,1,0))</f>
        <v/>
      </c>
      <c r="BH78" s="125" t="str">
        <f>IF(Ujian!BH85="","",IF(LEFT(Ujian!BH85,1)=SEKOR!BH$2,1,0))</f>
        <v/>
      </c>
      <c r="BI78" s="125" t="str">
        <f>IF(Ujian!BI85="","",IF(LEFT(Ujian!BI85,1)=SEKOR!BI$2,1,0))</f>
        <v/>
      </c>
      <c r="BJ78" s="125" t="str">
        <f>IF(Ujian!BJ85="","",IF(LEFT(Ujian!BJ85,1)=SEKOR!BJ$2,1,0))</f>
        <v/>
      </c>
      <c r="BK78" s="125" t="str">
        <f>IF(Ujian!BK85="","",IF(LEFT(Ujian!BK85,1)=SEKOR!BK$2,1,0))</f>
        <v/>
      </c>
      <c r="BL78" s="18">
        <f t="shared" si="2"/>
        <v>0</v>
      </c>
      <c r="BM78" s="18">
        <f>COUNTIF($D78:$BK78,"")+DATA!$F$14-DATA!$F$12</f>
        <v>60</v>
      </c>
      <c r="BN78" s="17">
        <f>IF(COUNTIF($D78:$BK78,1)&gt;DATA!$F$14,DATA!$F$14,COUNTIF($D78:$BK78,1))</f>
        <v>0</v>
      </c>
      <c r="BO78" s="17">
        <f>IF((BN78+COUNTIF($D78:$BK78,0))&lt;=DATA!$F$14,COUNTIF($D78:$BK78,0),DATA!$F$14-SEKOR!BN78)</f>
        <v>0</v>
      </c>
      <c r="BP78" s="4" t="str">
        <f>IF(BL78=0,"",BN78/DATA!$F$14*100)</f>
        <v/>
      </c>
      <c r="BQ78" s="121" t="str">
        <f t="shared" si="3"/>
        <v/>
      </c>
      <c r="BR78" s="2" t="str">
        <f>IF(Praktik!$E78=0,"",Praktik!$E78)</f>
        <v/>
      </c>
      <c r="BS78" s="2" t="str">
        <f>IF(BR78="","",(BP78*DATAINFO!$O$4)+(SEKOR!BR78*DATAINFO!$O$5)/(DATAINFO!$O$4+DATAINFO!$O$5))</f>
        <v/>
      </c>
      <c r="BT78" s="2" t="str">
        <f>IF(BL78=0,"",IF(DATA!$F$18="TIDAK",ROUNDUP((IF!$L$8*SEKOR!$BP78)+IF!$L$9,0),IF($BR78="","",ROUNDUP((IF!$L$20*$BS78)+IF!$L$21,0))))</f>
        <v/>
      </c>
      <c r="BU78" s="47" t="str">
        <f>IF(BP78="","",IF(SEKOR!BP78&gt;=DATA!$J$12,1,0))</f>
        <v/>
      </c>
      <c r="BV78" s="47" t="str">
        <f>IF(BQ78="","",IF(SEKOR!BQ78&gt;=DATA!$J$12,1,0))</f>
        <v/>
      </c>
      <c r="BW78" s="47" t="str">
        <f>IF(BR78="","",IF(SEKOR!BR78&gt;=DATA!$J$12,1,0))</f>
        <v/>
      </c>
      <c r="BX78" s="47" t="str">
        <f>IF(BT78="","",IF(DATA!$J$14="",IF(SEKOR!BT78&gt;=DATA!$J$12,1,0),IF(SEKOR!BT78&gt;=DATA!$J$14,1,0)))</f>
        <v/>
      </c>
    </row>
    <row r="79" spans="1:76" x14ac:dyDescent="0.25">
      <c r="A79" s="20" t="s">
        <v>106</v>
      </c>
      <c r="B79" s="21" t="str">
        <f>IF(Ujian!B86="","",Ujian!B86)</f>
        <v/>
      </c>
      <c r="C79" s="57" t="str">
        <f>IF(Ujian!C86="","",Ujian!C86)</f>
        <v/>
      </c>
      <c r="D79" s="125" t="str">
        <f>IF(Ujian!D86="","",IF(LEFT(Ujian!D86,1)=SEKOR!D$2,1,0))</f>
        <v/>
      </c>
      <c r="E79" s="125" t="str">
        <f>IF(Ujian!E86="","",IF(LEFT(Ujian!E86,1)=SEKOR!E$2,1,0))</f>
        <v/>
      </c>
      <c r="F79" s="125" t="str">
        <f>IF(Ujian!F86="","",IF(LEFT(Ujian!F86,1)=SEKOR!F$2,1,0))</f>
        <v/>
      </c>
      <c r="G79" s="125" t="str">
        <f>IF(Ujian!G86="","",IF(LEFT(Ujian!G86,1)=SEKOR!G$2,1,0))</f>
        <v/>
      </c>
      <c r="H79" s="125" t="str">
        <f>IF(Ujian!H86="","",IF(LEFT(Ujian!H86,1)=SEKOR!H$2,1,0))</f>
        <v/>
      </c>
      <c r="I79" s="125" t="str">
        <f>IF(Ujian!I86="","",IF(LEFT(Ujian!I86,1)=SEKOR!I$2,1,0))</f>
        <v/>
      </c>
      <c r="J79" s="125" t="str">
        <f>IF(Ujian!J86="","",IF(LEFT(Ujian!J86,1)=SEKOR!J$2,1,0))</f>
        <v/>
      </c>
      <c r="K79" s="125" t="str">
        <f>IF(Ujian!K86="","",IF(LEFT(Ujian!K86,1)=SEKOR!K$2,1,0))</f>
        <v/>
      </c>
      <c r="L79" s="125" t="str">
        <f>IF(Ujian!L86="","",IF(LEFT(Ujian!L86,1)=SEKOR!L$2,1,0))</f>
        <v/>
      </c>
      <c r="M79" s="125" t="str">
        <f>IF(Ujian!M86="","",IF(LEFT(Ujian!M86,1)=SEKOR!M$2,1,0))</f>
        <v/>
      </c>
      <c r="N79" s="125" t="str">
        <f>IF(Ujian!N86="","",IF(LEFT(Ujian!N86,1)=SEKOR!N$2,1,0))</f>
        <v/>
      </c>
      <c r="O79" s="125" t="str">
        <f>IF(Ujian!O86="","",IF(LEFT(Ujian!O86,1)=SEKOR!O$2,1,0))</f>
        <v/>
      </c>
      <c r="P79" s="125" t="str">
        <f>IF(Ujian!P86="","",IF(LEFT(Ujian!P86,1)=SEKOR!P$2,1,0))</f>
        <v/>
      </c>
      <c r="Q79" s="125" t="str">
        <f>IF(Ujian!Q86="","",IF(LEFT(Ujian!Q86,1)=SEKOR!Q$2,1,0))</f>
        <v/>
      </c>
      <c r="R79" s="125" t="str">
        <f>IF(Ujian!R86="","",IF(LEFT(Ujian!R86,1)=SEKOR!R$2,1,0))</f>
        <v/>
      </c>
      <c r="S79" s="125" t="str">
        <f>IF(Ujian!S86="","",IF(LEFT(Ujian!S86,1)=SEKOR!S$2,1,0))</f>
        <v/>
      </c>
      <c r="T79" s="125" t="str">
        <f>IF(Ujian!T86="","",IF(LEFT(Ujian!T86,1)=SEKOR!T$2,1,0))</f>
        <v/>
      </c>
      <c r="U79" s="125" t="str">
        <f>IF(Ujian!U86="","",IF(LEFT(Ujian!U86,1)=SEKOR!U$2,1,0))</f>
        <v/>
      </c>
      <c r="V79" s="125" t="str">
        <f>IF(Ujian!V86="","",IF(LEFT(Ujian!V86,1)=SEKOR!V$2,1,0))</f>
        <v/>
      </c>
      <c r="W79" s="125" t="str">
        <f>IF(Ujian!W86="","",IF(LEFT(Ujian!W86,1)=SEKOR!W$2,1,0))</f>
        <v/>
      </c>
      <c r="X79" s="125" t="str">
        <f>IF(Ujian!X86="","",IF(LEFT(Ujian!X86,1)=SEKOR!X$2,1,0))</f>
        <v/>
      </c>
      <c r="Y79" s="125" t="str">
        <f>IF(Ujian!Y86="","",IF(LEFT(Ujian!Y86,1)=SEKOR!Y$2,1,0))</f>
        <v/>
      </c>
      <c r="Z79" s="125" t="str">
        <f>IF(Ujian!Z86="","",IF(LEFT(Ujian!Z86,1)=SEKOR!Z$2,1,0))</f>
        <v/>
      </c>
      <c r="AA79" s="125" t="str">
        <f>IF(Ujian!AA86="","",IF(LEFT(Ujian!AA86,1)=SEKOR!AA$2,1,0))</f>
        <v/>
      </c>
      <c r="AB79" s="125" t="str">
        <f>IF(Ujian!AB86="","",IF(LEFT(Ujian!AB86,1)=SEKOR!AB$2,1,0))</f>
        <v/>
      </c>
      <c r="AC79" s="125" t="str">
        <f>IF(Ujian!AC86="","",IF(LEFT(Ujian!AC86,1)=SEKOR!AC$2,1,0))</f>
        <v/>
      </c>
      <c r="AD79" s="125" t="str">
        <f>IF(Ujian!AD86="","",IF(LEFT(Ujian!AD86,1)=SEKOR!AD$2,1,0))</f>
        <v/>
      </c>
      <c r="AE79" s="125" t="str">
        <f>IF(Ujian!AE86="","",IF(LEFT(Ujian!AE86,1)=SEKOR!AE$2,1,0))</f>
        <v/>
      </c>
      <c r="AF79" s="125" t="str">
        <f>IF(Ujian!AF86="","",IF(LEFT(Ujian!AF86,1)=SEKOR!AF$2,1,0))</f>
        <v/>
      </c>
      <c r="AG79" s="125" t="str">
        <f>IF(Ujian!AG86="","",IF(LEFT(Ujian!AG86,1)=SEKOR!AG$2,1,0))</f>
        <v/>
      </c>
      <c r="AH79" s="125" t="str">
        <f>IF(Ujian!AH86="","",IF(LEFT(Ujian!AH86,1)=SEKOR!AH$2,1,0))</f>
        <v/>
      </c>
      <c r="AI79" s="125" t="str">
        <f>IF(Ujian!AI86="","",IF(LEFT(Ujian!AI86,1)=SEKOR!AI$2,1,0))</f>
        <v/>
      </c>
      <c r="AJ79" s="125" t="str">
        <f>IF(Ujian!AJ86="","",IF(LEFT(Ujian!AJ86,1)=SEKOR!AJ$2,1,0))</f>
        <v/>
      </c>
      <c r="AK79" s="125" t="str">
        <f>IF(Ujian!AK86="","",IF(LEFT(Ujian!AK86,1)=SEKOR!AK$2,1,0))</f>
        <v/>
      </c>
      <c r="AL79" s="125" t="str">
        <f>IF(Ujian!AL86="","",IF(LEFT(Ujian!AL86,1)=SEKOR!AL$2,1,0))</f>
        <v/>
      </c>
      <c r="AM79" s="125" t="str">
        <f>IF(Ujian!AM86="","",IF(LEFT(Ujian!AM86,1)=SEKOR!AM$2,1,0))</f>
        <v/>
      </c>
      <c r="AN79" s="125" t="str">
        <f>IF(Ujian!AN86="","",IF(LEFT(Ujian!AN86,1)=SEKOR!AN$2,1,0))</f>
        <v/>
      </c>
      <c r="AO79" s="125" t="str">
        <f>IF(Ujian!AO86="","",IF(LEFT(Ujian!AO86,1)=SEKOR!AO$2,1,0))</f>
        <v/>
      </c>
      <c r="AP79" s="125" t="str">
        <f>IF(Ujian!AP86="","",IF(LEFT(Ujian!AP86,1)=SEKOR!AP$2,1,0))</f>
        <v/>
      </c>
      <c r="AQ79" s="125" t="str">
        <f>IF(Ujian!AQ86="","",IF(LEFT(Ujian!AQ86,1)=SEKOR!AQ$2,1,0))</f>
        <v/>
      </c>
      <c r="AR79" s="125" t="str">
        <f>IF(Ujian!AR86="","",IF(LEFT(Ujian!AR86,1)=SEKOR!AR$2,1,0))</f>
        <v/>
      </c>
      <c r="AS79" s="125" t="str">
        <f>IF(Ujian!AS86="","",IF(LEFT(Ujian!AS86,1)=SEKOR!AS$2,1,0))</f>
        <v/>
      </c>
      <c r="AT79" s="125" t="str">
        <f>IF(Ujian!AT86="","",IF(LEFT(Ujian!AT86,1)=SEKOR!AT$2,1,0))</f>
        <v/>
      </c>
      <c r="AU79" s="125" t="str">
        <f>IF(Ujian!AU86="","",IF(LEFT(Ujian!AU86,1)=SEKOR!AU$2,1,0))</f>
        <v/>
      </c>
      <c r="AV79" s="125" t="str">
        <f>IF(Ujian!AV86="","",IF(LEFT(Ujian!AV86,1)=SEKOR!AV$2,1,0))</f>
        <v/>
      </c>
      <c r="AW79" s="125" t="str">
        <f>IF(Ujian!AW86="","",IF(LEFT(Ujian!AW86,1)=SEKOR!AW$2,1,0))</f>
        <v/>
      </c>
      <c r="AX79" s="125" t="str">
        <f>IF(Ujian!AX86="","",IF(LEFT(Ujian!AX86,1)=SEKOR!AX$2,1,0))</f>
        <v/>
      </c>
      <c r="AY79" s="125" t="str">
        <f>IF(Ujian!AY86="","",IF(LEFT(Ujian!AY86,1)=SEKOR!AY$2,1,0))</f>
        <v/>
      </c>
      <c r="AZ79" s="125" t="str">
        <f>IF(Ujian!AZ86="","",IF(LEFT(Ujian!AZ86,1)=SEKOR!AZ$2,1,0))</f>
        <v/>
      </c>
      <c r="BA79" s="125" t="str">
        <f>IF(Ujian!BA86="","",IF(LEFT(Ujian!BA86,1)=SEKOR!BA$2,1,0))</f>
        <v/>
      </c>
      <c r="BB79" s="125" t="str">
        <f>IF(Ujian!BB86="","",IF(LEFT(Ujian!BB86,1)=SEKOR!BB$2,1,0))</f>
        <v/>
      </c>
      <c r="BC79" s="125" t="str">
        <f>IF(Ujian!BC86="","",IF(LEFT(Ujian!BC86,1)=SEKOR!BC$2,1,0))</f>
        <v/>
      </c>
      <c r="BD79" s="125" t="str">
        <f>IF(Ujian!BD86="","",IF(LEFT(Ujian!BD86,1)=SEKOR!BD$2,1,0))</f>
        <v/>
      </c>
      <c r="BE79" s="125" t="str">
        <f>IF(Ujian!BE86="","",IF(LEFT(Ujian!BE86,1)=SEKOR!BE$2,1,0))</f>
        <v/>
      </c>
      <c r="BF79" s="125" t="str">
        <f>IF(Ujian!BF86="","",IF(LEFT(Ujian!BF86,1)=SEKOR!BF$2,1,0))</f>
        <v/>
      </c>
      <c r="BG79" s="125" t="str">
        <f>IF(Ujian!BG86="","",IF(LEFT(Ujian!BG86,1)=SEKOR!BG$2,1,0))</f>
        <v/>
      </c>
      <c r="BH79" s="125" t="str">
        <f>IF(Ujian!BH86="","",IF(LEFT(Ujian!BH86,1)=SEKOR!BH$2,1,0))</f>
        <v/>
      </c>
      <c r="BI79" s="125" t="str">
        <f>IF(Ujian!BI86="","",IF(LEFT(Ujian!BI86,1)=SEKOR!BI$2,1,0))</f>
        <v/>
      </c>
      <c r="BJ79" s="125" t="str">
        <f>IF(Ujian!BJ86="","",IF(LEFT(Ujian!BJ86,1)=SEKOR!BJ$2,1,0))</f>
        <v/>
      </c>
      <c r="BK79" s="125" t="str">
        <f>IF(Ujian!BK86="","",IF(LEFT(Ujian!BK86,1)=SEKOR!BK$2,1,0))</f>
        <v/>
      </c>
      <c r="BL79" s="18">
        <f t="shared" si="2"/>
        <v>0</v>
      </c>
      <c r="BM79" s="18">
        <f>COUNTIF($D79:$BK79,"")+DATA!$F$14-DATA!$F$12</f>
        <v>60</v>
      </c>
      <c r="BN79" s="17">
        <f>IF(COUNTIF($D79:$BK79,1)&gt;DATA!$F$14,DATA!$F$14,COUNTIF($D79:$BK79,1))</f>
        <v>0</v>
      </c>
      <c r="BO79" s="17">
        <f>IF((BN79+COUNTIF($D79:$BK79,0))&lt;=DATA!$F$14,COUNTIF($D79:$BK79,0),DATA!$F$14-SEKOR!BN79)</f>
        <v>0</v>
      </c>
      <c r="BP79" s="4" t="str">
        <f>IF(BL79=0,"",BN79/DATA!$F$14*100)</f>
        <v/>
      </c>
      <c r="BQ79" s="121" t="str">
        <f t="shared" si="3"/>
        <v/>
      </c>
      <c r="BR79" s="2" t="str">
        <f>IF(Praktik!$E79=0,"",Praktik!$E79)</f>
        <v/>
      </c>
      <c r="BS79" s="2" t="str">
        <f>IF(BR79="","",(BP79*DATAINFO!$O$4)+(SEKOR!BR79*DATAINFO!$O$5)/(DATAINFO!$O$4+DATAINFO!$O$5))</f>
        <v/>
      </c>
      <c r="BT79" s="2" t="str">
        <f>IF(BL79=0,"",IF(DATA!$F$18="TIDAK",ROUNDUP((IF!$L$8*SEKOR!$BP79)+IF!$L$9,0),IF($BR79="","",ROUNDUP((IF!$L$20*$BS79)+IF!$L$21,0))))</f>
        <v/>
      </c>
      <c r="BU79" s="47" t="str">
        <f>IF(BP79="","",IF(SEKOR!BP79&gt;=DATA!$J$12,1,0))</f>
        <v/>
      </c>
      <c r="BV79" s="47" t="str">
        <f>IF(BQ79="","",IF(SEKOR!BQ79&gt;=DATA!$J$12,1,0))</f>
        <v/>
      </c>
      <c r="BW79" s="47" t="str">
        <f>IF(BR79="","",IF(SEKOR!BR79&gt;=DATA!$J$12,1,0))</f>
        <v/>
      </c>
      <c r="BX79" s="47" t="str">
        <f>IF(BT79="","",IF(DATA!$J$14="",IF(SEKOR!BT79&gt;=DATA!$J$12,1,0),IF(SEKOR!BT79&gt;=DATA!$J$14,1,0)))</f>
        <v/>
      </c>
    </row>
    <row r="80" spans="1:76" x14ac:dyDescent="0.25">
      <c r="A80" s="20" t="s">
        <v>107</v>
      </c>
      <c r="B80" s="21" t="str">
        <f>IF(Ujian!B87="","",Ujian!B87)</f>
        <v/>
      </c>
      <c r="C80" s="57" t="str">
        <f>IF(Ujian!C87="","",Ujian!C87)</f>
        <v/>
      </c>
      <c r="D80" s="125" t="str">
        <f>IF(Ujian!D87="","",IF(LEFT(Ujian!D87,1)=SEKOR!D$2,1,0))</f>
        <v/>
      </c>
      <c r="E80" s="125" t="str">
        <f>IF(Ujian!E87="","",IF(LEFT(Ujian!E87,1)=SEKOR!E$2,1,0))</f>
        <v/>
      </c>
      <c r="F80" s="125" t="str">
        <f>IF(Ujian!F87="","",IF(LEFT(Ujian!F87,1)=SEKOR!F$2,1,0))</f>
        <v/>
      </c>
      <c r="G80" s="125" t="str">
        <f>IF(Ujian!G87="","",IF(LEFT(Ujian!G87,1)=SEKOR!G$2,1,0))</f>
        <v/>
      </c>
      <c r="H80" s="125" t="str">
        <f>IF(Ujian!H87="","",IF(LEFT(Ujian!H87,1)=SEKOR!H$2,1,0))</f>
        <v/>
      </c>
      <c r="I80" s="125" t="str">
        <f>IF(Ujian!I87="","",IF(LEFT(Ujian!I87,1)=SEKOR!I$2,1,0))</f>
        <v/>
      </c>
      <c r="J80" s="125" t="str">
        <f>IF(Ujian!J87="","",IF(LEFT(Ujian!J87,1)=SEKOR!J$2,1,0))</f>
        <v/>
      </c>
      <c r="K80" s="125" t="str">
        <f>IF(Ujian!K87="","",IF(LEFT(Ujian!K87,1)=SEKOR!K$2,1,0))</f>
        <v/>
      </c>
      <c r="L80" s="125" t="str">
        <f>IF(Ujian!L87="","",IF(LEFT(Ujian!L87,1)=SEKOR!L$2,1,0))</f>
        <v/>
      </c>
      <c r="M80" s="125" t="str">
        <f>IF(Ujian!M87="","",IF(LEFT(Ujian!M87,1)=SEKOR!M$2,1,0))</f>
        <v/>
      </c>
      <c r="N80" s="125" t="str">
        <f>IF(Ujian!N87="","",IF(LEFT(Ujian!N87,1)=SEKOR!N$2,1,0))</f>
        <v/>
      </c>
      <c r="O80" s="125" t="str">
        <f>IF(Ujian!O87="","",IF(LEFT(Ujian!O87,1)=SEKOR!O$2,1,0))</f>
        <v/>
      </c>
      <c r="P80" s="125" t="str">
        <f>IF(Ujian!P87="","",IF(LEFT(Ujian!P87,1)=SEKOR!P$2,1,0))</f>
        <v/>
      </c>
      <c r="Q80" s="125" t="str">
        <f>IF(Ujian!Q87="","",IF(LEFT(Ujian!Q87,1)=SEKOR!Q$2,1,0))</f>
        <v/>
      </c>
      <c r="R80" s="125" t="str">
        <f>IF(Ujian!R87="","",IF(LEFT(Ujian!R87,1)=SEKOR!R$2,1,0))</f>
        <v/>
      </c>
      <c r="S80" s="125" t="str">
        <f>IF(Ujian!S87="","",IF(LEFT(Ujian!S87,1)=SEKOR!S$2,1,0))</f>
        <v/>
      </c>
      <c r="T80" s="125" t="str">
        <f>IF(Ujian!T87="","",IF(LEFT(Ujian!T87,1)=SEKOR!T$2,1,0))</f>
        <v/>
      </c>
      <c r="U80" s="125" t="str">
        <f>IF(Ujian!U87="","",IF(LEFT(Ujian!U87,1)=SEKOR!U$2,1,0))</f>
        <v/>
      </c>
      <c r="V80" s="125" t="str">
        <f>IF(Ujian!V87="","",IF(LEFT(Ujian!V87,1)=SEKOR!V$2,1,0))</f>
        <v/>
      </c>
      <c r="W80" s="125" t="str">
        <f>IF(Ujian!W87="","",IF(LEFT(Ujian!W87,1)=SEKOR!W$2,1,0))</f>
        <v/>
      </c>
      <c r="X80" s="125" t="str">
        <f>IF(Ujian!X87="","",IF(LEFT(Ujian!X87,1)=SEKOR!X$2,1,0))</f>
        <v/>
      </c>
      <c r="Y80" s="125" t="str">
        <f>IF(Ujian!Y87="","",IF(LEFT(Ujian!Y87,1)=SEKOR!Y$2,1,0))</f>
        <v/>
      </c>
      <c r="Z80" s="125" t="str">
        <f>IF(Ujian!Z87="","",IF(LEFT(Ujian!Z87,1)=SEKOR!Z$2,1,0))</f>
        <v/>
      </c>
      <c r="AA80" s="125" t="str">
        <f>IF(Ujian!AA87="","",IF(LEFT(Ujian!AA87,1)=SEKOR!AA$2,1,0))</f>
        <v/>
      </c>
      <c r="AB80" s="125" t="str">
        <f>IF(Ujian!AB87="","",IF(LEFT(Ujian!AB87,1)=SEKOR!AB$2,1,0))</f>
        <v/>
      </c>
      <c r="AC80" s="125" t="str">
        <f>IF(Ujian!AC87="","",IF(LEFT(Ujian!AC87,1)=SEKOR!AC$2,1,0))</f>
        <v/>
      </c>
      <c r="AD80" s="125" t="str">
        <f>IF(Ujian!AD87="","",IF(LEFT(Ujian!AD87,1)=SEKOR!AD$2,1,0))</f>
        <v/>
      </c>
      <c r="AE80" s="125" t="str">
        <f>IF(Ujian!AE87="","",IF(LEFT(Ujian!AE87,1)=SEKOR!AE$2,1,0))</f>
        <v/>
      </c>
      <c r="AF80" s="125" t="str">
        <f>IF(Ujian!AF87="","",IF(LEFT(Ujian!AF87,1)=SEKOR!AF$2,1,0))</f>
        <v/>
      </c>
      <c r="AG80" s="125" t="str">
        <f>IF(Ujian!AG87="","",IF(LEFT(Ujian!AG87,1)=SEKOR!AG$2,1,0))</f>
        <v/>
      </c>
      <c r="AH80" s="125" t="str">
        <f>IF(Ujian!AH87="","",IF(LEFT(Ujian!AH87,1)=SEKOR!AH$2,1,0))</f>
        <v/>
      </c>
      <c r="AI80" s="125" t="str">
        <f>IF(Ujian!AI87="","",IF(LEFT(Ujian!AI87,1)=SEKOR!AI$2,1,0))</f>
        <v/>
      </c>
      <c r="AJ80" s="125" t="str">
        <f>IF(Ujian!AJ87="","",IF(LEFT(Ujian!AJ87,1)=SEKOR!AJ$2,1,0))</f>
        <v/>
      </c>
      <c r="AK80" s="125" t="str">
        <f>IF(Ujian!AK87="","",IF(LEFT(Ujian!AK87,1)=SEKOR!AK$2,1,0))</f>
        <v/>
      </c>
      <c r="AL80" s="125" t="str">
        <f>IF(Ujian!AL87="","",IF(LEFT(Ujian!AL87,1)=SEKOR!AL$2,1,0))</f>
        <v/>
      </c>
      <c r="AM80" s="125" t="str">
        <f>IF(Ujian!AM87="","",IF(LEFT(Ujian!AM87,1)=SEKOR!AM$2,1,0))</f>
        <v/>
      </c>
      <c r="AN80" s="125" t="str">
        <f>IF(Ujian!AN87="","",IF(LEFT(Ujian!AN87,1)=SEKOR!AN$2,1,0))</f>
        <v/>
      </c>
      <c r="AO80" s="125" t="str">
        <f>IF(Ujian!AO87="","",IF(LEFT(Ujian!AO87,1)=SEKOR!AO$2,1,0))</f>
        <v/>
      </c>
      <c r="AP80" s="125" t="str">
        <f>IF(Ujian!AP87="","",IF(LEFT(Ujian!AP87,1)=SEKOR!AP$2,1,0))</f>
        <v/>
      </c>
      <c r="AQ80" s="125" t="str">
        <f>IF(Ujian!AQ87="","",IF(LEFT(Ujian!AQ87,1)=SEKOR!AQ$2,1,0))</f>
        <v/>
      </c>
      <c r="AR80" s="125" t="str">
        <f>IF(Ujian!AR87="","",IF(LEFT(Ujian!AR87,1)=SEKOR!AR$2,1,0))</f>
        <v/>
      </c>
      <c r="AS80" s="125" t="str">
        <f>IF(Ujian!AS87="","",IF(LEFT(Ujian!AS87,1)=SEKOR!AS$2,1,0))</f>
        <v/>
      </c>
      <c r="AT80" s="125" t="str">
        <f>IF(Ujian!AT87="","",IF(LEFT(Ujian!AT87,1)=SEKOR!AT$2,1,0))</f>
        <v/>
      </c>
      <c r="AU80" s="125" t="str">
        <f>IF(Ujian!AU87="","",IF(LEFT(Ujian!AU87,1)=SEKOR!AU$2,1,0))</f>
        <v/>
      </c>
      <c r="AV80" s="125" t="str">
        <f>IF(Ujian!AV87="","",IF(LEFT(Ujian!AV87,1)=SEKOR!AV$2,1,0))</f>
        <v/>
      </c>
      <c r="AW80" s="125" t="str">
        <f>IF(Ujian!AW87="","",IF(LEFT(Ujian!AW87,1)=SEKOR!AW$2,1,0))</f>
        <v/>
      </c>
      <c r="AX80" s="125" t="str">
        <f>IF(Ujian!AX87="","",IF(LEFT(Ujian!AX87,1)=SEKOR!AX$2,1,0))</f>
        <v/>
      </c>
      <c r="AY80" s="125" t="str">
        <f>IF(Ujian!AY87="","",IF(LEFT(Ujian!AY87,1)=SEKOR!AY$2,1,0))</f>
        <v/>
      </c>
      <c r="AZ80" s="125" t="str">
        <f>IF(Ujian!AZ87="","",IF(LEFT(Ujian!AZ87,1)=SEKOR!AZ$2,1,0))</f>
        <v/>
      </c>
      <c r="BA80" s="125" t="str">
        <f>IF(Ujian!BA87="","",IF(LEFT(Ujian!BA87,1)=SEKOR!BA$2,1,0))</f>
        <v/>
      </c>
      <c r="BB80" s="125" t="str">
        <f>IF(Ujian!BB87="","",IF(LEFT(Ujian!BB87,1)=SEKOR!BB$2,1,0))</f>
        <v/>
      </c>
      <c r="BC80" s="125" t="str">
        <f>IF(Ujian!BC87="","",IF(LEFT(Ujian!BC87,1)=SEKOR!BC$2,1,0))</f>
        <v/>
      </c>
      <c r="BD80" s="125" t="str">
        <f>IF(Ujian!BD87="","",IF(LEFT(Ujian!BD87,1)=SEKOR!BD$2,1,0))</f>
        <v/>
      </c>
      <c r="BE80" s="125" t="str">
        <f>IF(Ujian!BE87="","",IF(LEFT(Ujian!BE87,1)=SEKOR!BE$2,1,0))</f>
        <v/>
      </c>
      <c r="BF80" s="125" t="str">
        <f>IF(Ujian!BF87="","",IF(LEFT(Ujian!BF87,1)=SEKOR!BF$2,1,0))</f>
        <v/>
      </c>
      <c r="BG80" s="125" t="str">
        <f>IF(Ujian!BG87="","",IF(LEFT(Ujian!BG87,1)=SEKOR!BG$2,1,0))</f>
        <v/>
      </c>
      <c r="BH80" s="125" t="str">
        <f>IF(Ujian!BH87="","",IF(LEFT(Ujian!BH87,1)=SEKOR!BH$2,1,0))</f>
        <v/>
      </c>
      <c r="BI80" s="125" t="str">
        <f>IF(Ujian!BI87="","",IF(LEFT(Ujian!BI87,1)=SEKOR!BI$2,1,0))</f>
        <v/>
      </c>
      <c r="BJ80" s="125" t="str">
        <f>IF(Ujian!BJ87="","",IF(LEFT(Ujian!BJ87,1)=SEKOR!BJ$2,1,0))</f>
        <v/>
      </c>
      <c r="BK80" s="125" t="str">
        <f>IF(Ujian!BK87="","",IF(LEFT(Ujian!BK87,1)=SEKOR!BK$2,1,0))</f>
        <v/>
      </c>
      <c r="BL80" s="18">
        <f t="shared" si="2"/>
        <v>0</v>
      </c>
      <c r="BM80" s="18">
        <f>COUNTIF($D80:$BK80,"")+DATA!$F$14-DATA!$F$12</f>
        <v>60</v>
      </c>
      <c r="BN80" s="17">
        <f>IF(COUNTIF($D80:$BK80,1)&gt;DATA!$F$14,DATA!$F$14,COUNTIF($D80:$BK80,1))</f>
        <v>0</v>
      </c>
      <c r="BO80" s="17">
        <f>IF((BN80+COUNTIF($D80:$BK80,0))&lt;=DATA!$F$14,COUNTIF($D80:$BK80,0),DATA!$F$14-SEKOR!BN80)</f>
        <v>0</v>
      </c>
      <c r="BP80" s="4" t="str">
        <f>IF(BL80=0,"",BN80/DATA!$F$14*100)</f>
        <v/>
      </c>
      <c r="BQ80" s="121" t="str">
        <f t="shared" si="3"/>
        <v/>
      </c>
      <c r="BR80" s="2" t="str">
        <f>IF(Praktik!$E80=0,"",Praktik!$E80)</f>
        <v/>
      </c>
      <c r="BS80" s="2" t="str">
        <f>IF(BR80="","",(BP80*DATAINFO!$O$4)+(SEKOR!BR80*DATAINFO!$O$5)/(DATAINFO!$O$4+DATAINFO!$O$5))</f>
        <v/>
      </c>
      <c r="BT80" s="2" t="str">
        <f>IF(BL80=0,"",IF(DATA!$F$18="TIDAK",ROUNDUP((IF!$L$8*SEKOR!$BP80)+IF!$L$9,0),IF($BR80="","",ROUNDUP((IF!$L$20*$BS80)+IF!$L$21,0))))</f>
        <v/>
      </c>
      <c r="BU80" s="47" t="str">
        <f>IF(BP80="","",IF(SEKOR!BP80&gt;=DATA!$J$12,1,0))</f>
        <v/>
      </c>
      <c r="BV80" s="47" t="str">
        <f>IF(BQ80="","",IF(SEKOR!BQ80&gt;=DATA!$J$12,1,0))</f>
        <v/>
      </c>
      <c r="BW80" s="47" t="str">
        <f>IF(BR80="","",IF(SEKOR!BR80&gt;=DATA!$J$12,1,0))</f>
        <v/>
      </c>
      <c r="BX80" s="47" t="str">
        <f>IF(BT80="","",IF(DATA!$J$14="",IF(SEKOR!BT80&gt;=DATA!$J$12,1,0),IF(SEKOR!BT80&gt;=DATA!$J$14,1,0)))</f>
        <v/>
      </c>
    </row>
    <row r="81" spans="1:76" x14ac:dyDescent="0.25">
      <c r="A81" s="20" t="s">
        <v>108</v>
      </c>
      <c r="B81" s="21" t="str">
        <f>IF(Ujian!B88="","",Ujian!B88)</f>
        <v/>
      </c>
      <c r="C81" s="57" t="str">
        <f>IF(Ujian!C88="","",Ujian!C88)</f>
        <v/>
      </c>
      <c r="D81" s="125" t="str">
        <f>IF(Ujian!D88="","",IF(LEFT(Ujian!D88,1)=SEKOR!D$2,1,0))</f>
        <v/>
      </c>
      <c r="E81" s="125" t="str">
        <f>IF(Ujian!E88="","",IF(LEFT(Ujian!E88,1)=SEKOR!E$2,1,0))</f>
        <v/>
      </c>
      <c r="F81" s="125" t="str">
        <f>IF(Ujian!F88="","",IF(LEFT(Ujian!F88,1)=SEKOR!F$2,1,0))</f>
        <v/>
      </c>
      <c r="G81" s="125" t="str">
        <f>IF(Ujian!G88="","",IF(LEFT(Ujian!G88,1)=SEKOR!G$2,1,0))</f>
        <v/>
      </c>
      <c r="H81" s="125" t="str">
        <f>IF(Ujian!H88="","",IF(LEFT(Ujian!H88,1)=SEKOR!H$2,1,0))</f>
        <v/>
      </c>
      <c r="I81" s="125" t="str">
        <f>IF(Ujian!I88="","",IF(LEFT(Ujian!I88,1)=SEKOR!I$2,1,0))</f>
        <v/>
      </c>
      <c r="J81" s="125" t="str">
        <f>IF(Ujian!J88="","",IF(LEFT(Ujian!J88,1)=SEKOR!J$2,1,0))</f>
        <v/>
      </c>
      <c r="K81" s="125" t="str">
        <f>IF(Ujian!K88="","",IF(LEFT(Ujian!K88,1)=SEKOR!K$2,1,0))</f>
        <v/>
      </c>
      <c r="L81" s="125" t="str">
        <f>IF(Ujian!L88="","",IF(LEFT(Ujian!L88,1)=SEKOR!L$2,1,0))</f>
        <v/>
      </c>
      <c r="M81" s="125" t="str">
        <f>IF(Ujian!M88="","",IF(LEFT(Ujian!M88,1)=SEKOR!M$2,1,0))</f>
        <v/>
      </c>
      <c r="N81" s="125" t="str">
        <f>IF(Ujian!N88="","",IF(LEFT(Ujian!N88,1)=SEKOR!N$2,1,0))</f>
        <v/>
      </c>
      <c r="O81" s="125" t="str">
        <f>IF(Ujian!O88="","",IF(LEFT(Ujian!O88,1)=SEKOR!O$2,1,0))</f>
        <v/>
      </c>
      <c r="P81" s="125" t="str">
        <f>IF(Ujian!P88="","",IF(LEFT(Ujian!P88,1)=SEKOR!P$2,1,0))</f>
        <v/>
      </c>
      <c r="Q81" s="125" t="str">
        <f>IF(Ujian!Q88="","",IF(LEFT(Ujian!Q88,1)=SEKOR!Q$2,1,0))</f>
        <v/>
      </c>
      <c r="R81" s="125" t="str">
        <f>IF(Ujian!R88="","",IF(LEFT(Ujian!R88,1)=SEKOR!R$2,1,0))</f>
        <v/>
      </c>
      <c r="S81" s="125" t="str">
        <f>IF(Ujian!S88="","",IF(LEFT(Ujian!S88,1)=SEKOR!S$2,1,0))</f>
        <v/>
      </c>
      <c r="T81" s="125" t="str">
        <f>IF(Ujian!T88="","",IF(LEFT(Ujian!T88,1)=SEKOR!T$2,1,0))</f>
        <v/>
      </c>
      <c r="U81" s="125" t="str">
        <f>IF(Ujian!U88="","",IF(LEFT(Ujian!U88,1)=SEKOR!U$2,1,0))</f>
        <v/>
      </c>
      <c r="V81" s="125" t="str">
        <f>IF(Ujian!V88="","",IF(LEFT(Ujian!V88,1)=SEKOR!V$2,1,0))</f>
        <v/>
      </c>
      <c r="W81" s="125" t="str">
        <f>IF(Ujian!W88="","",IF(LEFT(Ujian!W88,1)=SEKOR!W$2,1,0))</f>
        <v/>
      </c>
      <c r="X81" s="125" t="str">
        <f>IF(Ujian!X88="","",IF(LEFT(Ujian!X88,1)=SEKOR!X$2,1,0))</f>
        <v/>
      </c>
      <c r="Y81" s="125" t="str">
        <f>IF(Ujian!Y88="","",IF(LEFT(Ujian!Y88,1)=SEKOR!Y$2,1,0))</f>
        <v/>
      </c>
      <c r="Z81" s="125" t="str">
        <f>IF(Ujian!Z88="","",IF(LEFT(Ujian!Z88,1)=SEKOR!Z$2,1,0))</f>
        <v/>
      </c>
      <c r="AA81" s="125" t="str">
        <f>IF(Ujian!AA88="","",IF(LEFT(Ujian!AA88,1)=SEKOR!AA$2,1,0))</f>
        <v/>
      </c>
      <c r="AB81" s="125" t="str">
        <f>IF(Ujian!AB88="","",IF(LEFT(Ujian!AB88,1)=SEKOR!AB$2,1,0))</f>
        <v/>
      </c>
      <c r="AC81" s="125" t="str">
        <f>IF(Ujian!AC88="","",IF(LEFT(Ujian!AC88,1)=SEKOR!AC$2,1,0))</f>
        <v/>
      </c>
      <c r="AD81" s="125" t="str">
        <f>IF(Ujian!AD88="","",IF(LEFT(Ujian!AD88,1)=SEKOR!AD$2,1,0))</f>
        <v/>
      </c>
      <c r="AE81" s="125" t="str">
        <f>IF(Ujian!AE88="","",IF(LEFT(Ujian!AE88,1)=SEKOR!AE$2,1,0))</f>
        <v/>
      </c>
      <c r="AF81" s="125" t="str">
        <f>IF(Ujian!AF88="","",IF(LEFT(Ujian!AF88,1)=SEKOR!AF$2,1,0))</f>
        <v/>
      </c>
      <c r="AG81" s="125" t="str">
        <f>IF(Ujian!AG88="","",IF(LEFT(Ujian!AG88,1)=SEKOR!AG$2,1,0))</f>
        <v/>
      </c>
      <c r="AH81" s="125" t="str">
        <f>IF(Ujian!AH88="","",IF(LEFT(Ujian!AH88,1)=SEKOR!AH$2,1,0))</f>
        <v/>
      </c>
      <c r="AI81" s="125" t="str">
        <f>IF(Ujian!AI88="","",IF(LEFT(Ujian!AI88,1)=SEKOR!AI$2,1,0))</f>
        <v/>
      </c>
      <c r="AJ81" s="125" t="str">
        <f>IF(Ujian!AJ88="","",IF(LEFT(Ujian!AJ88,1)=SEKOR!AJ$2,1,0))</f>
        <v/>
      </c>
      <c r="AK81" s="125" t="str">
        <f>IF(Ujian!AK88="","",IF(LEFT(Ujian!AK88,1)=SEKOR!AK$2,1,0))</f>
        <v/>
      </c>
      <c r="AL81" s="125" t="str">
        <f>IF(Ujian!AL88="","",IF(LEFT(Ujian!AL88,1)=SEKOR!AL$2,1,0))</f>
        <v/>
      </c>
      <c r="AM81" s="125" t="str">
        <f>IF(Ujian!AM88="","",IF(LEFT(Ujian!AM88,1)=SEKOR!AM$2,1,0))</f>
        <v/>
      </c>
      <c r="AN81" s="125" t="str">
        <f>IF(Ujian!AN88="","",IF(LEFT(Ujian!AN88,1)=SEKOR!AN$2,1,0))</f>
        <v/>
      </c>
      <c r="AO81" s="125" t="str">
        <f>IF(Ujian!AO88="","",IF(LEFT(Ujian!AO88,1)=SEKOR!AO$2,1,0))</f>
        <v/>
      </c>
      <c r="AP81" s="125" t="str">
        <f>IF(Ujian!AP88="","",IF(LEFT(Ujian!AP88,1)=SEKOR!AP$2,1,0))</f>
        <v/>
      </c>
      <c r="AQ81" s="125" t="str">
        <f>IF(Ujian!AQ88="","",IF(LEFT(Ujian!AQ88,1)=SEKOR!AQ$2,1,0))</f>
        <v/>
      </c>
      <c r="AR81" s="125" t="str">
        <f>IF(Ujian!AR88="","",IF(LEFT(Ujian!AR88,1)=SEKOR!AR$2,1,0))</f>
        <v/>
      </c>
      <c r="AS81" s="125" t="str">
        <f>IF(Ujian!AS88="","",IF(LEFT(Ujian!AS88,1)=SEKOR!AS$2,1,0))</f>
        <v/>
      </c>
      <c r="AT81" s="125" t="str">
        <f>IF(Ujian!AT88="","",IF(LEFT(Ujian!AT88,1)=SEKOR!AT$2,1,0))</f>
        <v/>
      </c>
      <c r="AU81" s="125" t="str">
        <f>IF(Ujian!AU88="","",IF(LEFT(Ujian!AU88,1)=SEKOR!AU$2,1,0))</f>
        <v/>
      </c>
      <c r="AV81" s="125" t="str">
        <f>IF(Ujian!AV88="","",IF(LEFT(Ujian!AV88,1)=SEKOR!AV$2,1,0))</f>
        <v/>
      </c>
      <c r="AW81" s="125" t="str">
        <f>IF(Ujian!AW88="","",IF(LEFT(Ujian!AW88,1)=SEKOR!AW$2,1,0))</f>
        <v/>
      </c>
      <c r="AX81" s="125" t="str">
        <f>IF(Ujian!AX88="","",IF(LEFT(Ujian!AX88,1)=SEKOR!AX$2,1,0))</f>
        <v/>
      </c>
      <c r="AY81" s="125" t="str">
        <f>IF(Ujian!AY88="","",IF(LEFT(Ujian!AY88,1)=SEKOR!AY$2,1,0))</f>
        <v/>
      </c>
      <c r="AZ81" s="125" t="str">
        <f>IF(Ujian!AZ88="","",IF(LEFT(Ujian!AZ88,1)=SEKOR!AZ$2,1,0))</f>
        <v/>
      </c>
      <c r="BA81" s="125" t="str">
        <f>IF(Ujian!BA88="","",IF(LEFT(Ujian!BA88,1)=SEKOR!BA$2,1,0))</f>
        <v/>
      </c>
      <c r="BB81" s="125" t="str">
        <f>IF(Ujian!BB88="","",IF(LEFT(Ujian!BB88,1)=SEKOR!BB$2,1,0))</f>
        <v/>
      </c>
      <c r="BC81" s="125" t="str">
        <f>IF(Ujian!BC88="","",IF(LEFT(Ujian!BC88,1)=SEKOR!BC$2,1,0))</f>
        <v/>
      </c>
      <c r="BD81" s="125" t="str">
        <f>IF(Ujian!BD88="","",IF(LEFT(Ujian!BD88,1)=SEKOR!BD$2,1,0))</f>
        <v/>
      </c>
      <c r="BE81" s="125" t="str">
        <f>IF(Ujian!BE88="","",IF(LEFT(Ujian!BE88,1)=SEKOR!BE$2,1,0))</f>
        <v/>
      </c>
      <c r="BF81" s="125" t="str">
        <f>IF(Ujian!BF88="","",IF(LEFT(Ujian!BF88,1)=SEKOR!BF$2,1,0))</f>
        <v/>
      </c>
      <c r="BG81" s="125" t="str">
        <f>IF(Ujian!BG88="","",IF(LEFT(Ujian!BG88,1)=SEKOR!BG$2,1,0))</f>
        <v/>
      </c>
      <c r="BH81" s="125" t="str">
        <f>IF(Ujian!BH88="","",IF(LEFT(Ujian!BH88,1)=SEKOR!BH$2,1,0))</f>
        <v/>
      </c>
      <c r="BI81" s="125" t="str">
        <f>IF(Ujian!BI88="","",IF(LEFT(Ujian!BI88,1)=SEKOR!BI$2,1,0))</f>
        <v/>
      </c>
      <c r="BJ81" s="125" t="str">
        <f>IF(Ujian!BJ88="","",IF(LEFT(Ujian!BJ88,1)=SEKOR!BJ$2,1,0))</f>
        <v/>
      </c>
      <c r="BK81" s="125" t="str">
        <f>IF(Ujian!BK88="","",IF(LEFT(Ujian!BK88,1)=SEKOR!BK$2,1,0))</f>
        <v/>
      </c>
      <c r="BL81" s="18">
        <f t="shared" si="2"/>
        <v>0</v>
      </c>
      <c r="BM81" s="18">
        <f>COUNTIF($D81:$BK81,"")+DATA!$F$14-DATA!$F$12</f>
        <v>60</v>
      </c>
      <c r="BN81" s="17">
        <f>IF(COUNTIF($D81:$BK81,1)&gt;DATA!$F$14,DATA!$F$14,COUNTIF($D81:$BK81,1))</f>
        <v>0</v>
      </c>
      <c r="BO81" s="17">
        <f>IF((BN81+COUNTIF($D81:$BK81,0))&lt;=DATA!$F$14,COUNTIF($D81:$BK81,0),DATA!$F$14-SEKOR!BN81)</f>
        <v>0</v>
      </c>
      <c r="BP81" s="4" t="str">
        <f>IF(BL81=0,"",BN81/DATA!$F$14*100)</f>
        <v/>
      </c>
      <c r="BQ81" s="121" t="str">
        <f t="shared" si="3"/>
        <v/>
      </c>
      <c r="BR81" s="2" t="str">
        <f>IF(Praktik!$E81=0,"",Praktik!$E81)</f>
        <v/>
      </c>
      <c r="BS81" s="2" t="str">
        <f>IF(BR81="","",(BP81*DATAINFO!$O$4)+(SEKOR!BR81*DATAINFO!$O$5)/(DATAINFO!$O$4+DATAINFO!$O$5))</f>
        <v/>
      </c>
      <c r="BT81" s="2" t="str">
        <f>IF(BL81=0,"",IF(DATA!$F$18="TIDAK",ROUNDUP((IF!$L$8*SEKOR!$BP81)+IF!$L$9,0),IF($BR81="","",ROUNDUP((IF!$L$20*$BS81)+IF!$L$21,0))))</f>
        <v/>
      </c>
      <c r="BU81" s="47" t="str">
        <f>IF(BP81="","",IF(SEKOR!BP81&gt;=DATA!$J$12,1,0))</f>
        <v/>
      </c>
      <c r="BV81" s="47" t="str">
        <f>IF(BQ81="","",IF(SEKOR!BQ81&gt;=DATA!$J$12,1,0))</f>
        <v/>
      </c>
      <c r="BW81" s="47" t="str">
        <f>IF(BR81="","",IF(SEKOR!BR81&gt;=DATA!$J$12,1,0))</f>
        <v/>
      </c>
      <c r="BX81" s="47" t="str">
        <f>IF(BT81="","",IF(DATA!$J$14="",IF(SEKOR!BT81&gt;=DATA!$J$12,1,0),IF(SEKOR!BT81&gt;=DATA!$J$14,1,0)))</f>
        <v/>
      </c>
    </row>
    <row r="82" spans="1:76" x14ac:dyDescent="0.25">
      <c r="A82" s="20" t="s">
        <v>109</v>
      </c>
      <c r="B82" s="21" t="str">
        <f>IF(Ujian!B89="","",Ujian!B89)</f>
        <v/>
      </c>
      <c r="C82" s="57" t="str">
        <f>IF(Ujian!C89="","",Ujian!C89)</f>
        <v/>
      </c>
      <c r="D82" s="125" t="str">
        <f>IF(Ujian!D89="","",IF(LEFT(Ujian!D89,1)=SEKOR!D$2,1,0))</f>
        <v/>
      </c>
      <c r="E82" s="125" t="str">
        <f>IF(Ujian!E89="","",IF(LEFT(Ujian!E89,1)=SEKOR!E$2,1,0))</f>
        <v/>
      </c>
      <c r="F82" s="125" t="str">
        <f>IF(Ujian!F89="","",IF(LEFT(Ujian!F89,1)=SEKOR!F$2,1,0))</f>
        <v/>
      </c>
      <c r="G82" s="125" t="str">
        <f>IF(Ujian!G89="","",IF(LEFT(Ujian!G89,1)=SEKOR!G$2,1,0))</f>
        <v/>
      </c>
      <c r="H82" s="125" t="str">
        <f>IF(Ujian!H89="","",IF(LEFT(Ujian!H89,1)=SEKOR!H$2,1,0))</f>
        <v/>
      </c>
      <c r="I82" s="125" t="str">
        <f>IF(Ujian!I89="","",IF(LEFT(Ujian!I89,1)=SEKOR!I$2,1,0))</f>
        <v/>
      </c>
      <c r="J82" s="125" t="str">
        <f>IF(Ujian!J89="","",IF(LEFT(Ujian!J89,1)=SEKOR!J$2,1,0))</f>
        <v/>
      </c>
      <c r="K82" s="125" t="str">
        <f>IF(Ujian!K89="","",IF(LEFT(Ujian!K89,1)=SEKOR!K$2,1,0))</f>
        <v/>
      </c>
      <c r="L82" s="125" t="str">
        <f>IF(Ujian!L89="","",IF(LEFT(Ujian!L89,1)=SEKOR!L$2,1,0))</f>
        <v/>
      </c>
      <c r="M82" s="125" t="str">
        <f>IF(Ujian!M89="","",IF(LEFT(Ujian!M89,1)=SEKOR!M$2,1,0))</f>
        <v/>
      </c>
      <c r="N82" s="125" t="str">
        <f>IF(Ujian!N89="","",IF(LEFT(Ujian!N89,1)=SEKOR!N$2,1,0))</f>
        <v/>
      </c>
      <c r="O82" s="125" t="str">
        <f>IF(Ujian!O89="","",IF(LEFT(Ujian!O89,1)=SEKOR!O$2,1,0))</f>
        <v/>
      </c>
      <c r="P82" s="125" t="str">
        <f>IF(Ujian!P89="","",IF(LEFT(Ujian!P89,1)=SEKOR!P$2,1,0))</f>
        <v/>
      </c>
      <c r="Q82" s="125" t="str">
        <f>IF(Ujian!Q89="","",IF(LEFT(Ujian!Q89,1)=SEKOR!Q$2,1,0))</f>
        <v/>
      </c>
      <c r="R82" s="125" t="str">
        <f>IF(Ujian!R89="","",IF(LEFT(Ujian!R89,1)=SEKOR!R$2,1,0))</f>
        <v/>
      </c>
      <c r="S82" s="125" t="str">
        <f>IF(Ujian!S89="","",IF(LEFT(Ujian!S89,1)=SEKOR!S$2,1,0))</f>
        <v/>
      </c>
      <c r="T82" s="125" t="str">
        <f>IF(Ujian!T89="","",IF(LEFT(Ujian!T89,1)=SEKOR!T$2,1,0))</f>
        <v/>
      </c>
      <c r="U82" s="125" t="str">
        <f>IF(Ujian!U89="","",IF(LEFT(Ujian!U89,1)=SEKOR!U$2,1,0))</f>
        <v/>
      </c>
      <c r="V82" s="125" t="str">
        <f>IF(Ujian!V89="","",IF(LEFT(Ujian!V89,1)=SEKOR!V$2,1,0))</f>
        <v/>
      </c>
      <c r="W82" s="125" t="str">
        <f>IF(Ujian!W89="","",IF(LEFT(Ujian!W89,1)=SEKOR!W$2,1,0))</f>
        <v/>
      </c>
      <c r="X82" s="125" t="str">
        <f>IF(Ujian!X89="","",IF(LEFT(Ujian!X89,1)=SEKOR!X$2,1,0))</f>
        <v/>
      </c>
      <c r="Y82" s="125" t="str">
        <f>IF(Ujian!Y89="","",IF(LEFT(Ujian!Y89,1)=SEKOR!Y$2,1,0))</f>
        <v/>
      </c>
      <c r="Z82" s="125" t="str">
        <f>IF(Ujian!Z89="","",IF(LEFT(Ujian!Z89,1)=SEKOR!Z$2,1,0))</f>
        <v/>
      </c>
      <c r="AA82" s="125" t="str">
        <f>IF(Ujian!AA89="","",IF(LEFT(Ujian!AA89,1)=SEKOR!AA$2,1,0))</f>
        <v/>
      </c>
      <c r="AB82" s="125" t="str">
        <f>IF(Ujian!AB89="","",IF(LEFT(Ujian!AB89,1)=SEKOR!AB$2,1,0))</f>
        <v/>
      </c>
      <c r="AC82" s="125" t="str">
        <f>IF(Ujian!AC89="","",IF(LEFT(Ujian!AC89,1)=SEKOR!AC$2,1,0))</f>
        <v/>
      </c>
      <c r="AD82" s="125" t="str">
        <f>IF(Ujian!AD89="","",IF(LEFT(Ujian!AD89,1)=SEKOR!AD$2,1,0))</f>
        <v/>
      </c>
      <c r="AE82" s="125" t="str">
        <f>IF(Ujian!AE89="","",IF(LEFT(Ujian!AE89,1)=SEKOR!AE$2,1,0))</f>
        <v/>
      </c>
      <c r="AF82" s="125" t="str">
        <f>IF(Ujian!AF89="","",IF(LEFT(Ujian!AF89,1)=SEKOR!AF$2,1,0))</f>
        <v/>
      </c>
      <c r="AG82" s="125" t="str">
        <f>IF(Ujian!AG89="","",IF(LEFT(Ujian!AG89,1)=SEKOR!AG$2,1,0))</f>
        <v/>
      </c>
      <c r="AH82" s="125" t="str">
        <f>IF(Ujian!AH89="","",IF(LEFT(Ujian!AH89,1)=SEKOR!AH$2,1,0))</f>
        <v/>
      </c>
      <c r="AI82" s="125" t="str">
        <f>IF(Ujian!AI89="","",IF(LEFT(Ujian!AI89,1)=SEKOR!AI$2,1,0))</f>
        <v/>
      </c>
      <c r="AJ82" s="125" t="str">
        <f>IF(Ujian!AJ89="","",IF(LEFT(Ujian!AJ89,1)=SEKOR!AJ$2,1,0))</f>
        <v/>
      </c>
      <c r="AK82" s="125" t="str">
        <f>IF(Ujian!AK89="","",IF(LEFT(Ujian!AK89,1)=SEKOR!AK$2,1,0))</f>
        <v/>
      </c>
      <c r="AL82" s="125" t="str">
        <f>IF(Ujian!AL89="","",IF(LEFT(Ujian!AL89,1)=SEKOR!AL$2,1,0))</f>
        <v/>
      </c>
      <c r="AM82" s="125" t="str">
        <f>IF(Ujian!AM89="","",IF(LEFT(Ujian!AM89,1)=SEKOR!AM$2,1,0))</f>
        <v/>
      </c>
      <c r="AN82" s="125" t="str">
        <f>IF(Ujian!AN89="","",IF(LEFT(Ujian!AN89,1)=SEKOR!AN$2,1,0))</f>
        <v/>
      </c>
      <c r="AO82" s="125" t="str">
        <f>IF(Ujian!AO89="","",IF(LEFT(Ujian!AO89,1)=SEKOR!AO$2,1,0))</f>
        <v/>
      </c>
      <c r="AP82" s="125" t="str">
        <f>IF(Ujian!AP89="","",IF(LEFT(Ujian!AP89,1)=SEKOR!AP$2,1,0))</f>
        <v/>
      </c>
      <c r="AQ82" s="125" t="str">
        <f>IF(Ujian!AQ89="","",IF(LEFT(Ujian!AQ89,1)=SEKOR!AQ$2,1,0))</f>
        <v/>
      </c>
      <c r="AR82" s="125" t="str">
        <f>IF(Ujian!AR89="","",IF(LEFT(Ujian!AR89,1)=SEKOR!AR$2,1,0))</f>
        <v/>
      </c>
      <c r="AS82" s="125" t="str">
        <f>IF(Ujian!AS89="","",IF(LEFT(Ujian!AS89,1)=SEKOR!AS$2,1,0))</f>
        <v/>
      </c>
      <c r="AT82" s="125" t="str">
        <f>IF(Ujian!AT89="","",IF(LEFT(Ujian!AT89,1)=SEKOR!AT$2,1,0))</f>
        <v/>
      </c>
      <c r="AU82" s="125" t="str">
        <f>IF(Ujian!AU89="","",IF(LEFT(Ujian!AU89,1)=SEKOR!AU$2,1,0))</f>
        <v/>
      </c>
      <c r="AV82" s="125" t="str">
        <f>IF(Ujian!AV89="","",IF(LEFT(Ujian!AV89,1)=SEKOR!AV$2,1,0))</f>
        <v/>
      </c>
      <c r="AW82" s="125" t="str">
        <f>IF(Ujian!AW89="","",IF(LEFT(Ujian!AW89,1)=SEKOR!AW$2,1,0))</f>
        <v/>
      </c>
      <c r="AX82" s="125" t="str">
        <f>IF(Ujian!AX89="","",IF(LEFT(Ujian!AX89,1)=SEKOR!AX$2,1,0))</f>
        <v/>
      </c>
      <c r="AY82" s="125" t="str">
        <f>IF(Ujian!AY89="","",IF(LEFT(Ujian!AY89,1)=SEKOR!AY$2,1,0))</f>
        <v/>
      </c>
      <c r="AZ82" s="125" t="str">
        <f>IF(Ujian!AZ89="","",IF(LEFT(Ujian!AZ89,1)=SEKOR!AZ$2,1,0))</f>
        <v/>
      </c>
      <c r="BA82" s="125" t="str">
        <f>IF(Ujian!BA89="","",IF(LEFT(Ujian!BA89,1)=SEKOR!BA$2,1,0))</f>
        <v/>
      </c>
      <c r="BB82" s="125" t="str">
        <f>IF(Ujian!BB89="","",IF(LEFT(Ujian!BB89,1)=SEKOR!BB$2,1,0))</f>
        <v/>
      </c>
      <c r="BC82" s="125" t="str">
        <f>IF(Ujian!BC89="","",IF(LEFT(Ujian!BC89,1)=SEKOR!BC$2,1,0))</f>
        <v/>
      </c>
      <c r="BD82" s="125" t="str">
        <f>IF(Ujian!BD89="","",IF(LEFT(Ujian!BD89,1)=SEKOR!BD$2,1,0))</f>
        <v/>
      </c>
      <c r="BE82" s="125" t="str">
        <f>IF(Ujian!BE89="","",IF(LEFT(Ujian!BE89,1)=SEKOR!BE$2,1,0))</f>
        <v/>
      </c>
      <c r="BF82" s="125" t="str">
        <f>IF(Ujian!BF89="","",IF(LEFT(Ujian!BF89,1)=SEKOR!BF$2,1,0))</f>
        <v/>
      </c>
      <c r="BG82" s="125" t="str">
        <f>IF(Ujian!BG89="","",IF(LEFT(Ujian!BG89,1)=SEKOR!BG$2,1,0))</f>
        <v/>
      </c>
      <c r="BH82" s="125" t="str">
        <f>IF(Ujian!BH89="","",IF(LEFT(Ujian!BH89,1)=SEKOR!BH$2,1,0))</f>
        <v/>
      </c>
      <c r="BI82" s="125" t="str">
        <f>IF(Ujian!BI89="","",IF(LEFT(Ujian!BI89,1)=SEKOR!BI$2,1,0))</f>
        <v/>
      </c>
      <c r="BJ82" s="125" t="str">
        <f>IF(Ujian!BJ89="","",IF(LEFT(Ujian!BJ89,1)=SEKOR!BJ$2,1,0))</f>
        <v/>
      </c>
      <c r="BK82" s="125" t="str">
        <f>IF(Ujian!BK89="","",IF(LEFT(Ujian!BK89,1)=SEKOR!BK$2,1,0))</f>
        <v/>
      </c>
      <c r="BL82" s="18">
        <f t="shared" si="2"/>
        <v>0</v>
      </c>
      <c r="BM82" s="18">
        <f>COUNTIF($D82:$BK82,"")+DATA!$F$14-DATA!$F$12</f>
        <v>60</v>
      </c>
      <c r="BN82" s="17">
        <f>IF(COUNTIF($D82:$BK82,1)&gt;DATA!$F$14,DATA!$F$14,COUNTIF($D82:$BK82,1))</f>
        <v>0</v>
      </c>
      <c r="BO82" s="17">
        <f>IF((BN82+COUNTIF($D82:$BK82,0))&lt;=DATA!$F$14,COUNTIF($D82:$BK82,0),DATA!$F$14-SEKOR!BN82)</f>
        <v>0</v>
      </c>
      <c r="BP82" s="4" t="str">
        <f>IF(BL82=0,"",BN82/DATA!$F$14*100)</f>
        <v/>
      </c>
      <c r="BQ82" s="121" t="str">
        <f t="shared" si="3"/>
        <v/>
      </c>
      <c r="BR82" s="2" t="str">
        <f>IF(Praktik!$E82=0,"",Praktik!$E82)</f>
        <v/>
      </c>
      <c r="BS82" s="2" t="str">
        <f>IF(BR82="","",(BP82*DATAINFO!$O$4)+(SEKOR!BR82*DATAINFO!$O$5)/(DATAINFO!$O$4+DATAINFO!$O$5))</f>
        <v/>
      </c>
      <c r="BT82" s="2" t="str">
        <f>IF(BL82=0,"",IF(DATA!$F$18="TIDAK",ROUNDUP((IF!$L$8*SEKOR!$BP82)+IF!$L$9,0),IF($BR82="","",ROUNDUP((IF!$L$20*$BS82)+IF!$L$21,0))))</f>
        <v/>
      </c>
      <c r="BU82" s="47" t="str">
        <f>IF(BP82="","",IF(SEKOR!BP82&gt;=DATA!$J$12,1,0))</f>
        <v/>
      </c>
      <c r="BV82" s="47" t="str">
        <f>IF(BQ82="","",IF(SEKOR!BQ82&gt;=DATA!$J$12,1,0))</f>
        <v/>
      </c>
      <c r="BW82" s="47" t="str">
        <f>IF(BR82="","",IF(SEKOR!BR82&gt;=DATA!$J$12,1,0))</f>
        <v/>
      </c>
      <c r="BX82" s="47" t="str">
        <f>IF(BT82="","",IF(DATA!$J$14="",IF(SEKOR!BT82&gt;=DATA!$J$12,1,0),IF(SEKOR!BT82&gt;=DATA!$J$14,1,0)))</f>
        <v/>
      </c>
    </row>
    <row r="83" spans="1:76" x14ac:dyDescent="0.25">
      <c r="A83" s="20" t="s">
        <v>110</v>
      </c>
      <c r="B83" s="21" t="str">
        <f>IF(Ujian!B90="","",Ujian!B90)</f>
        <v/>
      </c>
      <c r="C83" s="57" t="str">
        <f>IF(Ujian!C90="","",Ujian!C90)</f>
        <v/>
      </c>
      <c r="D83" s="125" t="str">
        <f>IF(Ujian!D90="","",IF(LEFT(Ujian!D90,1)=SEKOR!D$2,1,0))</f>
        <v/>
      </c>
      <c r="E83" s="125" t="str">
        <f>IF(Ujian!E90="","",IF(LEFT(Ujian!E90,1)=SEKOR!E$2,1,0))</f>
        <v/>
      </c>
      <c r="F83" s="125" t="str">
        <f>IF(Ujian!F90="","",IF(LEFT(Ujian!F90,1)=SEKOR!F$2,1,0))</f>
        <v/>
      </c>
      <c r="G83" s="125" t="str">
        <f>IF(Ujian!G90="","",IF(LEFT(Ujian!G90,1)=SEKOR!G$2,1,0))</f>
        <v/>
      </c>
      <c r="H83" s="125" t="str">
        <f>IF(Ujian!H90="","",IF(LEFT(Ujian!H90,1)=SEKOR!H$2,1,0))</f>
        <v/>
      </c>
      <c r="I83" s="125" t="str">
        <f>IF(Ujian!I90="","",IF(LEFT(Ujian!I90,1)=SEKOR!I$2,1,0))</f>
        <v/>
      </c>
      <c r="J83" s="125" t="str">
        <f>IF(Ujian!J90="","",IF(LEFT(Ujian!J90,1)=SEKOR!J$2,1,0))</f>
        <v/>
      </c>
      <c r="K83" s="125" t="str">
        <f>IF(Ujian!K90="","",IF(LEFT(Ujian!K90,1)=SEKOR!K$2,1,0))</f>
        <v/>
      </c>
      <c r="L83" s="125" t="str">
        <f>IF(Ujian!L90="","",IF(LEFT(Ujian!L90,1)=SEKOR!L$2,1,0))</f>
        <v/>
      </c>
      <c r="M83" s="125" t="str">
        <f>IF(Ujian!M90="","",IF(LEFT(Ujian!M90,1)=SEKOR!M$2,1,0))</f>
        <v/>
      </c>
      <c r="N83" s="125" t="str">
        <f>IF(Ujian!N90="","",IF(LEFT(Ujian!N90,1)=SEKOR!N$2,1,0))</f>
        <v/>
      </c>
      <c r="O83" s="125" t="str">
        <f>IF(Ujian!O90="","",IF(LEFT(Ujian!O90,1)=SEKOR!O$2,1,0))</f>
        <v/>
      </c>
      <c r="P83" s="125" t="str">
        <f>IF(Ujian!P90="","",IF(LEFT(Ujian!P90,1)=SEKOR!P$2,1,0))</f>
        <v/>
      </c>
      <c r="Q83" s="125" t="str">
        <f>IF(Ujian!Q90="","",IF(LEFT(Ujian!Q90,1)=SEKOR!Q$2,1,0))</f>
        <v/>
      </c>
      <c r="R83" s="125" t="str">
        <f>IF(Ujian!R90="","",IF(LEFT(Ujian!R90,1)=SEKOR!R$2,1,0))</f>
        <v/>
      </c>
      <c r="S83" s="125" t="str">
        <f>IF(Ujian!S90="","",IF(LEFT(Ujian!S90,1)=SEKOR!S$2,1,0))</f>
        <v/>
      </c>
      <c r="T83" s="125" t="str">
        <f>IF(Ujian!T90="","",IF(LEFT(Ujian!T90,1)=SEKOR!T$2,1,0))</f>
        <v/>
      </c>
      <c r="U83" s="125" t="str">
        <f>IF(Ujian!U90="","",IF(LEFT(Ujian!U90,1)=SEKOR!U$2,1,0))</f>
        <v/>
      </c>
      <c r="V83" s="125" t="str">
        <f>IF(Ujian!V90="","",IF(LEFT(Ujian!V90,1)=SEKOR!V$2,1,0))</f>
        <v/>
      </c>
      <c r="W83" s="125" t="str">
        <f>IF(Ujian!W90="","",IF(LEFT(Ujian!W90,1)=SEKOR!W$2,1,0))</f>
        <v/>
      </c>
      <c r="X83" s="125" t="str">
        <f>IF(Ujian!X90="","",IF(LEFT(Ujian!X90,1)=SEKOR!X$2,1,0))</f>
        <v/>
      </c>
      <c r="Y83" s="125" t="str">
        <f>IF(Ujian!Y90="","",IF(LEFT(Ujian!Y90,1)=SEKOR!Y$2,1,0))</f>
        <v/>
      </c>
      <c r="Z83" s="125" t="str">
        <f>IF(Ujian!Z90="","",IF(LEFT(Ujian!Z90,1)=SEKOR!Z$2,1,0))</f>
        <v/>
      </c>
      <c r="AA83" s="125" t="str">
        <f>IF(Ujian!AA90="","",IF(LEFT(Ujian!AA90,1)=SEKOR!AA$2,1,0))</f>
        <v/>
      </c>
      <c r="AB83" s="125" t="str">
        <f>IF(Ujian!AB90="","",IF(LEFT(Ujian!AB90,1)=SEKOR!AB$2,1,0))</f>
        <v/>
      </c>
      <c r="AC83" s="125" t="str">
        <f>IF(Ujian!AC90="","",IF(LEFT(Ujian!AC90,1)=SEKOR!AC$2,1,0))</f>
        <v/>
      </c>
      <c r="AD83" s="125" t="str">
        <f>IF(Ujian!AD90="","",IF(LEFT(Ujian!AD90,1)=SEKOR!AD$2,1,0))</f>
        <v/>
      </c>
      <c r="AE83" s="125" t="str">
        <f>IF(Ujian!AE90="","",IF(LEFT(Ujian!AE90,1)=SEKOR!AE$2,1,0))</f>
        <v/>
      </c>
      <c r="AF83" s="125" t="str">
        <f>IF(Ujian!AF90="","",IF(LEFT(Ujian!AF90,1)=SEKOR!AF$2,1,0))</f>
        <v/>
      </c>
      <c r="AG83" s="125" t="str">
        <f>IF(Ujian!AG90="","",IF(LEFT(Ujian!AG90,1)=SEKOR!AG$2,1,0))</f>
        <v/>
      </c>
      <c r="AH83" s="125" t="str">
        <f>IF(Ujian!AH90="","",IF(LEFT(Ujian!AH90,1)=SEKOR!AH$2,1,0))</f>
        <v/>
      </c>
      <c r="AI83" s="125" t="str">
        <f>IF(Ujian!AI90="","",IF(LEFT(Ujian!AI90,1)=SEKOR!AI$2,1,0))</f>
        <v/>
      </c>
      <c r="AJ83" s="125" t="str">
        <f>IF(Ujian!AJ90="","",IF(LEFT(Ujian!AJ90,1)=SEKOR!AJ$2,1,0))</f>
        <v/>
      </c>
      <c r="AK83" s="125" t="str">
        <f>IF(Ujian!AK90="","",IF(LEFT(Ujian!AK90,1)=SEKOR!AK$2,1,0))</f>
        <v/>
      </c>
      <c r="AL83" s="125" t="str">
        <f>IF(Ujian!AL90="","",IF(LEFT(Ujian!AL90,1)=SEKOR!AL$2,1,0))</f>
        <v/>
      </c>
      <c r="AM83" s="125" t="str">
        <f>IF(Ujian!AM90="","",IF(LEFT(Ujian!AM90,1)=SEKOR!AM$2,1,0))</f>
        <v/>
      </c>
      <c r="AN83" s="125" t="str">
        <f>IF(Ujian!AN90="","",IF(LEFT(Ujian!AN90,1)=SEKOR!AN$2,1,0))</f>
        <v/>
      </c>
      <c r="AO83" s="125" t="str">
        <f>IF(Ujian!AO90="","",IF(LEFT(Ujian!AO90,1)=SEKOR!AO$2,1,0))</f>
        <v/>
      </c>
      <c r="AP83" s="125" t="str">
        <f>IF(Ujian!AP90="","",IF(LEFT(Ujian!AP90,1)=SEKOR!AP$2,1,0))</f>
        <v/>
      </c>
      <c r="AQ83" s="125" t="str">
        <f>IF(Ujian!AQ90="","",IF(LEFT(Ujian!AQ90,1)=SEKOR!AQ$2,1,0))</f>
        <v/>
      </c>
      <c r="AR83" s="125" t="str">
        <f>IF(Ujian!AR90="","",IF(LEFT(Ujian!AR90,1)=SEKOR!AR$2,1,0))</f>
        <v/>
      </c>
      <c r="AS83" s="125" t="str">
        <f>IF(Ujian!AS90="","",IF(LEFT(Ujian!AS90,1)=SEKOR!AS$2,1,0))</f>
        <v/>
      </c>
      <c r="AT83" s="125" t="str">
        <f>IF(Ujian!AT90="","",IF(LEFT(Ujian!AT90,1)=SEKOR!AT$2,1,0))</f>
        <v/>
      </c>
      <c r="AU83" s="125" t="str">
        <f>IF(Ujian!AU90="","",IF(LEFT(Ujian!AU90,1)=SEKOR!AU$2,1,0))</f>
        <v/>
      </c>
      <c r="AV83" s="125" t="str">
        <f>IF(Ujian!AV90="","",IF(LEFT(Ujian!AV90,1)=SEKOR!AV$2,1,0))</f>
        <v/>
      </c>
      <c r="AW83" s="125" t="str">
        <f>IF(Ujian!AW90="","",IF(LEFT(Ujian!AW90,1)=SEKOR!AW$2,1,0))</f>
        <v/>
      </c>
      <c r="AX83" s="125" t="str">
        <f>IF(Ujian!AX90="","",IF(LEFT(Ujian!AX90,1)=SEKOR!AX$2,1,0))</f>
        <v/>
      </c>
      <c r="AY83" s="125" t="str">
        <f>IF(Ujian!AY90="","",IF(LEFT(Ujian!AY90,1)=SEKOR!AY$2,1,0))</f>
        <v/>
      </c>
      <c r="AZ83" s="125" t="str">
        <f>IF(Ujian!AZ90="","",IF(LEFT(Ujian!AZ90,1)=SEKOR!AZ$2,1,0))</f>
        <v/>
      </c>
      <c r="BA83" s="125" t="str">
        <f>IF(Ujian!BA90="","",IF(LEFT(Ujian!BA90,1)=SEKOR!BA$2,1,0))</f>
        <v/>
      </c>
      <c r="BB83" s="125" t="str">
        <f>IF(Ujian!BB90="","",IF(LEFT(Ujian!BB90,1)=SEKOR!BB$2,1,0))</f>
        <v/>
      </c>
      <c r="BC83" s="125" t="str">
        <f>IF(Ujian!BC90="","",IF(LEFT(Ujian!BC90,1)=SEKOR!BC$2,1,0))</f>
        <v/>
      </c>
      <c r="BD83" s="125" t="str">
        <f>IF(Ujian!BD90="","",IF(LEFT(Ujian!BD90,1)=SEKOR!BD$2,1,0))</f>
        <v/>
      </c>
      <c r="BE83" s="125" t="str">
        <f>IF(Ujian!BE90="","",IF(LEFT(Ujian!BE90,1)=SEKOR!BE$2,1,0))</f>
        <v/>
      </c>
      <c r="BF83" s="125" t="str">
        <f>IF(Ujian!BF90="","",IF(LEFT(Ujian!BF90,1)=SEKOR!BF$2,1,0))</f>
        <v/>
      </c>
      <c r="BG83" s="125" t="str">
        <f>IF(Ujian!BG90="","",IF(LEFT(Ujian!BG90,1)=SEKOR!BG$2,1,0))</f>
        <v/>
      </c>
      <c r="BH83" s="125" t="str">
        <f>IF(Ujian!BH90="","",IF(LEFT(Ujian!BH90,1)=SEKOR!BH$2,1,0))</f>
        <v/>
      </c>
      <c r="BI83" s="125" t="str">
        <f>IF(Ujian!BI90="","",IF(LEFT(Ujian!BI90,1)=SEKOR!BI$2,1,0))</f>
        <v/>
      </c>
      <c r="BJ83" s="125" t="str">
        <f>IF(Ujian!BJ90="","",IF(LEFT(Ujian!BJ90,1)=SEKOR!BJ$2,1,0))</f>
        <v/>
      </c>
      <c r="BK83" s="125" t="str">
        <f>IF(Ujian!BK90="","",IF(LEFT(Ujian!BK90,1)=SEKOR!BK$2,1,0))</f>
        <v/>
      </c>
      <c r="BL83" s="18">
        <f t="shared" si="2"/>
        <v>0</v>
      </c>
      <c r="BM83" s="18">
        <f>COUNTIF($D83:$BK83,"")+DATA!$F$14-DATA!$F$12</f>
        <v>60</v>
      </c>
      <c r="BN83" s="17">
        <f>IF(COUNTIF($D83:$BK83,1)&gt;DATA!$F$14,DATA!$F$14,COUNTIF($D83:$BK83,1))</f>
        <v>0</v>
      </c>
      <c r="BO83" s="17">
        <f>IF((BN83+COUNTIF($D83:$BK83,0))&lt;=DATA!$F$14,COUNTIF($D83:$BK83,0),DATA!$F$14-SEKOR!BN83)</f>
        <v>0</v>
      </c>
      <c r="BP83" s="4" t="str">
        <f>IF(BL83=0,"",BN83/DATA!$F$14*100)</f>
        <v/>
      </c>
      <c r="BQ83" s="121" t="str">
        <f t="shared" si="3"/>
        <v/>
      </c>
      <c r="BR83" s="2" t="str">
        <f>IF(Praktik!$E83=0,"",Praktik!$E83)</f>
        <v/>
      </c>
      <c r="BS83" s="2" t="str">
        <f>IF(BR83="","",(BP83*DATAINFO!$O$4)+(SEKOR!BR83*DATAINFO!$O$5)/(DATAINFO!$O$4+DATAINFO!$O$5))</f>
        <v/>
      </c>
      <c r="BT83" s="2" t="str">
        <f>IF(BL83=0,"",IF(DATA!$F$18="TIDAK",ROUNDUP((IF!$L$8*SEKOR!$BP83)+IF!$L$9,0),IF($BR83="","",ROUNDUP((IF!$L$20*$BS83)+IF!$L$21,0))))</f>
        <v/>
      </c>
      <c r="BU83" s="47" t="str">
        <f>IF(BP83="","",IF(SEKOR!BP83&gt;=DATA!$J$12,1,0))</f>
        <v/>
      </c>
      <c r="BV83" s="47" t="str">
        <f>IF(BQ83="","",IF(SEKOR!BQ83&gt;=DATA!$J$12,1,0))</f>
        <v/>
      </c>
      <c r="BW83" s="47" t="str">
        <f>IF(BR83="","",IF(SEKOR!BR83&gt;=DATA!$J$12,1,0))</f>
        <v/>
      </c>
      <c r="BX83" s="47" t="str">
        <f>IF(BT83="","",IF(DATA!$J$14="",IF(SEKOR!BT83&gt;=DATA!$J$12,1,0),IF(SEKOR!BT83&gt;=DATA!$J$14,1,0)))</f>
        <v/>
      </c>
    </row>
    <row r="84" spans="1:76" x14ac:dyDescent="0.25">
      <c r="A84" s="20" t="s">
        <v>111</v>
      </c>
      <c r="B84" s="21" t="str">
        <f>IF(Ujian!B91="","",Ujian!B91)</f>
        <v/>
      </c>
      <c r="C84" s="57" t="str">
        <f>IF(Ujian!C91="","",Ujian!C91)</f>
        <v/>
      </c>
      <c r="D84" s="125" t="str">
        <f>IF(Ujian!D91="","",IF(LEFT(Ujian!D91,1)=SEKOR!D$2,1,0))</f>
        <v/>
      </c>
      <c r="E84" s="125" t="str">
        <f>IF(Ujian!E91="","",IF(LEFT(Ujian!E91,1)=SEKOR!E$2,1,0))</f>
        <v/>
      </c>
      <c r="F84" s="125" t="str">
        <f>IF(Ujian!F91="","",IF(LEFT(Ujian!F91,1)=SEKOR!F$2,1,0))</f>
        <v/>
      </c>
      <c r="G84" s="125" t="str">
        <f>IF(Ujian!G91="","",IF(LEFT(Ujian!G91,1)=SEKOR!G$2,1,0))</f>
        <v/>
      </c>
      <c r="H84" s="125" t="str">
        <f>IF(Ujian!H91="","",IF(LEFT(Ujian!H91,1)=SEKOR!H$2,1,0))</f>
        <v/>
      </c>
      <c r="I84" s="125" t="str">
        <f>IF(Ujian!I91="","",IF(LEFT(Ujian!I91,1)=SEKOR!I$2,1,0))</f>
        <v/>
      </c>
      <c r="J84" s="125" t="str">
        <f>IF(Ujian!J91="","",IF(LEFT(Ujian!J91,1)=SEKOR!J$2,1,0))</f>
        <v/>
      </c>
      <c r="K84" s="125" t="str">
        <f>IF(Ujian!K91="","",IF(LEFT(Ujian!K91,1)=SEKOR!K$2,1,0))</f>
        <v/>
      </c>
      <c r="L84" s="125" t="str">
        <f>IF(Ujian!L91="","",IF(LEFT(Ujian!L91,1)=SEKOR!L$2,1,0))</f>
        <v/>
      </c>
      <c r="M84" s="125" t="str">
        <f>IF(Ujian!M91="","",IF(LEFT(Ujian!M91,1)=SEKOR!M$2,1,0))</f>
        <v/>
      </c>
      <c r="N84" s="125" t="str">
        <f>IF(Ujian!N91="","",IF(LEFT(Ujian!N91,1)=SEKOR!N$2,1,0))</f>
        <v/>
      </c>
      <c r="O84" s="125" t="str">
        <f>IF(Ujian!O91="","",IF(LEFT(Ujian!O91,1)=SEKOR!O$2,1,0))</f>
        <v/>
      </c>
      <c r="P84" s="125" t="str">
        <f>IF(Ujian!P91="","",IF(LEFT(Ujian!P91,1)=SEKOR!P$2,1,0))</f>
        <v/>
      </c>
      <c r="Q84" s="125" t="str">
        <f>IF(Ujian!Q91="","",IF(LEFT(Ujian!Q91,1)=SEKOR!Q$2,1,0))</f>
        <v/>
      </c>
      <c r="R84" s="125" t="str">
        <f>IF(Ujian!R91="","",IF(LEFT(Ujian!R91,1)=SEKOR!R$2,1,0))</f>
        <v/>
      </c>
      <c r="S84" s="125" t="str">
        <f>IF(Ujian!S91="","",IF(LEFT(Ujian!S91,1)=SEKOR!S$2,1,0))</f>
        <v/>
      </c>
      <c r="T84" s="125" t="str">
        <f>IF(Ujian!T91="","",IF(LEFT(Ujian!T91,1)=SEKOR!T$2,1,0))</f>
        <v/>
      </c>
      <c r="U84" s="125" t="str">
        <f>IF(Ujian!U91="","",IF(LEFT(Ujian!U91,1)=SEKOR!U$2,1,0))</f>
        <v/>
      </c>
      <c r="V84" s="125" t="str">
        <f>IF(Ujian!V91="","",IF(LEFT(Ujian!V91,1)=SEKOR!V$2,1,0))</f>
        <v/>
      </c>
      <c r="W84" s="125" t="str">
        <f>IF(Ujian!W91="","",IF(LEFT(Ujian!W91,1)=SEKOR!W$2,1,0))</f>
        <v/>
      </c>
      <c r="X84" s="125" t="str">
        <f>IF(Ujian!X91="","",IF(LEFT(Ujian!X91,1)=SEKOR!X$2,1,0))</f>
        <v/>
      </c>
      <c r="Y84" s="125" t="str">
        <f>IF(Ujian!Y91="","",IF(LEFT(Ujian!Y91,1)=SEKOR!Y$2,1,0))</f>
        <v/>
      </c>
      <c r="Z84" s="125" t="str">
        <f>IF(Ujian!Z91="","",IF(LEFT(Ujian!Z91,1)=SEKOR!Z$2,1,0))</f>
        <v/>
      </c>
      <c r="AA84" s="125" t="str">
        <f>IF(Ujian!AA91="","",IF(LEFT(Ujian!AA91,1)=SEKOR!AA$2,1,0))</f>
        <v/>
      </c>
      <c r="AB84" s="125" t="str">
        <f>IF(Ujian!AB91="","",IF(LEFT(Ujian!AB91,1)=SEKOR!AB$2,1,0))</f>
        <v/>
      </c>
      <c r="AC84" s="125" t="str">
        <f>IF(Ujian!AC91="","",IF(LEFT(Ujian!AC91,1)=SEKOR!AC$2,1,0))</f>
        <v/>
      </c>
      <c r="AD84" s="125" t="str">
        <f>IF(Ujian!AD91="","",IF(LEFT(Ujian!AD91,1)=SEKOR!AD$2,1,0))</f>
        <v/>
      </c>
      <c r="AE84" s="125" t="str">
        <f>IF(Ujian!AE91="","",IF(LEFT(Ujian!AE91,1)=SEKOR!AE$2,1,0))</f>
        <v/>
      </c>
      <c r="AF84" s="125" t="str">
        <f>IF(Ujian!AF91="","",IF(LEFT(Ujian!AF91,1)=SEKOR!AF$2,1,0))</f>
        <v/>
      </c>
      <c r="AG84" s="125" t="str">
        <f>IF(Ujian!AG91="","",IF(LEFT(Ujian!AG91,1)=SEKOR!AG$2,1,0))</f>
        <v/>
      </c>
      <c r="AH84" s="125" t="str">
        <f>IF(Ujian!AH91="","",IF(LEFT(Ujian!AH91,1)=SEKOR!AH$2,1,0))</f>
        <v/>
      </c>
      <c r="AI84" s="125" t="str">
        <f>IF(Ujian!AI91="","",IF(LEFT(Ujian!AI91,1)=SEKOR!AI$2,1,0))</f>
        <v/>
      </c>
      <c r="AJ84" s="125" t="str">
        <f>IF(Ujian!AJ91="","",IF(LEFT(Ujian!AJ91,1)=SEKOR!AJ$2,1,0))</f>
        <v/>
      </c>
      <c r="AK84" s="125" t="str">
        <f>IF(Ujian!AK91="","",IF(LEFT(Ujian!AK91,1)=SEKOR!AK$2,1,0))</f>
        <v/>
      </c>
      <c r="AL84" s="125" t="str">
        <f>IF(Ujian!AL91="","",IF(LEFT(Ujian!AL91,1)=SEKOR!AL$2,1,0))</f>
        <v/>
      </c>
      <c r="AM84" s="125" t="str">
        <f>IF(Ujian!AM91="","",IF(LEFT(Ujian!AM91,1)=SEKOR!AM$2,1,0))</f>
        <v/>
      </c>
      <c r="AN84" s="125" t="str">
        <f>IF(Ujian!AN91="","",IF(LEFT(Ujian!AN91,1)=SEKOR!AN$2,1,0))</f>
        <v/>
      </c>
      <c r="AO84" s="125" t="str">
        <f>IF(Ujian!AO91="","",IF(LEFT(Ujian!AO91,1)=SEKOR!AO$2,1,0))</f>
        <v/>
      </c>
      <c r="AP84" s="125" t="str">
        <f>IF(Ujian!AP91="","",IF(LEFT(Ujian!AP91,1)=SEKOR!AP$2,1,0))</f>
        <v/>
      </c>
      <c r="AQ84" s="125" t="str">
        <f>IF(Ujian!AQ91="","",IF(LEFT(Ujian!AQ91,1)=SEKOR!AQ$2,1,0))</f>
        <v/>
      </c>
      <c r="AR84" s="125" t="str">
        <f>IF(Ujian!AR91="","",IF(LEFT(Ujian!AR91,1)=SEKOR!AR$2,1,0))</f>
        <v/>
      </c>
      <c r="AS84" s="125" t="str">
        <f>IF(Ujian!AS91="","",IF(LEFT(Ujian!AS91,1)=SEKOR!AS$2,1,0))</f>
        <v/>
      </c>
      <c r="AT84" s="125" t="str">
        <f>IF(Ujian!AT91="","",IF(LEFT(Ujian!AT91,1)=SEKOR!AT$2,1,0))</f>
        <v/>
      </c>
      <c r="AU84" s="125" t="str">
        <f>IF(Ujian!AU91="","",IF(LEFT(Ujian!AU91,1)=SEKOR!AU$2,1,0))</f>
        <v/>
      </c>
      <c r="AV84" s="125" t="str">
        <f>IF(Ujian!AV91="","",IF(LEFT(Ujian!AV91,1)=SEKOR!AV$2,1,0))</f>
        <v/>
      </c>
      <c r="AW84" s="125" t="str">
        <f>IF(Ujian!AW91="","",IF(LEFT(Ujian!AW91,1)=SEKOR!AW$2,1,0))</f>
        <v/>
      </c>
      <c r="AX84" s="125" t="str">
        <f>IF(Ujian!AX91="","",IF(LEFT(Ujian!AX91,1)=SEKOR!AX$2,1,0))</f>
        <v/>
      </c>
      <c r="AY84" s="125" t="str">
        <f>IF(Ujian!AY91="","",IF(LEFT(Ujian!AY91,1)=SEKOR!AY$2,1,0))</f>
        <v/>
      </c>
      <c r="AZ84" s="125" t="str">
        <f>IF(Ujian!AZ91="","",IF(LEFT(Ujian!AZ91,1)=SEKOR!AZ$2,1,0))</f>
        <v/>
      </c>
      <c r="BA84" s="125" t="str">
        <f>IF(Ujian!BA91="","",IF(LEFT(Ujian!BA91,1)=SEKOR!BA$2,1,0))</f>
        <v/>
      </c>
      <c r="BB84" s="125" t="str">
        <f>IF(Ujian!BB91="","",IF(LEFT(Ujian!BB91,1)=SEKOR!BB$2,1,0))</f>
        <v/>
      </c>
      <c r="BC84" s="125" t="str">
        <f>IF(Ujian!BC91="","",IF(LEFT(Ujian!BC91,1)=SEKOR!BC$2,1,0))</f>
        <v/>
      </c>
      <c r="BD84" s="125" t="str">
        <f>IF(Ujian!BD91="","",IF(LEFT(Ujian!BD91,1)=SEKOR!BD$2,1,0))</f>
        <v/>
      </c>
      <c r="BE84" s="125" t="str">
        <f>IF(Ujian!BE91="","",IF(LEFT(Ujian!BE91,1)=SEKOR!BE$2,1,0))</f>
        <v/>
      </c>
      <c r="BF84" s="125" t="str">
        <f>IF(Ujian!BF91="","",IF(LEFT(Ujian!BF91,1)=SEKOR!BF$2,1,0))</f>
        <v/>
      </c>
      <c r="BG84" s="125" t="str">
        <f>IF(Ujian!BG91="","",IF(LEFT(Ujian!BG91,1)=SEKOR!BG$2,1,0))</f>
        <v/>
      </c>
      <c r="BH84" s="125" t="str">
        <f>IF(Ujian!BH91="","",IF(LEFT(Ujian!BH91,1)=SEKOR!BH$2,1,0))</f>
        <v/>
      </c>
      <c r="BI84" s="125" t="str">
        <f>IF(Ujian!BI91="","",IF(LEFT(Ujian!BI91,1)=SEKOR!BI$2,1,0))</f>
        <v/>
      </c>
      <c r="BJ84" s="125" t="str">
        <f>IF(Ujian!BJ91="","",IF(LEFT(Ujian!BJ91,1)=SEKOR!BJ$2,1,0))</f>
        <v/>
      </c>
      <c r="BK84" s="125" t="str">
        <f>IF(Ujian!BK91="","",IF(LEFT(Ujian!BK91,1)=SEKOR!BK$2,1,0))</f>
        <v/>
      </c>
      <c r="BL84" s="18">
        <f t="shared" si="2"/>
        <v>0</v>
      </c>
      <c r="BM84" s="18">
        <f>COUNTIF($D84:$BK84,"")+DATA!$F$14-DATA!$F$12</f>
        <v>60</v>
      </c>
      <c r="BN84" s="17">
        <f>IF(COUNTIF($D84:$BK84,1)&gt;DATA!$F$14,DATA!$F$14,COUNTIF($D84:$BK84,1))</f>
        <v>0</v>
      </c>
      <c r="BO84" s="17">
        <f>IF((BN84+COUNTIF($D84:$BK84,0))&lt;=DATA!$F$14,COUNTIF($D84:$BK84,0),DATA!$F$14-SEKOR!BN84)</f>
        <v>0</v>
      </c>
      <c r="BP84" s="4" t="str">
        <f>IF(BL84=0,"",BN84/DATA!$F$14*100)</f>
        <v/>
      </c>
      <c r="BQ84" s="121" t="str">
        <f t="shared" si="3"/>
        <v/>
      </c>
      <c r="BR84" s="2" t="str">
        <f>IF(Praktik!$E84=0,"",Praktik!$E84)</f>
        <v/>
      </c>
      <c r="BS84" s="2" t="str">
        <f>IF(BR84="","",(BP84*DATAINFO!$O$4)+(SEKOR!BR84*DATAINFO!$O$5)/(DATAINFO!$O$4+DATAINFO!$O$5))</f>
        <v/>
      </c>
      <c r="BT84" s="2" t="str">
        <f>IF(BL84=0,"",IF(DATA!$F$18="TIDAK",ROUNDUP((IF!$L$8*SEKOR!$BP84)+IF!$L$9,0),IF($BR84="","",ROUNDUP((IF!$L$20*$BS84)+IF!$L$21,0))))</f>
        <v/>
      </c>
      <c r="BU84" s="47" t="str">
        <f>IF(BP84="","",IF(SEKOR!BP84&gt;=DATA!$J$12,1,0))</f>
        <v/>
      </c>
      <c r="BV84" s="47" t="str">
        <f>IF(BQ84="","",IF(SEKOR!BQ84&gt;=DATA!$J$12,1,0))</f>
        <v/>
      </c>
      <c r="BW84" s="47" t="str">
        <f>IF(BR84="","",IF(SEKOR!BR84&gt;=DATA!$J$12,1,0))</f>
        <v/>
      </c>
      <c r="BX84" s="47" t="str">
        <f>IF(BT84="","",IF(DATA!$J$14="",IF(SEKOR!BT84&gt;=DATA!$J$12,1,0),IF(SEKOR!BT84&gt;=DATA!$J$14,1,0)))</f>
        <v/>
      </c>
    </row>
    <row r="85" spans="1:76" x14ac:dyDescent="0.25">
      <c r="A85" s="20" t="s">
        <v>112</v>
      </c>
      <c r="B85" s="21" t="str">
        <f>IF(Ujian!B92="","",Ujian!B92)</f>
        <v/>
      </c>
      <c r="C85" s="57" t="str">
        <f>IF(Ujian!C92="","",Ujian!C92)</f>
        <v/>
      </c>
      <c r="D85" s="125" t="str">
        <f>IF(Ujian!D92="","",IF(LEFT(Ujian!D92,1)=SEKOR!D$2,1,0))</f>
        <v/>
      </c>
      <c r="E85" s="125" t="str">
        <f>IF(Ujian!E92="","",IF(LEFT(Ujian!E92,1)=SEKOR!E$2,1,0))</f>
        <v/>
      </c>
      <c r="F85" s="125" t="str">
        <f>IF(Ujian!F92="","",IF(LEFT(Ujian!F92,1)=SEKOR!F$2,1,0))</f>
        <v/>
      </c>
      <c r="G85" s="125" t="str">
        <f>IF(Ujian!G92="","",IF(LEFT(Ujian!G92,1)=SEKOR!G$2,1,0))</f>
        <v/>
      </c>
      <c r="H85" s="125" t="str">
        <f>IF(Ujian!H92="","",IF(LEFT(Ujian!H92,1)=SEKOR!H$2,1,0))</f>
        <v/>
      </c>
      <c r="I85" s="125" t="str">
        <f>IF(Ujian!I92="","",IF(LEFT(Ujian!I92,1)=SEKOR!I$2,1,0))</f>
        <v/>
      </c>
      <c r="J85" s="125" t="str">
        <f>IF(Ujian!J92="","",IF(LEFT(Ujian!J92,1)=SEKOR!J$2,1,0))</f>
        <v/>
      </c>
      <c r="K85" s="125" t="str">
        <f>IF(Ujian!K92="","",IF(LEFT(Ujian!K92,1)=SEKOR!K$2,1,0))</f>
        <v/>
      </c>
      <c r="L85" s="125" t="str">
        <f>IF(Ujian!L92="","",IF(LEFT(Ujian!L92,1)=SEKOR!L$2,1,0))</f>
        <v/>
      </c>
      <c r="M85" s="125" t="str">
        <f>IF(Ujian!M92="","",IF(LEFT(Ujian!M92,1)=SEKOR!M$2,1,0))</f>
        <v/>
      </c>
      <c r="N85" s="125" t="str">
        <f>IF(Ujian!N92="","",IF(LEFT(Ujian!N92,1)=SEKOR!N$2,1,0))</f>
        <v/>
      </c>
      <c r="O85" s="125" t="str">
        <f>IF(Ujian!O92="","",IF(LEFT(Ujian!O92,1)=SEKOR!O$2,1,0))</f>
        <v/>
      </c>
      <c r="P85" s="125" t="str">
        <f>IF(Ujian!P92="","",IF(LEFT(Ujian!P92,1)=SEKOR!P$2,1,0))</f>
        <v/>
      </c>
      <c r="Q85" s="125" t="str">
        <f>IF(Ujian!Q92="","",IF(LEFT(Ujian!Q92,1)=SEKOR!Q$2,1,0))</f>
        <v/>
      </c>
      <c r="R85" s="125" t="str">
        <f>IF(Ujian!R92="","",IF(LEFT(Ujian!R92,1)=SEKOR!R$2,1,0))</f>
        <v/>
      </c>
      <c r="S85" s="125" t="str">
        <f>IF(Ujian!S92="","",IF(LEFT(Ujian!S92,1)=SEKOR!S$2,1,0))</f>
        <v/>
      </c>
      <c r="T85" s="125" t="str">
        <f>IF(Ujian!T92="","",IF(LEFT(Ujian!T92,1)=SEKOR!T$2,1,0))</f>
        <v/>
      </c>
      <c r="U85" s="125" t="str">
        <f>IF(Ujian!U92="","",IF(LEFT(Ujian!U92,1)=SEKOR!U$2,1,0))</f>
        <v/>
      </c>
      <c r="V85" s="125" t="str">
        <f>IF(Ujian!V92="","",IF(LEFT(Ujian!V92,1)=SEKOR!V$2,1,0))</f>
        <v/>
      </c>
      <c r="W85" s="125" t="str">
        <f>IF(Ujian!W92="","",IF(LEFT(Ujian!W92,1)=SEKOR!W$2,1,0))</f>
        <v/>
      </c>
      <c r="X85" s="125" t="str">
        <f>IF(Ujian!X92="","",IF(LEFT(Ujian!X92,1)=SEKOR!X$2,1,0))</f>
        <v/>
      </c>
      <c r="Y85" s="125" t="str">
        <f>IF(Ujian!Y92="","",IF(LEFT(Ujian!Y92,1)=SEKOR!Y$2,1,0))</f>
        <v/>
      </c>
      <c r="Z85" s="125" t="str">
        <f>IF(Ujian!Z92="","",IF(LEFT(Ujian!Z92,1)=SEKOR!Z$2,1,0))</f>
        <v/>
      </c>
      <c r="AA85" s="125" t="str">
        <f>IF(Ujian!AA92="","",IF(LEFT(Ujian!AA92,1)=SEKOR!AA$2,1,0))</f>
        <v/>
      </c>
      <c r="AB85" s="125" t="str">
        <f>IF(Ujian!AB92="","",IF(LEFT(Ujian!AB92,1)=SEKOR!AB$2,1,0))</f>
        <v/>
      </c>
      <c r="AC85" s="125" t="str">
        <f>IF(Ujian!AC92="","",IF(LEFT(Ujian!AC92,1)=SEKOR!AC$2,1,0))</f>
        <v/>
      </c>
      <c r="AD85" s="125" t="str">
        <f>IF(Ujian!AD92="","",IF(LEFT(Ujian!AD92,1)=SEKOR!AD$2,1,0))</f>
        <v/>
      </c>
      <c r="AE85" s="125" t="str">
        <f>IF(Ujian!AE92="","",IF(LEFT(Ujian!AE92,1)=SEKOR!AE$2,1,0))</f>
        <v/>
      </c>
      <c r="AF85" s="125" t="str">
        <f>IF(Ujian!AF92="","",IF(LEFT(Ujian!AF92,1)=SEKOR!AF$2,1,0))</f>
        <v/>
      </c>
      <c r="AG85" s="125" t="str">
        <f>IF(Ujian!AG92="","",IF(LEFT(Ujian!AG92,1)=SEKOR!AG$2,1,0))</f>
        <v/>
      </c>
      <c r="AH85" s="125" t="str">
        <f>IF(Ujian!AH92="","",IF(LEFT(Ujian!AH92,1)=SEKOR!AH$2,1,0))</f>
        <v/>
      </c>
      <c r="AI85" s="125" t="str">
        <f>IF(Ujian!AI92="","",IF(LEFT(Ujian!AI92,1)=SEKOR!AI$2,1,0))</f>
        <v/>
      </c>
      <c r="AJ85" s="125" t="str">
        <f>IF(Ujian!AJ92="","",IF(LEFT(Ujian!AJ92,1)=SEKOR!AJ$2,1,0))</f>
        <v/>
      </c>
      <c r="AK85" s="125" t="str">
        <f>IF(Ujian!AK92="","",IF(LEFT(Ujian!AK92,1)=SEKOR!AK$2,1,0))</f>
        <v/>
      </c>
      <c r="AL85" s="125" t="str">
        <f>IF(Ujian!AL92="","",IF(LEFT(Ujian!AL92,1)=SEKOR!AL$2,1,0))</f>
        <v/>
      </c>
      <c r="AM85" s="125" t="str">
        <f>IF(Ujian!AM92="","",IF(LEFT(Ujian!AM92,1)=SEKOR!AM$2,1,0))</f>
        <v/>
      </c>
      <c r="AN85" s="125" t="str">
        <f>IF(Ujian!AN92="","",IF(LEFT(Ujian!AN92,1)=SEKOR!AN$2,1,0))</f>
        <v/>
      </c>
      <c r="AO85" s="125" t="str">
        <f>IF(Ujian!AO92="","",IF(LEFT(Ujian!AO92,1)=SEKOR!AO$2,1,0))</f>
        <v/>
      </c>
      <c r="AP85" s="125" t="str">
        <f>IF(Ujian!AP92="","",IF(LEFT(Ujian!AP92,1)=SEKOR!AP$2,1,0))</f>
        <v/>
      </c>
      <c r="AQ85" s="125" t="str">
        <f>IF(Ujian!AQ92="","",IF(LEFT(Ujian!AQ92,1)=SEKOR!AQ$2,1,0))</f>
        <v/>
      </c>
      <c r="AR85" s="125" t="str">
        <f>IF(Ujian!AR92="","",IF(LEFT(Ujian!AR92,1)=SEKOR!AR$2,1,0))</f>
        <v/>
      </c>
      <c r="AS85" s="125" t="str">
        <f>IF(Ujian!AS92="","",IF(LEFT(Ujian!AS92,1)=SEKOR!AS$2,1,0))</f>
        <v/>
      </c>
      <c r="AT85" s="125" t="str">
        <f>IF(Ujian!AT92="","",IF(LEFT(Ujian!AT92,1)=SEKOR!AT$2,1,0))</f>
        <v/>
      </c>
      <c r="AU85" s="125" t="str">
        <f>IF(Ujian!AU92="","",IF(LEFT(Ujian!AU92,1)=SEKOR!AU$2,1,0))</f>
        <v/>
      </c>
      <c r="AV85" s="125" t="str">
        <f>IF(Ujian!AV92="","",IF(LEFT(Ujian!AV92,1)=SEKOR!AV$2,1,0))</f>
        <v/>
      </c>
      <c r="AW85" s="125" t="str">
        <f>IF(Ujian!AW92="","",IF(LEFT(Ujian!AW92,1)=SEKOR!AW$2,1,0))</f>
        <v/>
      </c>
      <c r="AX85" s="125" t="str">
        <f>IF(Ujian!AX92="","",IF(LEFT(Ujian!AX92,1)=SEKOR!AX$2,1,0))</f>
        <v/>
      </c>
      <c r="AY85" s="125" t="str">
        <f>IF(Ujian!AY92="","",IF(LEFT(Ujian!AY92,1)=SEKOR!AY$2,1,0))</f>
        <v/>
      </c>
      <c r="AZ85" s="125" t="str">
        <f>IF(Ujian!AZ92="","",IF(LEFT(Ujian!AZ92,1)=SEKOR!AZ$2,1,0))</f>
        <v/>
      </c>
      <c r="BA85" s="125" t="str">
        <f>IF(Ujian!BA92="","",IF(LEFT(Ujian!BA92,1)=SEKOR!BA$2,1,0))</f>
        <v/>
      </c>
      <c r="BB85" s="125" t="str">
        <f>IF(Ujian!BB92="","",IF(LEFT(Ujian!BB92,1)=SEKOR!BB$2,1,0))</f>
        <v/>
      </c>
      <c r="BC85" s="125" t="str">
        <f>IF(Ujian!BC92="","",IF(LEFT(Ujian!BC92,1)=SEKOR!BC$2,1,0))</f>
        <v/>
      </c>
      <c r="BD85" s="125" t="str">
        <f>IF(Ujian!BD92="","",IF(LEFT(Ujian!BD92,1)=SEKOR!BD$2,1,0))</f>
        <v/>
      </c>
      <c r="BE85" s="125" t="str">
        <f>IF(Ujian!BE92="","",IF(LEFT(Ujian!BE92,1)=SEKOR!BE$2,1,0))</f>
        <v/>
      </c>
      <c r="BF85" s="125" t="str">
        <f>IF(Ujian!BF92="","",IF(LEFT(Ujian!BF92,1)=SEKOR!BF$2,1,0))</f>
        <v/>
      </c>
      <c r="BG85" s="125" t="str">
        <f>IF(Ujian!BG92="","",IF(LEFT(Ujian!BG92,1)=SEKOR!BG$2,1,0))</f>
        <v/>
      </c>
      <c r="BH85" s="125" t="str">
        <f>IF(Ujian!BH92="","",IF(LEFT(Ujian!BH92,1)=SEKOR!BH$2,1,0))</f>
        <v/>
      </c>
      <c r="BI85" s="125" t="str">
        <f>IF(Ujian!BI92="","",IF(LEFT(Ujian!BI92,1)=SEKOR!BI$2,1,0))</f>
        <v/>
      </c>
      <c r="BJ85" s="125" t="str">
        <f>IF(Ujian!BJ92="","",IF(LEFT(Ujian!BJ92,1)=SEKOR!BJ$2,1,0))</f>
        <v/>
      </c>
      <c r="BK85" s="125" t="str">
        <f>IF(Ujian!BK92="","",IF(LEFT(Ujian!BK92,1)=SEKOR!BK$2,1,0))</f>
        <v/>
      </c>
      <c r="BL85" s="18">
        <f t="shared" si="2"/>
        <v>0</v>
      </c>
      <c r="BM85" s="18">
        <f>COUNTIF($D85:$BK85,"")+DATA!$F$14-DATA!$F$12</f>
        <v>60</v>
      </c>
      <c r="BN85" s="17">
        <f>IF(COUNTIF($D85:$BK85,1)&gt;DATA!$F$14,DATA!$F$14,COUNTIF($D85:$BK85,1))</f>
        <v>0</v>
      </c>
      <c r="BO85" s="17">
        <f>IF((BN85+COUNTIF($D85:$BK85,0))&lt;=DATA!$F$14,COUNTIF($D85:$BK85,0),DATA!$F$14-SEKOR!BN85)</f>
        <v>0</v>
      </c>
      <c r="BP85" s="4" t="str">
        <f>IF(BL85=0,"",BN85/DATA!$F$14*100)</f>
        <v/>
      </c>
      <c r="BQ85" s="121" t="str">
        <f t="shared" si="3"/>
        <v/>
      </c>
      <c r="BR85" s="2" t="str">
        <f>IF(Praktik!$E85=0,"",Praktik!$E85)</f>
        <v/>
      </c>
      <c r="BS85" s="2" t="str">
        <f>IF(BR85="","",(BP85*DATAINFO!$O$4)+(SEKOR!BR85*DATAINFO!$O$5)/(DATAINFO!$O$4+DATAINFO!$O$5))</f>
        <v/>
      </c>
      <c r="BT85" s="2" t="str">
        <f>IF(BL85=0,"",IF(DATA!$F$18="TIDAK",ROUNDUP((IF!$L$8*SEKOR!$BP85)+IF!$L$9,0),IF($BR85="","",ROUNDUP((IF!$L$20*$BS85)+IF!$L$21,0))))</f>
        <v/>
      </c>
      <c r="BU85" s="47" t="str">
        <f>IF(BP85="","",IF(SEKOR!BP85&gt;=DATA!$J$12,1,0))</f>
        <v/>
      </c>
      <c r="BV85" s="47" t="str">
        <f>IF(BQ85="","",IF(SEKOR!BQ85&gt;=DATA!$J$12,1,0))</f>
        <v/>
      </c>
      <c r="BW85" s="47" t="str">
        <f>IF(BR85="","",IF(SEKOR!BR85&gt;=DATA!$J$12,1,0))</f>
        <v/>
      </c>
      <c r="BX85" s="47" t="str">
        <f>IF(BT85="","",IF(DATA!$J$14="",IF(SEKOR!BT85&gt;=DATA!$J$12,1,0),IF(SEKOR!BT85&gt;=DATA!$J$14,1,0)))</f>
        <v/>
      </c>
    </row>
    <row r="86" spans="1:76" x14ac:dyDescent="0.25">
      <c r="A86" s="20" t="s">
        <v>113</v>
      </c>
      <c r="B86" s="21" t="str">
        <f>IF(Ujian!B93="","",Ujian!B93)</f>
        <v/>
      </c>
      <c r="C86" s="57" t="str">
        <f>IF(Ujian!C93="","",Ujian!C93)</f>
        <v/>
      </c>
      <c r="D86" s="125" t="str">
        <f>IF(Ujian!D93="","",IF(LEFT(Ujian!D93,1)=SEKOR!D$2,1,0))</f>
        <v/>
      </c>
      <c r="E86" s="125" t="str">
        <f>IF(Ujian!E93="","",IF(LEFT(Ujian!E93,1)=SEKOR!E$2,1,0))</f>
        <v/>
      </c>
      <c r="F86" s="125" t="str">
        <f>IF(Ujian!F93="","",IF(LEFT(Ujian!F93,1)=SEKOR!F$2,1,0))</f>
        <v/>
      </c>
      <c r="G86" s="125" t="str">
        <f>IF(Ujian!G93="","",IF(LEFT(Ujian!G93,1)=SEKOR!G$2,1,0))</f>
        <v/>
      </c>
      <c r="H86" s="125" t="str">
        <f>IF(Ujian!H93="","",IF(LEFT(Ujian!H93,1)=SEKOR!H$2,1,0))</f>
        <v/>
      </c>
      <c r="I86" s="125" t="str">
        <f>IF(Ujian!I93="","",IF(LEFT(Ujian!I93,1)=SEKOR!I$2,1,0))</f>
        <v/>
      </c>
      <c r="J86" s="125" t="str">
        <f>IF(Ujian!J93="","",IF(LEFT(Ujian!J93,1)=SEKOR!J$2,1,0))</f>
        <v/>
      </c>
      <c r="K86" s="125" t="str">
        <f>IF(Ujian!K93="","",IF(LEFT(Ujian!K93,1)=SEKOR!K$2,1,0))</f>
        <v/>
      </c>
      <c r="L86" s="125" t="str">
        <f>IF(Ujian!L93="","",IF(LEFT(Ujian!L93,1)=SEKOR!L$2,1,0))</f>
        <v/>
      </c>
      <c r="M86" s="125" t="str">
        <f>IF(Ujian!M93="","",IF(LEFT(Ujian!M93,1)=SEKOR!M$2,1,0))</f>
        <v/>
      </c>
      <c r="N86" s="125" t="str">
        <f>IF(Ujian!N93="","",IF(LEFT(Ujian!N93,1)=SEKOR!N$2,1,0))</f>
        <v/>
      </c>
      <c r="O86" s="125" t="str">
        <f>IF(Ujian!O93="","",IF(LEFT(Ujian!O93,1)=SEKOR!O$2,1,0))</f>
        <v/>
      </c>
      <c r="P86" s="125" t="str">
        <f>IF(Ujian!P93="","",IF(LEFT(Ujian!P93,1)=SEKOR!P$2,1,0))</f>
        <v/>
      </c>
      <c r="Q86" s="125" t="str">
        <f>IF(Ujian!Q93="","",IF(LEFT(Ujian!Q93,1)=SEKOR!Q$2,1,0))</f>
        <v/>
      </c>
      <c r="R86" s="125" t="str">
        <f>IF(Ujian!R93="","",IF(LEFT(Ujian!R93,1)=SEKOR!R$2,1,0))</f>
        <v/>
      </c>
      <c r="S86" s="125" t="str">
        <f>IF(Ujian!S93="","",IF(LEFT(Ujian!S93,1)=SEKOR!S$2,1,0))</f>
        <v/>
      </c>
      <c r="T86" s="125" t="str">
        <f>IF(Ujian!T93="","",IF(LEFT(Ujian!T93,1)=SEKOR!T$2,1,0))</f>
        <v/>
      </c>
      <c r="U86" s="125" t="str">
        <f>IF(Ujian!U93="","",IF(LEFT(Ujian!U93,1)=SEKOR!U$2,1,0))</f>
        <v/>
      </c>
      <c r="V86" s="125" t="str">
        <f>IF(Ujian!V93="","",IF(LEFT(Ujian!V93,1)=SEKOR!V$2,1,0))</f>
        <v/>
      </c>
      <c r="W86" s="125" t="str">
        <f>IF(Ujian!W93="","",IF(LEFT(Ujian!W93,1)=SEKOR!W$2,1,0))</f>
        <v/>
      </c>
      <c r="X86" s="125" t="str">
        <f>IF(Ujian!X93="","",IF(LEFT(Ujian!X93,1)=SEKOR!X$2,1,0))</f>
        <v/>
      </c>
      <c r="Y86" s="125" t="str">
        <f>IF(Ujian!Y93="","",IF(LEFT(Ujian!Y93,1)=SEKOR!Y$2,1,0))</f>
        <v/>
      </c>
      <c r="Z86" s="125" t="str">
        <f>IF(Ujian!Z93="","",IF(LEFT(Ujian!Z93,1)=SEKOR!Z$2,1,0))</f>
        <v/>
      </c>
      <c r="AA86" s="125" t="str">
        <f>IF(Ujian!AA93="","",IF(LEFT(Ujian!AA93,1)=SEKOR!AA$2,1,0))</f>
        <v/>
      </c>
      <c r="AB86" s="125" t="str">
        <f>IF(Ujian!AB93="","",IF(LEFT(Ujian!AB93,1)=SEKOR!AB$2,1,0))</f>
        <v/>
      </c>
      <c r="AC86" s="125" t="str">
        <f>IF(Ujian!AC93="","",IF(LEFT(Ujian!AC93,1)=SEKOR!AC$2,1,0))</f>
        <v/>
      </c>
      <c r="AD86" s="125" t="str">
        <f>IF(Ujian!AD93="","",IF(LEFT(Ujian!AD93,1)=SEKOR!AD$2,1,0))</f>
        <v/>
      </c>
      <c r="AE86" s="125" t="str">
        <f>IF(Ujian!AE93="","",IF(LEFT(Ujian!AE93,1)=SEKOR!AE$2,1,0))</f>
        <v/>
      </c>
      <c r="AF86" s="125" t="str">
        <f>IF(Ujian!AF93="","",IF(LEFT(Ujian!AF93,1)=SEKOR!AF$2,1,0))</f>
        <v/>
      </c>
      <c r="AG86" s="125" t="str">
        <f>IF(Ujian!AG93="","",IF(LEFT(Ujian!AG93,1)=SEKOR!AG$2,1,0))</f>
        <v/>
      </c>
      <c r="AH86" s="125" t="str">
        <f>IF(Ujian!AH93="","",IF(LEFT(Ujian!AH93,1)=SEKOR!AH$2,1,0))</f>
        <v/>
      </c>
      <c r="AI86" s="125" t="str">
        <f>IF(Ujian!AI93="","",IF(LEFT(Ujian!AI93,1)=SEKOR!AI$2,1,0))</f>
        <v/>
      </c>
      <c r="AJ86" s="125" t="str">
        <f>IF(Ujian!AJ93="","",IF(LEFT(Ujian!AJ93,1)=SEKOR!AJ$2,1,0))</f>
        <v/>
      </c>
      <c r="AK86" s="125" t="str">
        <f>IF(Ujian!AK93="","",IF(LEFT(Ujian!AK93,1)=SEKOR!AK$2,1,0))</f>
        <v/>
      </c>
      <c r="AL86" s="125" t="str">
        <f>IF(Ujian!AL93="","",IF(LEFT(Ujian!AL93,1)=SEKOR!AL$2,1,0))</f>
        <v/>
      </c>
      <c r="AM86" s="125" t="str">
        <f>IF(Ujian!AM93="","",IF(LEFT(Ujian!AM93,1)=SEKOR!AM$2,1,0))</f>
        <v/>
      </c>
      <c r="AN86" s="125" t="str">
        <f>IF(Ujian!AN93="","",IF(LEFT(Ujian!AN93,1)=SEKOR!AN$2,1,0))</f>
        <v/>
      </c>
      <c r="AO86" s="125" t="str">
        <f>IF(Ujian!AO93="","",IF(LEFT(Ujian!AO93,1)=SEKOR!AO$2,1,0))</f>
        <v/>
      </c>
      <c r="AP86" s="125" t="str">
        <f>IF(Ujian!AP93="","",IF(LEFT(Ujian!AP93,1)=SEKOR!AP$2,1,0))</f>
        <v/>
      </c>
      <c r="AQ86" s="125" t="str">
        <f>IF(Ujian!AQ93="","",IF(LEFT(Ujian!AQ93,1)=SEKOR!AQ$2,1,0))</f>
        <v/>
      </c>
      <c r="AR86" s="125" t="str">
        <f>IF(Ujian!AR93="","",IF(LEFT(Ujian!AR93,1)=SEKOR!AR$2,1,0))</f>
        <v/>
      </c>
      <c r="AS86" s="125" t="str">
        <f>IF(Ujian!AS93="","",IF(LEFT(Ujian!AS93,1)=SEKOR!AS$2,1,0))</f>
        <v/>
      </c>
      <c r="AT86" s="125" t="str">
        <f>IF(Ujian!AT93="","",IF(LEFT(Ujian!AT93,1)=SEKOR!AT$2,1,0))</f>
        <v/>
      </c>
      <c r="AU86" s="125" t="str">
        <f>IF(Ujian!AU93="","",IF(LEFT(Ujian!AU93,1)=SEKOR!AU$2,1,0))</f>
        <v/>
      </c>
      <c r="AV86" s="125" t="str">
        <f>IF(Ujian!AV93="","",IF(LEFT(Ujian!AV93,1)=SEKOR!AV$2,1,0))</f>
        <v/>
      </c>
      <c r="AW86" s="125" t="str">
        <f>IF(Ujian!AW93="","",IF(LEFT(Ujian!AW93,1)=SEKOR!AW$2,1,0))</f>
        <v/>
      </c>
      <c r="AX86" s="125" t="str">
        <f>IF(Ujian!AX93="","",IF(LEFT(Ujian!AX93,1)=SEKOR!AX$2,1,0))</f>
        <v/>
      </c>
      <c r="AY86" s="125" t="str">
        <f>IF(Ujian!AY93="","",IF(LEFT(Ujian!AY93,1)=SEKOR!AY$2,1,0))</f>
        <v/>
      </c>
      <c r="AZ86" s="125" t="str">
        <f>IF(Ujian!AZ93="","",IF(LEFT(Ujian!AZ93,1)=SEKOR!AZ$2,1,0))</f>
        <v/>
      </c>
      <c r="BA86" s="125" t="str">
        <f>IF(Ujian!BA93="","",IF(LEFT(Ujian!BA93,1)=SEKOR!BA$2,1,0))</f>
        <v/>
      </c>
      <c r="BB86" s="125" t="str">
        <f>IF(Ujian!BB93="","",IF(LEFT(Ujian!BB93,1)=SEKOR!BB$2,1,0))</f>
        <v/>
      </c>
      <c r="BC86" s="125" t="str">
        <f>IF(Ujian!BC93="","",IF(LEFT(Ujian!BC93,1)=SEKOR!BC$2,1,0))</f>
        <v/>
      </c>
      <c r="BD86" s="125" t="str">
        <f>IF(Ujian!BD93="","",IF(LEFT(Ujian!BD93,1)=SEKOR!BD$2,1,0))</f>
        <v/>
      </c>
      <c r="BE86" s="125" t="str">
        <f>IF(Ujian!BE93="","",IF(LEFT(Ujian!BE93,1)=SEKOR!BE$2,1,0))</f>
        <v/>
      </c>
      <c r="BF86" s="125" t="str">
        <f>IF(Ujian!BF93="","",IF(LEFT(Ujian!BF93,1)=SEKOR!BF$2,1,0))</f>
        <v/>
      </c>
      <c r="BG86" s="125" t="str">
        <f>IF(Ujian!BG93="","",IF(LEFT(Ujian!BG93,1)=SEKOR!BG$2,1,0))</f>
        <v/>
      </c>
      <c r="BH86" s="125" t="str">
        <f>IF(Ujian!BH93="","",IF(LEFT(Ujian!BH93,1)=SEKOR!BH$2,1,0))</f>
        <v/>
      </c>
      <c r="BI86" s="125" t="str">
        <f>IF(Ujian!BI93="","",IF(LEFT(Ujian!BI93,1)=SEKOR!BI$2,1,0))</f>
        <v/>
      </c>
      <c r="BJ86" s="125" t="str">
        <f>IF(Ujian!BJ93="","",IF(LEFT(Ujian!BJ93,1)=SEKOR!BJ$2,1,0))</f>
        <v/>
      </c>
      <c r="BK86" s="125" t="str">
        <f>IF(Ujian!BK93="","",IF(LEFT(Ujian!BK93,1)=SEKOR!BK$2,1,0))</f>
        <v/>
      </c>
      <c r="BL86" s="18">
        <f t="shared" si="2"/>
        <v>0</v>
      </c>
      <c r="BM86" s="18">
        <f>COUNTIF($D86:$BK86,"")+DATA!$F$14-DATA!$F$12</f>
        <v>60</v>
      </c>
      <c r="BN86" s="17">
        <f>IF(COUNTIF($D86:$BK86,1)&gt;DATA!$F$14,DATA!$F$14,COUNTIF($D86:$BK86,1))</f>
        <v>0</v>
      </c>
      <c r="BO86" s="17">
        <f>IF((BN86+COUNTIF($D86:$BK86,0))&lt;=DATA!$F$14,COUNTIF($D86:$BK86,0),DATA!$F$14-SEKOR!BN86)</f>
        <v>0</v>
      </c>
      <c r="BP86" s="4" t="str">
        <f>IF(BL86=0,"",BN86/DATA!$F$14*100)</f>
        <v/>
      </c>
      <c r="BQ86" s="121" t="str">
        <f t="shared" si="3"/>
        <v/>
      </c>
      <c r="BR86" s="2" t="str">
        <f>IF(Praktik!$E86=0,"",Praktik!$E86)</f>
        <v/>
      </c>
      <c r="BS86" s="2" t="str">
        <f>IF(BR86="","",(BP86*DATAINFO!$O$4)+(SEKOR!BR86*DATAINFO!$O$5)/(DATAINFO!$O$4+DATAINFO!$O$5))</f>
        <v/>
      </c>
      <c r="BT86" s="2" t="str">
        <f>IF(BL86=0,"",IF(DATA!$F$18="TIDAK",ROUNDUP((IF!$L$8*SEKOR!$BP86)+IF!$L$9,0),IF($BR86="","",ROUNDUP((IF!$L$20*$BS86)+IF!$L$21,0))))</f>
        <v/>
      </c>
      <c r="BU86" s="47" t="str">
        <f>IF(BP86="","",IF(SEKOR!BP86&gt;=DATA!$J$12,1,0))</f>
        <v/>
      </c>
      <c r="BV86" s="47" t="str">
        <f>IF(BQ86="","",IF(SEKOR!BQ86&gt;=DATA!$J$12,1,0))</f>
        <v/>
      </c>
      <c r="BW86" s="47" t="str">
        <f>IF(BR86="","",IF(SEKOR!BR86&gt;=DATA!$J$12,1,0))</f>
        <v/>
      </c>
      <c r="BX86" s="47" t="str">
        <f>IF(BT86="","",IF(DATA!$J$14="",IF(SEKOR!BT86&gt;=DATA!$J$12,1,0),IF(SEKOR!BT86&gt;=DATA!$J$14,1,0)))</f>
        <v/>
      </c>
    </row>
    <row r="87" spans="1:76" x14ac:dyDescent="0.25">
      <c r="A87" s="20" t="s">
        <v>114</v>
      </c>
      <c r="B87" s="21" t="str">
        <f>IF(Ujian!B94="","",Ujian!B94)</f>
        <v/>
      </c>
      <c r="C87" s="57" t="str">
        <f>IF(Ujian!C94="","",Ujian!C94)</f>
        <v/>
      </c>
      <c r="D87" s="125" t="str">
        <f>IF(Ujian!D94="","",IF(LEFT(Ujian!D94,1)=SEKOR!D$2,1,0))</f>
        <v/>
      </c>
      <c r="E87" s="125" t="str">
        <f>IF(Ujian!E94="","",IF(LEFT(Ujian!E94,1)=SEKOR!E$2,1,0))</f>
        <v/>
      </c>
      <c r="F87" s="125" t="str">
        <f>IF(Ujian!F94="","",IF(LEFT(Ujian!F94,1)=SEKOR!F$2,1,0))</f>
        <v/>
      </c>
      <c r="G87" s="125" t="str">
        <f>IF(Ujian!G94="","",IF(LEFT(Ujian!G94,1)=SEKOR!G$2,1,0))</f>
        <v/>
      </c>
      <c r="H87" s="125" t="str">
        <f>IF(Ujian!H94="","",IF(LEFT(Ujian!H94,1)=SEKOR!H$2,1,0))</f>
        <v/>
      </c>
      <c r="I87" s="125" t="str">
        <f>IF(Ujian!I94="","",IF(LEFT(Ujian!I94,1)=SEKOR!I$2,1,0))</f>
        <v/>
      </c>
      <c r="J87" s="125" t="str">
        <f>IF(Ujian!J94="","",IF(LEFT(Ujian!J94,1)=SEKOR!J$2,1,0))</f>
        <v/>
      </c>
      <c r="K87" s="125" t="str">
        <f>IF(Ujian!K94="","",IF(LEFT(Ujian!K94,1)=SEKOR!K$2,1,0))</f>
        <v/>
      </c>
      <c r="L87" s="125" t="str">
        <f>IF(Ujian!L94="","",IF(LEFT(Ujian!L94,1)=SEKOR!L$2,1,0))</f>
        <v/>
      </c>
      <c r="M87" s="125" t="str">
        <f>IF(Ujian!M94="","",IF(LEFT(Ujian!M94,1)=SEKOR!M$2,1,0))</f>
        <v/>
      </c>
      <c r="N87" s="125" t="str">
        <f>IF(Ujian!N94="","",IF(LEFT(Ujian!N94,1)=SEKOR!N$2,1,0))</f>
        <v/>
      </c>
      <c r="O87" s="125" t="str">
        <f>IF(Ujian!O94="","",IF(LEFT(Ujian!O94,1)=SEKOR!O$2,1,0))</f>
        <v/>
      </c>
      <c r="P87" s="125" t="str">
        <f>IF(Ujian!P94="","",IF(LEFT(Ujian!P94,1)=SEKOR!P$2,1,0))</f>
        <v/>
      </c>
      <c r="Q87" s="125" t="str">
        <f>IF(Ujian!Q94="","",IF(LEFT(Ujian!Q94,1)=SEKOR!Q$2,1,0))</f>
        <v/>
      </c>
      <c r="R87" s="125" t="str">
        <f>IF(Ujian!R94="","",IF(LEFT(Ujian!R94,1)=SEKOR!R$2,1,0))</f>
        <v/>
      </c>
      <c r="S87" s="125" t="str">
        <f>IF(Ujian!S94="","",IF(LEFT(Ujian!S94,1)=SEKOR!S$2,1,0))</f>
        <v/>
      </c>
      <c r="T87" s="125" t="str">
        <f>IF(Ujian!T94="","",IF(LEFT(Ujian!T94,1)=SEKOR!T$2,1,0))</f>
        <v/>
      </c>
      <c r="U87" s="125" t="str">
        <f>IF(Ujian!U94="","",IF(LEFT(Ujian!U94,1)=SEKOR!U$2,1,0))</f>
        <v/>
      </c>
      <c r="V87" s="125" t="str">
        <f>IF(Ujian!V94="","",IF(LEFT(Ujian!V94,1)=SEKOR!V$2,1,0))</f>
        <v/>
      </c>
      <c r="W87" s="125" t="str">
        <f>IF(Ujian!W94="","",IF(LEFT(Ujian!W94,1)=SEKOR!W$2,1,0))</f>
        <v/>
      </c>
      <c r="X87" s="125" t="str">
        <f>IF(Ujian!X94="","",IF(LEFT(Ujian!X94,1)=SEKOR!X$2,1,0))</f>
        <v/>
      </c>
      <c r="Y87" s="125" t="str">
        <f>IF(Ujian!Y94="","",IF(LEFT(Ujian!Y94,1)=SEKOR!Y$2,1,0))</f>
        <v/>
      </c>
      <c r="Z87" s="125" t="str">
        <f>IF(Ujian!Z94="","",IF(LEFT(Ujian!Z94,1)=SEKOR!Z$2,1,0))</f>
        <v/>
      </c>
      <c r="AA87" s="125" t="str">
        <f>IF(Ujian!AA94="","",IF(LEFT(Ujian!AA94,1)=SEKOR!AA$2,1,0))</f>
        <v/>
      </c>
      <c r="AB87" s="125" t="str">
        <f>IF(Ujian!AB94="","",IF(LEFT(Ujian!AB94,1)=SEKOR!AB$2,1,0))</f>
        <v/>
      </c>
      <c r="AC87" s="125" t="str">
        <f>IF(Ujian!AC94="","",IF(LEFT(Ujian!AC94,1)=SEKOR!AC$2,1,0))</f>
        <v/>
      </c>
      <c r="AD87" s="125" t="str">
        <f>IF(Ujian!AD94="","",IF(LEFT(Ujian!AD94,1)=SEKOR!AD$2,1,0))</f>
        <v/>
      </c>
      <c r="AE87" s="125" t="str">
        <f>IF(Ujian!AE94="","",IF(LEFT(Ujian!AE94,1)=SEKOR!AE$2,1,0))</f>
        <v/>
      </c>
      <c r="AF87" s="125" t="str">
        <f>IF(Ujian!AF94="","",IF(LEFT(Ujian!AF94,1)=SEKOR!AF$2,1,0))</f>
        <v/>
      </c>
      <c r="AG87" s="125" t="str">
        <f>IF(Ujian!AG94="","",IF(LEFT(Ujian!AG94,1)=SEKOR!AG$2,1,0))</f>
        <v/>
      </c>
      <c r="AH87" s="125" t="str">
        <f>IF(Ujian!AH94="","",IF(LEFT(Ujian!AH94,1)=SEKOR!AH$2,1,0))</f>
        <v/>
      </c>
      <c r="AI87" s="125" t="str">
        <f>IF(Ujian!AI94="","",IF(LEFT(Ujian!AI94,1)=SEKOR!AI$2,1,0))</f>
        <v/>
      </c>
      <c r="AJ87" s="125" t="str">
        <f>IF(Ujian!AJ94="","",IF(LEFT(Ujian!AJ94,1)=SEKOR!AJ$2,1,0))</f>
        <v/>
      </c>
      <c r="AK87" s="125" t="str">
        <f>IF(Ujian!AK94="","",IF(LEFT(Ujian!AK94,1)=SEKOR!AK$2,1,0))</f>
        <v/>
      </c>
      <c r="AL87" s="125" t="str">
        <f>IF(Ujian!AL94="","",IF(LEFT(Ujian!AL94,1)=SEKOR!AL$2,1,0))</f>
        <v/>
      </c>
      <c r="AM87" s="125" t="str">
        <f>IF(Ujian!AM94="","",IF(LEFT(Ujian!AM94,1)=SEKOR!AM$2,1,0))</f>
        <v/>
      </c>
      <c r="AN87" s="125" t="str">
        <f>IF(Ujian!AN94="","",IF(LEFT(Ujian!AN94,1)=SEKOR!AN$2,1,0))</f>
        <v/>
      </c>
      <c r="AO87" s="125" t="str">
        <f>IF(Ujian!AO94="","",IF(LEFT(Ujian!AO94,1)=SEKOR!AO$2,1,0))</f>
        <v/>
      </c>
      <c r="AP87" s="125" t="str">
        <f>IF(Ujian!AP94="","",IF(LEFT(Ujian!AP94,1)=SEKOR!AP$2,1,0))</f>
        <v/>
      </c>
      <c r="AQ87" s="125" t="str">
        <f>IF(Ujian!AQ94="","",IF(LEFT(Ujian!AQ94,1)=SEKOR!AQ$2,1,0))</f>
        <v/>
      </c>
      <c r="AR87" s="125" t="str">
        <f>IF(Ujian!AR94="","",IF(LEFT(Ujian!AR94,1)=SEKOR!AR$2,1,0))</f>
        <v/>
      </c>
      <c r="AS87" s="125" t="str">
        <f>IF(Ujian!AS94="","",IF(LEFT(Ujian!AS94,1)=SEKOR!AS$2,1,0))</f>
        <v/>
      </c>
      <c r="AT87" s="125" t="str">
        <f>IF(Ujian!AT94="","",IF(LEFT(Ujian!AT94,1)=SEKOR!AT$2,1,0))</f>
        <v/>
      </c>
      <c r="AU87" s="125" t="str">
        <f>IF(Ujian!AU94="","",IF(LEFT(Ujian!AU94,1)=SEKOR!AU$2,1,0))</f>
        <v/>
      </c>
      <c r="AV87" s="125" t="str">
        <f>IF(Ujian!AV94="","",IF(LEFT(Ujian!AV94,1)=SEKOR!AV$2,1,0))</f>
        <v/>
      </c>
      <c r="AW87" s="125" t="str">
        <f>IF(Ujian!AW94="","",IF(LEFT(Ujian!AW94,1)=SEKOR!AW$2,1,0))</f>
        <v/>
      </c>
      <c r="AX87" s="125" t="str">
        <f>IF(Ujian!AX94="","",IF(LEFT(Ujian!AX94,1)=SEKOR!AX$2,1,0))</f>
        <v/>
      </c>
      <c r="AY87" s="125" t="str">
        <f>IF(Ujian!AY94="","",IF(LEFT(Ujian!AY94,1)=SEKOR!AY$2,1,0))</f>
        <v/>
      </c>
      <c r="AZ87" s="125" t="str">
        <f>IF(Ujian!AZ94="","",IF(LEFT(Ujian!AZ94,1)=SEKOR!AZ$2,1,0))</f>
        <v/>
      </c>
      <c r="BA87" s="125" t="str">
        <f>IF(Ujian!BA94="","",IF(LEFT(Ujian!BA94,1)=SEKOR!BA$2,1,0))</f>
        <v/>
      </c>
      <c r="BB87" s="125" t="str">
        <f>IF(Ujian!BB94="","",IF(LEFT(Ujian!BB94,1)=SEKOR!BB$2,1,0))</f>
        <v/>
      </c>
      <c r="BC87" s="125" t="str">
        <f>IF(Ujian!BC94="","",IF(LEFT(Ujian!BC94,1)=SEKOR!BC$2,1,0))</f>
        <v/>
      </c>
      <c r="BD87" s="125" t="str">
        <f>IF(Ujian!BD94="","",IF(LEFT(Ujian!BD94,1)=SEKOR!BD$2,1,0))</f>
        <v/>
      </c>
      <c r="BE87" s="125" t="str">
        <f>IF(Ujian!BE94="","",IF(LEFT(Ujian!BE94,1)=SEKOR!BE$2,1,0))</f>
        <v/>
      </c>
      <c r="BF87" s="125" t="str">
        <f>IF(Ujian!BF94="","",IF(LEFT(Ujian!BF94,1)=SEKOR!BF$2,1,0))</f>
        <v/>
      </c>
      <c r="BG87" s="125" t="str">
        <f>IF(Ujian!BG94="","",IF(LEFT(Ujian!BG94,1)=SEKOR!BG$2,1,0))</f>
        <v/>
      </c>
      <c r="BH87" s="125" t="str">
        <f>IF(Ujian!BH94="","",IF(LEFT(Ujian!BH94,1)=SEKOR!BH$2,1,0))</f>
        <v/>
      </c>
      <c r="BI87" s="125" t="str">
        <f>IF(Ujian!BI94="","",IF(LEFT(Ujian!BI94,1)=SEKOR!BI$2,1,0))</f>
        <v/>
      </c>
      <c r="BJ87" s="125" t="str">
        <f>IF(Ujian!BJ94="","",IF(LEFT(Ujian!BJ94,1)=SEKOR!BJ$2,1,0))</f>
        <v/>
      </c>
      <c r="BK87" s="125" t="str">
        <f>IF(Ujian!BK94="","",IF(LEFT(Ujian!BK94,1)=SEKOR!BK$2,1,0))</f>
        <v/>
      </c>
      <c r="BL87" s="18">
        <f t="shared" si="2"/>
        <v>0</v>
      </c>
      <c r="BM87" s="18">
        <f>COUNTIF($D87:$BK87,"")+DATA!$F$14-DATA!$F$12</f>
        <v>60</v>
      </c>
      <c r="BN87" s="17">
        <f>IF(COUNTIF($D87:$BK87,1)&gt;DATA!$F$14,DATA!$F$14,COUNTIF($D87:$BK87,1))</f>
        <v>0</v>
      </c>
      <c r="BO87" s="17">
        <f>IF((BN87+COUNTIF($D87:$BK87,0))&lt;=DATA!$F$14,COUNTIF($D87:$BK87,0),DATA!$F$14-SEKOR!BN87)</f>
        <v>0</v>
      </c>
      <c r="BP87" s="4" t="str">
        <f>IF(BL87=0,"",BN87/DATA!$F$14*100)</f>
        <v/>
      </c>
      <c r="BQ87" s="121" t="str">
        <f t="shared" si="3"/>
        <v/>
      </c>
      <c r="BR87" s="2" t="str">
        <f>IF(Praktik!$E87=0,"",Praktik!$E87)</f>
        <v/>
      </c>
      <c r="BS87" s="2" t="str">
        <f>IF(BR87="","",(BP87*DATAINFO!$O$4)+(SEKOR!BR87*DATAINFO!$O$5)/(DATAINFO!$O$4+DATAINFO!$O$5))</f>
        <v/>
      </c>
      <c r="BT87" s="2" t="str">
        <f>IF(BL87=0,"",IF(DATA!$F$18="TIDAK",ROUNDUP((IF!$L$8*SEKOR!$BP87)+IF!$L$9,0),IF($BR87="","",ROUNDUP((IF!$L$20*$BS87)+IF!$L$21,0))))</f>
        <v/>
      </c>
      <c r="BU87" s="47" t="str">
        <f>IF(BP87="","",IF(SEKOR!BP87&gt;=DATA!$J$12,1,0))</f>
        <v/>
      </c>
      <c r="BV87" s="47" t="str">
        <f>IF(BQ87="","",IF(SEKOR!BQ87&gt;=DATA!$J$12,1,0))</f>
        <v/>
      </c>
      <c r="BW87" s="47" t="str">
        <f>IF(BR87="","",IF(SEKOR!BR87&gt;=DATA!$J$12,1,0))</f>
        <v/>
      </c>
      <c r="BX87" s="47" t="str">
        <f>IF(BT87="","",IF(DATA!$J$14="",IF(SEKOR!BT87&gt;=DATA!$J$12,1,0),IF(SEKOR!BT87&gt;=DATA!$J$14,1,0)))</f>
        <v/>
      </c>
    </row>
    <row r="88" spans="1:76" x14ac:dyDescent="0.25">
      <c r="A88" s="20" t="s">
        <v>115</v>
      </c>
      <c r="B88" s="21" t="str">
        <f>IF(Ujian!B95="","",Ujian!B95)</f>
        <v/>
      </c>
      <c r="C88" s="57" t="str">
        <f>IF(Ujian!C95="","",Ujian!C95)</f>
        <v/>
      </c>
      <c r="D88" s="125" t="str">
        <f>IF(Ujian!D95="","",IF(LEFT(Ujian!D95,1)=SEKOR!D$2,1,0))</f>
        <v/>
      </c>
      <c r="E88" s="125" t="str">
        <f>IF(Ujian!E95="","",IF(LEFT(Ujian!E95,1)=SEKOR!E$2,1,0))</f>
        <v/>
      </c>
      <c r="F88" s="125" t="str">
        <f>IF(Ujian!F95="","",IF(LEFT(Ujian!F95,1)=SEKOR!F$2,1,0))</f>
        <v/>
      </c>
      <c r="G88" s="125" t="str">
        <f>IF(Ujian!G95="","",IF(LEFT(Ujian!G95,1)=SEKOR!G$2,1,0))</f>
        <v/>
      </c>
      <c r="H88" s="125" t="str">
        <f>IF(Ujian!H95="","",IF(LEFT(Ujian!H95,1)=SEKOR!H$2,1,0))</f>
        <v/>
      </c>
      <c r="I88" s="125" t="str">
        <f>IF(Ujian!I95="","",IF(LEFT(Ujian!I95,1)=SEKOR!I$2,1,0))</f>
        <v/>
      </c>
      <c r="J88" s="125" t="str">
        <f>IF(Ujian!J95="","",IF(LEFT(Ujian!J95,1)=SEKOR!J$2,1,0))</f>
        <v/>
      </c>
      <c r="K88" s="125" t="str">
        <f>IF(Ujian!K95="","",IF(LEFT(Ujian!K95,1)=SEKOR!K$2,1,0))</f>
        <v/>
      </c>
      <c r="L88" s="125" t="str">
        <f>IF(Ujian!L95="","",IF(LEFT(Ujian!L95,1)=SEKOR!L$2,1,0))</f>
        <v/>
      </c>
      <c r="M88" s="125" t="str">
        <f>IF(Ujian!M95="","",IF(LEFT(Ujian!M95,1)=SEKOR!M$2,1,0))</f>
        <v/>
      </c>
      <c r="N88" s="125" t="str">
        <f>IF(Ujian!N95="","",IF(LEFT(Ujian!N95,1)=SEKOR!N$2,1,0))</f>
        <v/>
      </c>
      <c r="O88" s="125" t="str">
        <f>IF(Ujian!O95="","",IF(LEFT(Ujian!O95,1)=SEKOR!O$2,1,0))</f>
        <v/>
      </c>
      <c r="P88" s="125" t="str">
        <f>IF(Ujian!P95="","",IF(LEFT(Ujian!P95,1)=SEKOR!P$2,1,0))</f>
        <v/>
      </c>
      <c r="Q88" s="125" t="str">
        <f>IF(Ujian!Q95="","",IF(LEFT(Ujian!Q95,1)=SEKOR!Q$2,1,0))</f>
        <v/>
      </c>
      <c r="R88" s="125" t="str">
        <f>IF(Ujian!R95="","",IF(LEFT(Ujian!R95,1)=SEKOR!R$2,1,0))</f>
        <v/>
      </c>
      <c r="S88" s="125" t="str">
        <f>IF(Ujian!S95="","",IF(LEFT(Ujian!S95,1)=SEKOR!S$2,1,0))</f>
        <v/>
      </c>
      <c r="T88" s="125" t="str">
        <f>IF(Ujian!T95="","",IF(LEFT(Ujian!T95,1)=SEKOR!T$2,1,0))</f>
        <v/>
      </c>
      <c r="U88" s="125" t="str">
        <f>IF(Ujian!U95="","",IF(LEFT(Ujian!U95,1)=SEKOR!U$2,1,0))</f>
        <v/>
      </c>
      <c r="V88" s="125" t="str">
        <f>IF(Ujian!V95="","",IF(LEFT(Ujian!V95,1)=SEKOR!V$2,1,0))</f>
        <v/>
      </c>
      <c r="W88" s="125" t="str">
        <f>IF(Ujian!W95="","",IF(LEFT(Ujian!W95,1)=SEKOR!W$2,1,0))</f>
        <v/>
      </c>
      <c r="X88" s="125" t="str">
        <f>IF(Ujian!X95="","",IF(LEFT(Ujian!X95,1)=SEKOR!X$2,1,0))</f>
        <v/>
      </c>
      <c r="Y88" s="125" t="str">
        <f>IF(Ujian!Y95="","",IF(LEFT(Ujian!Y95,1)=SEKOR!Y$2,1,0))</f>
        <v/>
      </c>
      <c r="Z88" s="125" t="str">
        <f>IF(Ujian!Z95="","",IF(LEFT(Ujian!Z95,1)=SEKOR!Z$2,1,0))</f>
        <v/>
      </c>
      <c r="AA88" s="125" t="str">
        <f>IF(Ujian!AA95="","",IF(LEFT(Ujian!AA95,1)=SEKOR!AA$2,1,0))</f>
        <v/>
      </c>
      <c r="AB88" s="125" t="str">
        <f>IF(Ujian!AB95="","",IF(LEFT(Ujian!AB95,1)=SEKOR!AB$2,1,0))</f>
        <v/>
      </c>
      <c r="AC88" s="125" t="str">
        <f>IF(Ujian!AC95="","",IF(LEFT(Ujian!AC95,1)=SEKOR!AC$2,1,0))</f>
        <v/>
      </c>
      <c r="AD88" s="125" t="str">
        <f>IF(Ujian!AD95="","",IF(LEFT(Ujian!AD95,1)=SEKOR!AD$2,1,0))</f>
        <v/>
      </c>
      <c r="AE88" s="125" t="str">
        <f>IF(Ujian!AE95="","",IF(LEFT(Ujian!AE95,1)=SEKOR!AE$2,1,0))</f>
        <v/>
      </c>
      <c r="AF88" s="125" t="str">
        <f>IF(Ujian!AF95="","",IF(LEFT(Ujian!AF95,1)=SEKOR!AF$2,1,0))</f>
        <v/>
      </c>
      <c r="AG88" s="125" t="str">
        <f>IF(Ujian!AG95="","",IF(LEFT(Ujian!AG95,1)=SEKOR!AG$2,1,0))</f>
        <v/>
      </c>
      <c r="AH88" s="125" t="str">
        <f>IF(Ujian!AH95="","",IF(LEFT(Ujian!AH95,1)=SEKOR!AH$2,1,0))</f>
        <v/>
      </c>
      <c r="AI88" s="125" t="str">
        <f>IF(Ujian!AI95="","",IF(LEFT(Ujian!AI95,1)=SEKOR!AI$2,1,0))</f>
        <v/>
      </c>
      <c r="AJ88" s="125" t="str">
        <f>IF(Ujian!AJ95="","",IF(LEFT(Ujian!AJ95,1)=SEKOR!AJ$2,1,0))</f>
        <v/>
      </c>
      <c r="AK88" s="125" t="str">
        <f>IF(Ujian!AK95="","",IF(LEFT(Ujian!AK95,1)=SEKOR!AK$2,1,0))</f>
        <v/>
      </c>
      <c r="AL88" s="125" t="str">
        <f>IF(Ujian!AL95="","",IF(LEFT(Ujian!AL95,1)=SEKOR!AL$2,1,0))</f>
        <v/>
      </c>
      <c r="AM88" s="125" t="str">
        <f>IF(Ujian!AM95="","",IF(LEFT(Ujian!AM95,1)=SEKOR!AM$2,1,0))</f>
        <v/>
      </c>
      <c r="AN88" s="125" t="str">
        <f>IF(Ujian!AN95="","",IF(LEFT(Ujian!AN95,1)=SEKOR!AN$2,1,0))</f>
        <v/>
      </c>
      <c r="AO88" s="125" t="str">
        <f>IF(Ujian!AO95="","",IF(LEFT(Ujian!AO95,1)=SEKOR!AO$2,1,0))</f>
        <v/>
      </c>
      <c r="AP88" s="125" t="str">
        <f>IF(Ujian!AP95="","",IF(LEFT(Ujian!AP95,1)=SEKOR!AP$2,1,0))</f>
        <v/>
      </c>
      <c r="AQ88" s="125" t="str">
        <f>IF(Ujian!AQ95="","",IF(LEFT(Ujian!AQ95,1)=SEKOR!AQ$2,1,0))</f>
        <v/>
      </c>
      <c r="AR88" s="125" t="str">
        <f>IF(Ujian!AR95="","",IF(LEFT(Ujian!AR95,1)=SEKOR!AR$2,1,0))</f>
        <v/>
      </c>
      <c r="AS88" s="125" t="str">
        <f>IF(Ujian!AS95="","",IF(LEFT(Ujian!AS95,1)=SEKOR!AS$2,1,0))</f>
        <v/>
      </c>
      <c r="AT88" s="125" t="str">
        <f>IF(Ujian!AT95="","",IF(LEFT(Ujian!AT95,1)=SEKOR!AT$2,1,0))</f>
        <v/>
      </c>
      <c r="AU88" s="125" t="str">
        <f>IF(Ujian!AU95="","",IF(LEFT(Ujian!AU95,1)=SEKOR!AU$2,1,0))</f>
        <v/>
      </c>
      <c r="AV88" s="125" t="str">
        <f>IF(Ujian!AV95="","",IF(LEFT(Ujian!AV95,1)=SEKOR!AV$2,1,0))</f>
        <v/>
      </c>
      <c r="AW88" s="125" t="str">
        <f>IF(Ujian!AW95="","",IF(LEFT(Ujian!AW95,1)=SEKOR!AW$2,1,0))</f>
        <v/>
      </c>
      <c r="AX88" s="125" t="str">
        <f>IF(Ujian!AX95="","",IF(LEFT(Ujian!AX95,1)=SEKOR!AX$2,1,0))</f>
        <v/>
      </c>
      <c r="AY88" s="125" t="str">
        <f>IF(Ujian!AY95="","",IF(LEFT(Ujian!AY95,1)=SEKOR!AY$2,1,0))</f>
        <v/>
      </c>
      <c r="AZ88" s="125" t="str">
        <f>IF(Ujian!AZ95="","",IF(LEFT(Ujian!AZ95,1)=SEKOR!AZ$2,1,0))</f>
        <v/>
      </c>
      <c r="BA88" s="125" t="str">
        <f>IF(Ujian!BA95="","",IF(LEFT(Ujian!BA95,1)=SEKOR!BA$2,1,0))</f>
        <v/>
      </c>
      <c r="BB88" s="125" t="str">
        <f>IF(Ujian!BB95="","",IF(LEFT(Ujian!BB95,1)=SEKOR!BB$2,1,0))</f>
        <v/>
      </c>
      <c r="BC88" s="125" t="str">
        <f>IF(Ujian!BC95="","",IF(LEFT(Ujian!BC95,1)=SEKOR!BC$2,1,0))</f>
        <v/>
      </c>
      <c r="BD88" s="125" t="str">
        <f>IF(Ujian!BD95="","",IF(LEFT(Ujian!BD95,1)=SEKOR!BD$2,1,0))</f>
        <v/>
      </c>
      <c r="BE88" s="125" t="str">
        <f>IF(Ujian!BE95="","",IF(LEFT(Ujian!BE95,1)=SEKOR!BE$2,1,0))</f>
        <v/>
      </c>
      <c r="BF88" s="125" t="str">
        <f>IF(Ujian!BF95="","",IF(LEFT(Ujian!BF95,1)=SEKOR!BF$2,1,0))</f>
        <v/>
      </c>
      <c r="BG88" s="125" t="str">
        <f>IF(Ujian!BG95="","",IF(LEFT(Ujian!BG95,1)=SEKOR!BG$2,1,0))</f>
        <v/>
      </c>
      <c r="BH88" s="125" t="str">
        <f>IF(Ujian!BH95="","",IF(LEFT(Ujian!BH95,1)=SEKOR!BH$2,1,0))</f>
        <v/>
      </c>
      <c r="BI88" s="125" t="str">
        <f>IF(Ujian!BI95="","",IF(LEFT(Ujian!BI95,1)=SEKOR!BI$2,1,0))</f>
        <v/>
      </c>
      <c r="BJ88" s="125" t="str">
        <f>IF(Ujian!BJ95="","",IF(LEFT(Ujian!BJ95,1)=SEKOR!BJ$2,1,0))</f>
        <v/>
      </c>
      <c r="BK88" s="125" t="str">
        <f>IF(Ujian!BK95="","",IF(LEFT(Ujian!BK95,1)=SEKOR!BK$2,1,0))</f>
        <v/>
      </c>
      <c r="BL88" s="18">
        <f t="shared" si="2"/>
        <v>0</v>
      </c>
      <c r="BM88" s="18">
        <f>COUNTIF($D88:$BK88,"")+DATA!$F$14-DATA!$F$12</f>
        <v>60</v>
      </c>
      <c r="BN88" s="17">
        <f>IF(COUNTIF($D88:$BK88,1)&gt;DATA!$F$14,DATA!$F$14,COUNTIF($D88:$BK88,1))</f>
        <v>0</v>
      </c>
      <c r="BO88" s="17">
        <f>IF((BN88+COUNTIF($D88:$BK88,0))&lt;=DATA!$F$14,COUNTIF($D88:$BK88,0),DATA!$F$14-SEKOR!BN88)</f>
        <v>0</v>
      </c>
      <c r="BP88" s="4" t="str">
        <f>IF(BL88=0,"",BN88/DATA!$F$14*100)</f>
        <v/>
      </c>
      <c r="BQ88" s="121" t="str">
        <f t="shared" si="3"/>
        <v/>
      </c>
      <c r="BR88" s="2" t="str">
        <f>IF(Praktik!$E88=0,"",Praktik!$E88)</f>
        <v/>
      </c>
      <c r="BS88" s="2" t="str">
        <f>IF(BR88="","",(BP88*DATAINFO!$O$4)+(SEKOR!BR88*DATAINFO!$O$5)/(DATAINFO!$O$4+DATAINFO!$O$5))</f>
        <v/>
      </c>
      <c r="BT88" s="2" t="str">
        <f>IF(BL88=0,"",IF(DATA!$F$18="TIDAK",ROUNDUP((IF!$L$8*SEKOR!$BP88)+IF!$L$9,0),IF($BR88="","",ROUNDUP((IF!$L$20*$BS88)+IF!$L$21,0))))</f>
        <v/>
      </c>
      <c r="BU88" s="47" t="str">
        <f>IF(BP88="","",IF(SEKOR!BP88&gt;=DATA!$J$12,1,0))</f>
        <v/>
      </c>
      <c r="BV88" s="47" t="str">
        <f>IF(BQ88="","",IF(SEKOR!BQ88&gt;=DATA!$J$12,1,0))</f>
        <v/>
      </c>
      <c r="BW88" s="47" t="str">
        <f>IF(BR88="","",IF(SEKOR!BR88&gt;=DATA!$J$12,1,0))</f>
        <v/>
      </c>
      <c r="BX88" s="47" t="str">
        <f>IF(BT88="","",IF(DATA!$J$14="",IF(SEKOR!BT88&gt;=DATA!$J$12,1,0),IF(SEKOR!BT88&gt;=DATA!$J$14,1,0)))</f>
        <v/>
      </c>
    </row>
    <row r="89" spans="1:76" x14ac:dyDescent="0.25">
      <c r="A89" s="20" t="s">
        <v>116</v>
      </c>
      <c r="B89" s="21" t="str">
        <f>IF(Ujian!B96="","",Ujian!B96)</f>
        <v/>
      </c>
      <c r="C89" s="57" t="str">
        <f>IF(Ujian!C96="","",Ujian!C96)</f>
        <v/>
      </c>
      <c r="D89" s="125" t="str">
        <f>IF(Ujian!D96="","",IF(LEFT(Ujian!D96,1)=SEKOR!D$2,1,0))</f>
        <v/>
      </c>
      <c r="E89" s="125" t="str">
        <f>IF(Ujian!E96="","",IF(LEFT(Ujian!E96,1)=SEKOR!E$2,1,0))</f>
        <v/>
      </c>
      <c r="F89" s="125" t="str">
        <f>IF(Ujian!F96="","",IF(LEFT(Ujian!F96,1)=SEKOR!F$2,1,0))</f>
        <v/>
      </c>
      <c r="G89" s="125" t="str">
        <f>IF(Ujian!G96="","",IF(LEFT(Ujian!G96,1)=SEKOR!G$2,1,0))</f>
        <v/>
      </c>
      <c r="H89" s="125" t="str">
        <f>IF(Ujian!H96="","",IF(LEFT(Ujian!H96,1)=SEKOR!H$2,1,0))</f>
        <v/>
      </c>
      <c r="I89" s="125" t="str">
        <f>IF(Ujian!I96="","",IF(LEFT(Ujian!I96,1)=SEKOR!I$2,1,0))</f>
        <v/>
      </c>
      <c r="J89" s="125" t="str">
        <f>IF(Ujian!J96="","",IF(LEFT(Ujian!J96,1)=SEKOR!J$2,1,0))</f>
        <v/>
      </c>
      <c r="K89" s="125" t="str">
        <f>IF(Ujian!K96="","",IF(LEFT(Ujian!K96,1)=SEKOR!K$2,1,0))</f>
        <v/>
      </c>
      <c r="L89" s="125" t="str">
        <f>IF(Ujian!L96="","",IF(LEFT(Ujian!L96,1)=SEKOR!L$2,1,0))</f>
        <v/>
      </c>
      <c r="M89" s="125" t="str">
        <f>IF(Ujian!M96="","",IF(LEFT(Ujian!M96,1)=SEKOR!M$2,1,0))</f>
        <v/>
      </c>
      <c r="N89" s="125" t="str">
        <f>IF(Ujian!N96="","",IF(LEFT(Ujian!N96,1)=SEKOR!N$2,1,0))</f>
        <v/>
      </c>
      <c r="O89" s="125" t="str">
        <f>IF(Ujian!O96="","",IF(LEFT(Ujian!O96,1)=SEKOR!O$2,1,0))</f>
        <v/>
      </c>
      <c r="P89" s="125" t="str">
        <f>IF(Ujian!P96="","",IF(LEFT(Ujian!P96,1)=SEKOR!P$2,1,0))</f>
        <v/>
      </c>
      <c r="Q89" s="125" t="str">
        <f>IF(Ujian!Q96="","",IF(LEFT(Ujian!Q96,1)=SEKOR!Q$2,1,0))</f>
        <v/>
      </c>
      <c r="R89" s="125" t="str">
        <f>IF(Ujian!R96="","",IF(LEFT(Ujian!R96,1)=SEKOR!R$2,1,0))</f>
        <v/>
      </c>
      <c r="S89" s="125" t="str">
        <f>IF(Ujian!S96="","",IF(LEFT(Ujian!S96,1)=SEKOR!S$2,1,0))</f>
        <v/>
      </c>
      <c r="T89" s="125" t="str">
        <f>IF(Ujian!T96="","",IF(LEFT(Ujian!T96,1)=SEKOR!T$2,1,0))</f>
        <v/>
      </c>
      <c r="U89" s="125" t="str">
        <f>IF(Ujian!U96="","",IF(LEFT(Ujian!U96,1)=SEKOR!U$2,1,0))</f>
        <v/>
      </c>
      <c r="V89" s="125" t="str">
        <f>IF(Ujian!V96="","",IF(LEFT(Ujian!V96,1)=SEKOR!V$2,1,0))</f>
        <v/>
      </c>
      <c r="W89" s="125" t="str">
        <f>IF(Ujian!W96="","",IF(LEFT(Ujian!W96,1)=SEKOR!W$2,1,0))</f>
        <v/>
      </c>
      <c r="X89" s="125" t="str">
        <f>IF(Ujian!X96="","",IF(LEFT(Ujian!X96,1)=SEKOR!X$2,1,0))</f>
        <v/>
      </c>
      <c r="Y89" s="125" t="str">
        <f>IF(Ujian!Y96="","",IF(LEFT(Ujian!Y96,1)=SEKOR!Y$2,1,0))</f>
        <v/>
      </c>
      <c r="Z89" s="125" t="str">
        <f>IF(Ujian!Z96="","",IF(LEFT(Ujian!Z96,1)=SEKOR!Z$2,1,0))</f>
        <v/>
      </c>
      <c r="AA89" s="125" t="str">
        <f>IF(Ujian!AA96="","",IF(LEFT(Ujian!AA96,1)=SEKOR!AA$2,1,0))</f>
        <v/>
      </c>
      <c r="AB89" s="125" t="str">
        <f>IF(Ujian!AB96="","",IF(LEFT(Ujian!AB96,1)=SEKOR!AB$2,1,0))</f>
        <v/>
      </c>
      <c r="AC89" s="125" t="str">
        <f>IF(Ujian!AC96="","",IF(LEFT(Ujian!AC96,1)=SEKOR!AC$2,1,0))</f>
        <v/>
      </c>
      <c r="AD89" s="125" t="str">
        <f>IF(Ujian!AD96="","",IF(LEFT(Ujian!AD96,1)=SEKOR!AD$2,1,0))</f>
        <v/>
      </c>
      <c r="AE89" s="125" t="str">
        <f>IF(Ujian!AE96="","",IF(LEFT(Ujian!AE96,1)=SEKOR!AE$2,1,0))</f>
        <v/>
      </c>
      <c r="AF89" s="125" t="str">
        <f>IF(Ujian!AF96="","",IF(LEFT(Ujian!AF96,1)=SEKOR!AF$2,1,0))</f>
        <v/>
      </c>
      <c r="AG89" s="125" t="str">
        <f>IF(Ujian!AG96="","",IF(LEFT(Ujian!AG96,1)=SEKOR!AG$2,1,0))</f>
        <v/>
      </c>
      <c r="AH89" s="125" t="str">
        <f>IF(Ujian!AH96="","",IF(LEFT(Ujian!AH96,1)=SEKOR!AH$2,1,0))</f>
        <v/>
      </c>
      <c r="AI89" s="125" t="str">
        <f>IF(Ujian!AI96="","",IF(LEFT(Ujian!AI96,1)=SEKOR!AI$2,1,0))</f>
        <v/>
      </c>
      <c r="AJ89" s="125" t="str">
        <f>IF(Ujian!AJ96="","",IF(LEFT(Ujian!AJ96,1)=SEKOR!AJ$2,1,0))</f>
        <v/>
      </c>
      <c r="AK89" s="125" t="str">
        <f>IF(Ujian!AK96="","",IF(LEFT(Ujian!AK96,1)=SEKOR!AK$2,1,0))</f>
        <v/>
      </c>
      <c r="AL89" s="125" t="str">
        <f>IF(Ujian!AL96="","",IF(LEFT(Ujian!AL96,1)=SEKOR!AL$2,1,0))</f>
        <v/>
      </c>
      <c r="AM89" s="125" t="str">
        <f>IF(Ujian!AM96="","",IF(LEFT(Ujian!AM96,1)=SEKOR!AM$2,1,0))</f>
        <v/>
      </c>
      <c r="AN89" s="125" t="str">
        <f>IF(Ujian!AN96="","",IF(LEFT(Ujian!AN96,1)=SEKOR!AN$2,1,0))</f>
        <v/>
      </c>
      <c r="AO89" s="125" t="str">
        <f>IF(Ujian!AO96="","",IF(LEFT(Ujian!AO96,1)=SEKOR!AO$2,1,0))</f>
        <v/>
      </c>
      <c r="AP89" s="125" t="str">
        <f>IF(Ujian!AP96="","",IF(LEFT(Ujian!AP96,1)=SEKOR!AP$2,1,0))</f>
        <v/>
      </c>
      <c r="AQ89" s="125" t="str">
        <f>IF(Ujian!AQ96="","",IF(LEFT(Ujian!AQ96,1)=SEKOR!AQ$2,1,0))</f>
        <v/>
      </c>
      <c r="AR89" s="125" t="str">
        <f>IF(Ujian!AR96="","",IF(LEFT(Ujian!AR96,1)=SEKOR!AR$2,1,0))</f>
        <v/>
      </c>
      <c r="AS89" s="125" t="str">
        <f>IF(Ujian!AS96="","",IF(LEFT(Ujian!AS96,1)=SEKOR!AS$2,1,0))</f>
        <v/>
      </c>
      <c r="AT89" s="125" t="str">
        <f>IF(Ujian!AT96="","",IF(LEFT(Ujian!AT96,1)=SEKOR!AT$2,1,0))</f>
        <v/>
      </c>
      <c r="AU89" s="125" t="str">
        <f>IF(Ujian!AU96="","",IF(LEFT(Ujian!AU96,1)=SEKOR!AU$2,1,0))</f>
        <v/>
      </c>
      <c r="AV89" s="125" t="str">
        <f>IF(Ujian!AV96="","",IF(LEFT(Ujian!AV96,1)=SEKOR!AV$2,1,0))</f>
        <v/>
      </c>
      <c r="AW89" s="125" t="str">
        <f>IF(Ujian!AW96="","",IF(LEFT(Ujian!AW96,1)=SEKOR!AW$2,1,0))</f>
        <v/>
      </c>
      <c r="AX89" s="125" t="str">
        <f>IF(Ujian!AX96="","",IF(LEFT(Ujian!AX96,1)=SEKOR!AX$2,1,0))</f>
        <v/>
      </c>
      <c r="AY89" s="125" t="str">
        <f>IF(Ujian!AY96="","",IF(LEFT(Ujian!AY96,1)=SEKOR!AY$2,1,0))</f>
        <v/>
      </c>
      <c r="AZ89" s="125" t="str">
        <f>IF(Ujian!AZ96="","",IF(LEFT(Ujian!AZ96,1)=SEKOR!AZ$2,1,0))</f>
        <v/>
      </c>
      <c r="BA89" s="125" t="str">
        <f>IF(Ujian!BA96="","",IF(LEFT(Ujian!BA96,1)=SEKOR!BA$2,1,0))</f>
        <v/>
      </c>
      <c r="BB89" s="125" t="str">
        <f>IF(Ujian!BB96="","",IF(LEFT(Ujian!BB96,1)=SEKOR!BB$2,1,0))</f>
        <v/>
      </c>
      <c r="BC89" s="125" t="str">
        <f>IF(Ujian!BC96="","",IF(LEFT(Ujian!BC96,1)=SEKOR!BC$2,1,0))</f>
        <v/>
      </c>
      <c r="BD89" s="125" t="str">
        <f>IF(Ujian!BD96="","",IF(LEFT(Ujian!BD96,1)=SEKOR!BD$2,1,0))</f>
        <v/>
      </c>
      <c r="BE89" s="125" t="str">
        <f>IF(Ujian!BE96="","",IF(LEFT(Ujian!BE96,1)=SEKOR!BE$2,1,0))</f>
        <v/>
      </c>
      <c r="BF89" s="125" t="str">
        <f>IF(Ujian!BF96="","",IF(LEFT(Ujian!BF96,1)=SEKOR!BF$2,1,0))</f>
        <v/>
      </c>
      <c r="BG89" s="125" t="str">
        <f>IF(Ujian!BG96="","",IF(LEFT(Ujian!BG96,1)=SEKOR!BG$2,1,0))</f>
        <v/>
      </c>
      <c r="BH89" s="125" t="str">
        <f>IF(Ujian!BH96="","",IF(LEFT(Ujian!BH96,1)=SEKOR!BH$2,1,0))</f>
        <v/>
      </c>
      <c r="BI89" s="125" t="str">
        <f>IF(Ujian!BI96="","",IF(LEFT(Ujian!BI96,1)=SEKOR!BI$2,1,0))</f>
        <v/>
      </c>
      <c r="BJ89" s="125" t="str">
        <f>IF(Ujian!BJ96="","",IF(LEFT(Ujian!BJ96,1)=SEKOR!BJ$2,1,0))</f>
        <v/>
      </c>
      <c r="BK89" s="125" t="str">
        <f>IF(Ujian!BK96="","",IF(LEFT(Ujian!BK96,1)=SEKOR!BK$2,1,0))</f>
        <v/>
      </c>
      <c r="BL89" s="18">
        <f t="shared" si="2"/>
        <v>0</v>
      </c>
      <c r="BM89" s="18">
        <f>COUNTIF($D89:$BK89,"")+DATA!$F$14-DATA!$F$12</f>
        <v>60</v>
      </c>
      <c r="BN89" s="17">
        <f>IF(COUNTIF($D89:$BK89,1)&gt;DATA!$F$14,DATA!$F$14,COUNTIF($D89:$BK89,1))</f>
        <v>0</v>
      </c>
      <c r="BO89" s="17">
        <f>IF((BN89+COUNTIF($D89:$BK89,0))&lt;=DATA!$F$14,COUNTIF($D89:$BK89,0),DATA!$F$14-SEKOR!BN89)</f>
        <v>0</v>
      </c>
      <c r="BP89" s="4" t="str">
        <f>IF(BL89=0,"",BN89/DATA!$F$14*100)</f>
        <v/>
      </c>
      <c r="BQ89" s="121" t="str">
        <f t="shared" si="3"/>
        <v/>
      </c>
      <c r="BR89" s="2" t="str">
        <f>IF(Praktik!$E89=0,"",Praktik!$E89)</f>
        <v/>
      </c>
      <c r="BS89" s="2" t="str">
        <f>IF(BR89="","",(BP89*DATAINFO!$O$4)+(SEKOR!BR89*DATAINFO!$O$5)/(DATAINFO!$O$4+DATAINFO!$O$5))</f>
        <v/>
      </c>
      <c r="BT89" s="2" t="str">
        <f>IF(BL89=0,"",IF(DATA!$F$18="TIDAK",ROUNDUP((IF!$L$8*SEKOR!$BP89)+IF!$L$9,0),IF($BR89="","",ROUNDUP((IF!$L$20*$BS89)+IF!$L$21,0))))</f>
        <v/>
      </c>
      <c r="BU89" s="47" t="str">
        <f>IF(BP89="","",IF(SEKOR!BP89&gt;=DATA!$J$12,1,0))</f>
        <v/>
      </c>
      <c r="BV89" s="47" t="str">
        <f>IF(BQ89="","",IF(SEKOR!BQ89&gt;=DATA!$J$12,1,0))</f>
        <v/>
      </c>
      <c r="BW89" s="47" t="str">
        <f>IF(BR89="","",IF(SEKOR!BR89&gt;=DATA!$J$12,1,0))</f>
        <v/>
      </c>
      <c r="BX89" s="47" t="str">
        <f>IF(BT89="","",IF(DATA!$J$14="",IF(SEKOR!BT89&gt;=DATA!$J$12,1,0),IF(SEKOR!BT89&gt;=DATA!$J$14,1,0)))</f>
        <v/>
      </c>
    </row>
    <row r="90" spans="1:76" x14ac:dyDescent="0.25">
      <c r="A90" s="20" t="s">
        <v>117</v>
      </c>
      <c r="B90" s="21" t="str">
        <f>IF(Ujian!B97="","",Ujian!B97)</f>
        <v/>
      </c>
      <c r="C90" s="57" t="str">
        <f>IF(Ujian!C97="","",Ujian!C97)</f>
        <v/>
      </c>
      <c r="D90" s="125" t="str">
        <f>IF(Ujian!D97="","",IF(LEFT(Ujian!D97,1)=SEKOR!D$2,1,0))</f>
        <v/>
      </c>
      <c r="E90" s="125" t="str">
        <f>IF(Ujian!E97="","",IF(LEFT(Ujian!E97,1)=SEKOR!E$2,1,0))</f>
        <v/>
      </c>
      <c r="F90" s="125" t="str">
        <f>IF(Ujian!F97="","",IF(LEFT(Ujian!F97,1)=SEKOR!F$2,1,0))</f>
        <v/>
      </c>
      <c r="G90" s="125" t="str">
        <f>IF(Ujian!G97="","",IF(LEFT(Ujian!G97,1)=SEKOR!G$2,1,0))</f>
        <v/>
      </c>
      <c r="H90" s="125" t="str">
        <f>IF(Ujian!H97="","",IF(LEFT(Ujian!H97,1)=SEKOR!H$2,1,0))</f>
        <v/>
      </c>
      <c r="I90" s="125" t="str">
        <f>IF(Ujian!I97="","",IF(LEFT(Ujian!I97,1)=SEKOR!I$2,1,0))</f>
        <v/>
      </c>
      <c r="J90" s="125" t="str">
        <f>IF(Ujian!J97="","",IF(LEFT(Ujian!J97,1)=SEKOR!J$2,1,0))</f>
        <v/>
      </c>
      <c r="K90" s="125" t="str">
        <f>IF(Ujian!K97="","",IF(LEFT(Ujian!K97,1)=SEKOR!K$2,1,0))</f>
        <v/>
      </c>
      <c r="L90" s="125" t="str">
        <f>IF(Ujian!L97="","",IF(LEFT(Ujian!L97,1)=SEKOR!L$2,1,0))</f>
        <v/>
      </c>
      <c r="M90" s="125" t="str">
        <f>IF(Ujian!M97="","",IF(LEFT(Ujian!M97,1)=SEKOR!M$2,1,0))</f>
        <v/>
      </c>
      <c r="N90" s="125" t="str">
        <f>IF(Ujian!N97="","",IF(LEFT(Ujian!N97,1)=SEKOR!N$2,1,0))</f>
        <v/>
      </c>
      <c r="O90" s="125" t="str">
        <f>IF(Ujian!O97="","",IF(LEFT(Ujian!O97,1)=SEKOR!O$2,1,0))</f>
        <v/>
      </c>
      <c r="P90" s="125" t="str">
        <f>IF(Ujian!P97="","",IF(LEFT(Ujian!P97,1)=SEKOR!P$2,1,0))</f>
        <v/>
      </c>
      <c r="Q90" s="125" t="str">
        <f>IF(Ujian!Q97="","",IF(LEFT(Ujian!Q97,1)=SEKOR!Q$2,1,0))</f>
        <v/>
      </c>
      <c r="R90" s="125" t="str">
        <f>IF(Ujian!R97="","",IF(LEFT(Ujian!R97,1)=SEKOR!R$2,1,0))</f>
        <v/>
      </c>
      <c r="S90" s="125" t="str">
        <f>IF(Ujian!S97="","",IF(LEFT(Ujian!S97,1)=SEKOR!S$2,1,0))</f>
        <v/>
      </c>
      <c r="T90" s="125" t="str">
        <f>IF(Ujian!T97="","",IF(LEFT(Ujian!T97,1)=SEKOR!T$2,1,0))</f>
        <v/>
      </c>
      <c r="U90" s="125" t="str">
        <f>IF(Ujian!U97="","",IF(LEFT(Ujian!U97,1)=SEKOR!U$2,1,0))</f>
        <v/>
      </c>
      <c r="V90" s="125" t="str">
        <f>IF(Ujian!V97="","",IF(LEFT(Ujian!V97,1)=SEKOR!V$2,1,0))</f>
        <v/>
      </c>
      <c r="W90" s="125" t="str">
        <f>IF(Ujian!W97="","",IF(LEFT(Ujian!W97,1)=SEKOR!W$2,1,0))</f>
        <v/>
      </c>
      <c r="X90" s="125" t="str">
        <f>IF(Ujian!X97="","",IF(LEFT(Ujian!X97,1)=SEKOR!X$2,1,0))</f>
        <v/>
      </c>
      <c r="Y90" s="125" t="str">
        <f>IF(Ujian!Y97="","",IF(LEFT(Ujian!Y97,1)=SEKOR!Y$2,1,0))</f>
        <v/>
      </c>
      <c r="Z90" s="125" t="str">
        <f>IF(Ujian!Z97="","",IF(LEFT(Ujian!Z97,1)=SEKOR!Z$2,1,0))</f>
        <v/>
      </c>
      <c r="AA90" s="125" t="str">
        <f>IF(Ujian!AA97="","",IF(LEFT(Ujian!AA97,1)=SEKOR!AA$2,1,0))</f>
        <v/>
      </c>
      <c r="AB90" s="125" t="str">
        <f>IF(Ujian!AB97="","",IF(LEFT(Ujian!AB97,1)=SEKOR!AB$2,1,0))</f>
        <v/>
      </c>
      <c r="AC90" s="125" t="str">
        <f>IF(Ujian!AC97="","",IF(LEFT(Ujian!AC97,1)=SEKOR!AC$2,1,0))</f>
        <v/>
      </c>
      <c r="AD90" s="125" t="str">
        <f>IF(Ujian!AD97="","",IF(LEFT(Ujian!AD97,1)=SEKOR!AD$2,1,0))</f>
        <v/>
      </c>
      <c r="AE90" s="125" t="str">
        <f>IF(Ujian!AE97="","",IF(LEFT(Ujian!AE97,1)=SEKOR!AE$2,1,0))</f>
        <v/>
      </c>
      <c r="AF90" s="125" t="str">
        <f>IF(Ujian!AF97="","",IF(LEFT(Ujian!AF97,1)=SEKOR!AF$2,1,0))</f>
        <v/>
      </c>
      <c r="AG90" s="125" t="str">
        <f>IF(Ujian!AG97="","",IF(LEFT(Ujian!AG97,1)=SEKOR!AG$2,1,0))</f>
        <v/>
      </c>
      <c r="AH90" s="125" t="str">
        <f>IF(Ujian!AH97="","",IF(LEFT(Ujian!AH97,1)=SEKOR!AH$2,1,0))</f>
        <v/>
      </c>
      <c r="AI90" s="125" t="str">
        <f>IF(Ujian!AI97="","",IF(LEFT(Ujian!AI97,1)=SEKOR!AI$2,1,0))</f>
        <v/>
      </c>
      <c r="AJ90" s="125" t="str">
        <f>IF(Ujian!AJ97="","",IF(LEFT(Ujian!AJ97,1)=SEKOR!AJ$2,1,0))</f>
        <v/>
      </c>
      <c r="AK90" s="125" t="str">
        <f>IF(Ujian!AK97="","",IF(LEFT(Ujian!AK97,1)=SEKOR!AK$2,1,0))</f>
        <v/>
      </c>
      <c r="AL90" s="125" t="str">
        <f>IF(Ujian!AL97="","",IF(LEFT(Ujian!AL97,1)=SEKOR!AL$2,1,0))</f>
        <v/>
      </c>
      <c r="AM90" s="125" t="str">
        <f>IF(Ujian!AM97="","",IF(LEFT(Ujian!AM97,1)=SEKOR!AM$2,1,0))</f>
        <v/>
      </c>
      <c r="AN90" s="125" t="str">
        <f>IF(Ujian!AN97="","",IF(LEFT(Ujian!AN97,1)=SEKOR!AN$2,1,0))</f>
        <v/>
      </c>
      <c r="AO90" s="125" t="str">
        <f>IF(Ujian!AO97="","",IF(LEFT(Ujian!AO97,1)=SEKOR!AO$2,1,0))</f>
        <v/>
      </c>
      <c r="AP90" s="125" t="str">
        <f>IF(Ujian!AP97="","",IF(LEFT(Ujian!AP97,1)=SEKOR!AP$2,1,0))</f>
        <v/>
      </c>
      <c r="AQ90" s="125" t="str">
        <f>IF(Ujian!AQ97="","",IF(LEFT(Ujian!AQ97,1)=SEKOR!AQ$2,1,0))</f>
        <v/>
      </c>
      <c r="AR90" s="125" t="str">
        <f>IF(Ujian!AR97="","",IF(LEFT(Ujian!AR97,1)=SEKOR!AR$2,1,0))</f>
        <v/>
      </c>
      <c r="AS90" s="125" t="str">
        <f>IF(Ujian!AS97="","",IF(LEFT(Ujian!AS97,1)=SEKOR!AS$2,1,0))</f>
        <v/>
      </c>
      <c r="AT90" s="125" t="str">
        <f>IF(Ujian!AT97="","",IF(LEFT(Ujian!AT97,1)=SEKOR!AT$2,1,0))</f>
        <v/>
      </c>
      <c r="AU90" s="125" t="str">
        <f>IF(Ujian!AU97="","",IF(LEFT(Ujian!AU97,1)=SEKOR!AU$2,1,0))</f>
        <v/>
      </c>
      <c r="AV90" s="125" t="str">
        <f>IF(Ujian!AV97="","",IF(LEFT(Ujian!AV97,1)=SEKOR!AV$2,1,0))</f>
        <v/>
      </c>
      <c r="AW90" s="125" t="str">
        <f>IF(Ujian!AW97="","",IF(LEFT(Ujian!AW97,1)=SEKOR!AW$2,1,0))</f>
        <v/>
      </c>
      <c r="AX90" s="125" t="str">
        <f>IF(Ujian!AX97="","",IF(LEFT(Ujian!AX97,1)=SEKOR!AX$2,1,0))</f>
        <v/>
      </c>
      <c r="AY90" s="125" t="str">
        <f>IF(Ujian!AY97="","",IF(LEFT(Ujian!AY97,1)=SEKOR!AY$2,1,0))</f>
        <v/>
      </c>
      <c r="AZ90" s="125" t="str">
        <f>IF(Ujian!AZ97="","",IF(LEFT(Ujian!AZ97,1)=SEKOR!AZ$2,1,0))</f>
        <v/>
      </c>
      <c r="BA90" s="125" t="str">
        <f>IF(Ujian!BA97="","",IF(LEFT(Ujian!BA97,1)=SEKOR!BA$2,1,0))</f>
        <v/>
      </c>
      <c r="BB90" s="125" t="str">
        <f>IF(Ujian!BB97="","",IF(LEFT(Ujian!BB97,1)=SEKOR!BB$2,1,0))</f>
        <v/>
      </c>
      <c r="BC90" s="125" t="str">
        <f>IF(Ujian!BC97="","",IF(LEFT(Ujian!BC97,1)=SEKOR!BC$2,1,0))</f>
        <v/>
      </c>
      <c r="BD90" s="125" t="str">
        <f>IF(Ujian!BD97="","",IF(LEFT(Ujian!BD97,1)=SEKOR!BD$2,1,0))</f>
        <v/>
      </c>
      <c r="BE90" s="125" t="str">
        <f>IF(Ujian!BE97="","",IF(LEFT(Ujian!BE97,1)=SEKOR!BE$2,1,0))</f>
        <v/>
      </c>
      <c r="BF90" s="125" t="str">
        <f>IF(Ujian!BF97="","",IF(LEFT(Ujian!BF97,1)=SEKOR!BF$2,1,0))</f>
        <v/>
      </c>
      <c r="BG90" s="125" t="str">
        <f>IF(Ujian!BG97="","",IF(LEFT(Ujian!BG97,1)=SEKOR!BG$2,1,0))</f>
        <v/>
      </c>
      <c r="BH90" s="125" t="str">
        <f>IF(Ujian!BH97="","",IF(LEFT(Ujian!BH97,1)=SEKOR!BH$2,1,0))</f>
        <v/>
      </c>
      <c r="BI90" s="125" t="str">
        <f>IF(Ujian!BI97="","",IF(LEFT(Ujian!BI97,1)=SEKOR!BI$2,1,0))</f>
        <v/>
      </c>
      <c r="BJ90" s="125" t="str">
        <f>IF(Ujian!BJ97="","",IF(LEFT(Ujian!BJ97,1)=SEKOR!BJ$2,1,0))</f>
        <v/>
      </c>
      <c r="BK90" s="125" t="str">
        <f>IF(Ujian!BK97="","",IF(LEFT(Ujian!BK97,1)=SEKOR!BK$2,1,0))</f>
        <v/>
      </c>
      <c r="BL90" s="18">
        <f t="shared" si="2"/>
        <v>0</v>
      </c>
      <c r="BM90" s="18">
        <f>COUNTIF($D90:$BK90,"")+DATA!$F$14-DATA!$F$12</f>
        <v>60</v>
      </c>
      <c r="BN90" s="17">
        <f>IF(COUNTIF($D90:$BK90,1)&gt;DATA!$F$14,DATA!$F$14,COUNTIF($D90:$BK90,1))</f>
        <v>0</v>
      </c>
      <c r="BO90" s="17">
        <f>IF((BN90+COUNTIF($D90:$BK90,0))&lt;=DATA!$F$14,COUNTIF($D90:$BK90,0),DATA!$F$14-SEKOR!BN90)</f>
        <v>0</v>
      </c>
      <c r="BP90" s="4" t="str">
        <f>IF(BL90=0,"",BN90/DATA!$F$14*100)</f>
        <v/>
      </c>
      <c r="BQ90" s="121" t="str">
        <f t="shared" si="3"/>
        <v/>
      </c>
      <c r="BR90" s="2" t="str">
        <f>IF(Praktik!$E90=0,"",Praktik!$E90)</f>
        <v/>
      </c>
      <c r="BS90" s="2" t="str">
        <f>IF(BR90="","",(BP90*DATAINFO!$O$4)+(SEKOR!BR90*DATAINFO!$O$5)/(DATAINFO!$O$4+DATAINFO!$O$5))</f>
        <v/>
      </c>
      <c r="BT90" s="2" t="str">
        <f>IF(BL90=0,"",IF(DATA!$F$18="TIDAK",ROUNDUP((IF!$L$8*SEKOR!$BP90)+IF!$L$9,0),IF($BR90="","",ROUNDUP((IF!$L$20*$BS90)+IF!$L$21,0))))</f>
        <v/>
      </c>
      <c r="BU90" s="47" t="str">
        <f>IF(BP90="","",IF(SEKOR!BP90&gt;=DATA!$J$12,1,0))</f>
        <v/>
      </c>
      <c r="BV90" s="47" t="str">
        <f>IF(BQ90="","",IF(SEKOR!BQ90&gt;=DATA!$J$12,1,0))</f>
        <v/>
      </c>
      <c r="BW90" s="47" t="str">
        <f>IF(BR90="","",IF(SEKOR!BR90&gt;=DATA!$J$12,1,0))</f>
        <v/>
      </c>
      <c r="BX90" s="47" t="str">
        <f>IF(BT90="","",IF(DATA!$J$14="",IF(SEKOR!BT90&gt;=DATA!$J$12,1,0),IF(SEKOR!BT90&gt;=DATA!$J$14,1,0)))</f>
        <v/>
      </c>
    </row>
    <row r="91" spans="1:76" x14ac:dyDescent="0.25">
      <c r="A91" s="20" t="s">
        <v>118</v>
      </c>
      <c r="B91" s="21" t="str">
        <f>IF(Ujian!B98="","",Ujian!B98)</f>
        <v/>
      </c>
      <c r="C91" s="57" t="str">
        <f>IF(Ujian!C98="","",Ujian!C98)</f>
        <v/>
      </c>
      <c r="D91" s="125" t="str">
        <f>IF(Ujian!D98="","",IF(LEFT(Ujian!D98,1)=SEKOR!D$2,1,0))</f>
        <v/>
      </c>
      <c r="E91" s="125" t="str">
        <f>IF(Ujian!E98="","",IF(LEFT(Ujian!E98,1)=SEKOR!E$2,1,0))</f>
        <v/>
      </c>
      <c r="F91" s="125" t="str">
        <f>IF(Ujian!F98="","",IF(LEFT(Ujian!F98,1)=SEKOR!F$2,1,0))</f>
        <v/>
      </c>
      <c r="G91" s="125" t="str">
        <f>IF(Ujian!G98="","",IF(LEFT(Ujian!G98,1)=SEKOR!G$2,1,0))</f>
        <v/>
      </c>
      <c r="H91" s="125" t="str">
        <f>IF(Ujian!H98="","",IF(LEFT(Ujian!H98,1)=SEKOR!H$2,1,0))</f>
        <v/>
      </c>
      <c r="I91" s="125" t="str">
        <f>IF(Ujian!I98="","",IF(LEFT(Ujian!I98,1)=SEKOR!I$2,1,0))</f>
        <v/>
      </c>
      <c r="J91" s="125" t="str">
        <f>IF(Ujian!J98="","",IF(LEFT(Ujian!J98,1)=SEKOR!J$2,1,0))</f>
        <v/>
      </c>
      <c r="K91" s="125" t="str">
        <f>IF(Ujian!K98="","",IF(LEFT(Ujian!K98,1)=SEKOR!K$2,1,0))</f>
        <v/>
      </c>
      <c r="L91" s="125" t="str">
        <f>IF(Ujian!L98="","",IF(LEFT(Ujian!L98,1)=SEKOR!L$2,1,0))</f>
        <v/>
      </c>
      <c r="M91" s="125" t="str">
        <f>IF(Ujian!M98="","",IF(LEFT(Ujian!M98,1)=SEKOR!M$2,1,0))</f>
        <v/>
      </c>
      <c r="N91" s="125" t="str">
        <f>IF(Ujian!N98="","",IF(LEFT(Ujian!N98,1)=SEKOR!N$2,1,0))</f>
        <v/>
      </c>
      <c r="O91" s="125" t="str">
        <f>IF(Ujian!O98="","",IF(LEFT(Ujian!O98,1)=SEKOR!O$2,1,0))</f>
        <v/>
      </c>
      <c r="P91" s="125" t="str">
        <f>IF(Ujian!P98="","",IF(LEFT(Ujian!P98,1)=SEKOR!P$2,1,0))</f>
        <v/>
      </c>
      <c r="Q91" s="125" t="str">
        <f>IF(Ujian!Q98="","",IF(LEFT(Ujian!Q98,1)=SEKOR!Q$2,1,0))</f>
        <v/>
      </c>
      <c r="R91" s="125" t="str">
        <f>IF(Ujian!R98="","",IF(LEFT(Ujian!R98,1)=SEKOR!R$2,1,0))</f>
        <v/>
      </c>
      <c r="S91" s="125" t="str">
        <f>IF(Ujian!S98="","",IF(LEFT(Ujian!S98,1)=SEKOR!S$2,1,0))</f>
        <v/>
      </c>
      <c r="T91" s="125" t="str">
        <f>IF(Ujian!T98="","",IF(LEFT(Ujian!T98,1)=SEKOR!T$2,1,0))</f>
        <v/>
      </c>
      <c r="U91" s="125" t="str">
        <f>IF(Ujian!U98="","",IF(LEFT(Ujian!U98,1)=SEKOR!U$2,1,0))</f>
        <v/>
      </c>
      <c r="V91" s="125" t="str">
        <f>IF(Ujian!V98="","",IF(LEFT(Ujian!V98,1)=SEKOR!V$2,1,0))</f>
        <v/>
      </c>
      <c r="W91" s="125" t="str">
        <f>IF(Ujian!W98="","",IF(LEFT(Ujian!W98,1)=SEKOR!W$2,1,0))</f>
        <v/>
      </c>
      <c r="X91" s="125" t="str">
        <f>IF(Ujian!X98="","",IF(LEFT(Ujian!X98,1)=SEKOR!X$2,1,0))</f>
        <v/>
      </c>
      <c r="Y91" s="125" t="str">
        <f>IF(Ujian!Y98="","",IF(LEFT(Ujian!Y98,1)=SEKOR!Y$2,1,0))</f>
        <v/>
      </c>
      <c r="Z91" s="125" t="str">
        <f>IF(Ujian!Z98="","",IF(LEFT(Ujian!Z98,1)=SEKOR!Z$2,1,0))</f>
        <v/>
      </c>
      <c r="AA91" s="125" t="str">
        <f>IF(Ujian!AA98="","",IF(LEFT(Ujian!AA98,1)=SEKOR!AA$2,1,0))</f>
        <v/>
      </c>
      <c r="AB91" s="125" t="str">
        <f>IF(Ujian!AB98="","",IF(LEFT(Ujian!AB98,1)=SEKOR!AB$2,1,0))</f>
        <v/>
      </c>
      <c r="AC91" s="125" t="str">
        <f>IF(Ujian!AC98="","",IF(LEFT(Ujian!AC98,1)=SEKOR!AC$2,1,0))</f>
        <v/>
      </c>
      <c r="AD91" s="125" t="str">
        <f>IF(Ujian!AD98="","",IF(LEFT(Ujian!AD98,1)=SEKOR!AD$2,1,0))</f>
        <v/>
      </c>
      <c r="AE91" s="125" t="str">
        <f>IF(Ujian!AE98="","",IF(LEFT(Ujian!AE98,1)=SEKOR!AE$2,1,0))</f>
        <v/>
      </c>
      <c r="AF91" s="125" t="str">
        <f>IF(Ujian!AF98="","",IF(LEFT(Ujian!AF98,1)=SEKOR!AF$2,1,0))</f>
        <v/>
      </c>
      <c r="AG91" s="125" t="str">
        <f>IF(Ujian!AG98="","",IF(LEFT(Ujian!AG98,1)=SEKOR!AG$2,1,0))</f>
        <v/>
      </c>
      <c r="AH91" s="125" t="str">
        <f>IF(Ujian!AH98="","",IF(LEFT(Ujian!AH98,1)=SEKOR!AH$2,1,0))</f>
        <v/>
      </c>
      <c r="AI91" s="125" t="str">
        <f>IF(Ujian!AI98="","",IF(LEFT(Ujian!AI98,1)=SEKOR!AI$2,1,0))</f>
        <v/>
      </c>
      <c r="AJ91" s="125" t="str">
        <f>IF(Ujian!AJ98="","",IF(LEFT(Ujian!AJ98,1)=SEKOR!AJ$2,1,0))</f>
        <v/>
      </c>
      <c r="AK91" s="125" t="str">
        <f>IF(Ujian!AK98="","",IF(LEFT(Ujian!AK98,1)=SEKOR!AK$2,1,0))</f>
        <v/>
      </c>
      <c r="AL91" s="125" t="str">
        <f>IF(Ujian!AL98="","",IF(LEFT(Ujian!AL98,1)=SEKOR!AL$2,1,0))</f>
        <v/>
      </c>
      <c r="AM91" s="125" t="str">
        <f>IF(Ujian!AM98="","",IF(LEFT(Ujian!AM98,1)=SEKOR!AM$2,1,0))</f>
        <v/>
      </c>
      <c r="AN91" s="125" t="str">
        <f>IF(Ujian!AN98="","",IF(LEFT(Ujian!AN98,1)=SEKOR!AN$2,1,0))</f>
        <v/>
      </c>
      <c r="AO91" s="125" t="str">
        <f>IF(Ujian!AO98="","",IF(LEFT(Ujian!AO98,1)=SEKOR!AO$2,1,0))</f>
        <v/>
      </c>
      <c r="AP91" s="125" t="str">
        <f>IF(Ujian!AP98="","",IF(LEFT(Ujian!AP98,1)=SEKOR!AP$2,1,0))</f>
        <v/>
      </c>
      <c r="AQ91" s="125" t="str">
        <f>IF(Ujian!AQ98="","",IF(LEFT(Ujian!AQ98,1)=SEKOR!AQ$2,1,0))</f>
        <v/>
      </c>
      <c r="AR91" s="125" t="str">
        <f>IF(Ujian!AR98="","",IF(LEFT(Ujian!AR98,1)=SEKOR!AR$2,1,0))</f>
        <v/>
      </c>
      <c r="AS91" s="125" t="str">
        <f>IF(Ujian!AS98="","",IF(LEFT(Ujian!AS98,1)=SEKOR!AS$2,1,0))</f>
        <v/>
      </c>
      <c r="AT91" s="125" t="str">
        <f>IF(Ujian!AT98="","",IF(LEFT(Ujian!AT98,1)=SEKOR!AT$2,1,0))</f>
        <v/>
      </c>
      <c r="AU91" s="125" t="str">
        <f>IF(Ujian!AU98="","",IF(LEFT(Ujian!AU98,1)=SEKOR!AU$2,1,0))</f>
        <v/>
      </c>
      <c r="AV91" s="125" t="str">
        <f>IF(Ujian!AV98="","",IF(LEFT(Ujian!AV98,1)=SEKOR!AV$2,1,0))</f>
        <v/>
      </c>
      <c r="AW91" s="125" t="str">
        <f>IF(Ujian!AW98="","",IF(LEFT(Ujian!AW98,1)=SEKOR!AW$2,1,0))</f>
        <v/>
      </c>
      <c r="AX91" s="125" t="str">
        <f>IF(Ujian!AX98="","",IF(LEFT(Ujian!AX98,1)=SEKOR!AX$2,1,0))</f>
        <v/>
      </c>
      <c r="AY91" s="125" t="str">
        <f>IF(Ujian!AY98="","",IF(LEFT(Ujian!AY98,1)=SEKOR!AY$2,1,0))</f>
        <v/>
      </c>
      <c r="AZ91" s="125" t="str">
        <f>IF(Ujian!AZ98="","",IF(LEFT(Ujian!AZ98,1)=SEKOR!AZ$2,1,0))</f>
        <v/>
      </c>
      <c r="BA91" s="125" t="str">
        <f>IF(Ujian!BA98="","",IF(LEFT(Ujian!BA98,1)=SEKOR!BA$2,1,0))</f>
        <v/>
      </c>
      <c r="BB91" s="125" t="str">
        <f>IF(Ujian!BB98="","",IF(LEFT(Ujian!BB98,1)=SEKOR!BB$2,1,0))</f>
        <v/>
      </c>
      <c r="BC91" s="125" t="str">
        <f>IF(Ujian!BC98="","",IF(LEFT(Ujian!BC98,1)=SEKOR!BC$2,1,0))</f>
        <v/>
      </c>
      <c r="BD91" s="125" t="str">
        <f>IF(Ujian!BD98="","",IF(LEFT(Ujian!BD98,1)=SEKOR!BD$2,1,0))</f>
        <v/>
      </c>
      <c r="BE91" s="125" t="str">
        <f>IF(Ujian!BE98="","",IF(LEFT(Ujian!BE98,1)=SEKOR!BE$2,1,0))</f>
        <v/>
      </c>
      <c r="BF91" s="125" t="str">
        <f>IF(Ujian!BF98="","",IF(LEFT(Ujian!BF98,1)=SEKOR!BF$2,1,0))</f>
        <v/>
      </c>
      <c r="BG91" s="125" t="str">
        <f>IF(Ujian!BG98="","",IF(LEFT(Ujian!BG98,1)=SEKOR!BG$2,1,0))</f>
        <v/>
      </c>
      <c r="BH91" s="125" t="str">
        <f>IF(Ujian!BH98="","",IF(LEFT(Ujian!BH98,1)=SEKOR!BH$2,1,0))</f>
        <v/>
      </c>
      <c r="BI91" s="125" t="str">
        <f>IF(Ujian!BI98="","",IF(LEFT(Ujian!BI98,1)=SEKOR!BI$2,1,0))</f>
        <v/>
      </c>
      <c r="BJ91" s="125" t="str">
        <f>IF(Ujian!BJ98="","",IF(LEFT(Ujian!BJ98,1)=SEKOR!BJ$2,1,0))</f>
        <v/>
      </c>
      <c r="BK91" s="125" t="str">
        <f>IF(Ujian!BK98="","",IF(LEFT(Ujian!BK98,1)=SEKOR!BK$2,1,0))</f>
        <v/>
      </c>
      <c r="BL91" s="18">
        <f t="shared" si="2"/>
        <v>0</v>
      </c>
      <c r="BM91" s="18">
        <f>COUNTIF($D91:$BK91,"")+DATA!$F$14-DATA!$F$12</f>
        <v>60</v>
      </c>
      <c r="BN91" s="17">
        <f>IF(COUNTIF($D91:$BK91,1)&gt;DATA!$F$14,DATA!$F$14,COUNTIF($D91:$BK91,1))</f>
        <v>0</v>
      </c>
      <c r="BO91" s="17">
        <f>IF((BN91+COUNTIF($D91:$BK91,0))&lt;=DATA!$F$14,COUNTIF($D91:$BK91,0),DATA!$F$14-SEKOR!BN91)</f>
        <v>0</v>
      </c>
      <c r="BP91" s="4" t="str">
        <f>IF(BL91=0,"",BN91/DATA!$F$14*100)</f>
        <v/>
      </c>
      <c r="BQ91" s="121" t="str">
        <f t="shared" si="3"/>
        <v/>
      </c>
      <c r="BR91" s="2" t="str">
        <f>IF(Praktik!$E91=0,"",Praktik!$E91)</f>
        <v/>
      </c>
      <c r="BS91" s="2" t="str">
        <f>IF(BR91="","",(BP91*DATAINFO!$O$4)+(SEKOR!BR91*DATAINFO!$O$5)/(DATAINFO!$O$4+DATAINFO!$O$5))</f>
        <v/>
      </c>
      <c r="BT91" s="2" t="str">
        <f>IF(BL91=0,"",IF(DATA!$F$18="TIDAK",ROUNDUP((IF!$L$8*SEKOR!$BP91)+IF!$L$9,0),IF($BR91="","",ROUNDUP((IF!$L$20*$BS91)+IF!$L$21,0))))</f>
        <v/>
      </c>
      <c r="BU91" s="47" t="str">
        <f>IF(BP91="","",IF(SEKOR!BP91&gt;=DATA!$J$12,1,0))</f>
        <v/>
      </c>
      <c r="BV91" s="47" t="str">
        <f>IF(BQ91="","",IF(SEKOR!BQ91&gt;=DATA!$J$12,1,0))</f>
        <v/>
      </c>
      <c r="BW91" s="47" t="str">
        <f>IF(BR91="","",IF(SEKOR!BR91&gt;=DATA!$J$12,1,0))</f>
        <v/>
      </c>
      <c r="BX91" s="47" t="str">
        <f>IF(BT91="","",IF(DATA!$J$14="",IF(SEKOR!BT91&gt;=DATA!$J$12,1,0),IF(SEKOR!BT91&gt;=DATA!$J$14,1,0)))</f>
        <v/>
      </c>
    </row>
    <row r="92" spans="1:76" x14ac:dyDescent="0.25">
      <c r="A92" s="20" t="s">
        <v>119</v>
      </c>
      <c r="B92" s="21" t="str">
        <f>IF(Ujian!B99="","",Ujian!B99)</f>
        <v/>
      </c>
      <c r="C92" s="57" t="str">
        <f>IF(Ujian!C99="","",Ujian!C99)</f>
        <v/>
      </c>
      <c r="D92" s="125" t="str">
        <f>IF(Ujian!D99="","",IF(LEFT(Ujian!D99,1)=SEKOR!D$2,1,0))</f>
        <v/>
      </c>
      <c r="E92" s="125" t="str">
        <f>IF(Ujian!E99="","",IF(LEFT(Ujian!E99,1)=SEKOR!E$2,1,0))</f>
        <v/>
      </c>
      <c r="F92" s="125" t="str">
        <f>IF(Ujian!F99="","",IF(LEFT(Ujian!F99,1)=SEKOR!F$2,1,0))</f>
        <v/>
      </c>
      <c r="G92" s="125" t="str">
        <f>IF(Ujian!G99="","",IF(LEFT(Ujian!G99,1)=SEKOR!G$2,1,0))</f>
        <v/>
      </c>
      <c r="H92" s="125" t="str">
        <f>IF(Ujian!H99="","",IF(LEFT(Ujian!H99,1)=SEKOR!H$2,1,0))</f>
        <v/>
      </c>
      <c r="I92" s="125" t="str">
        <f>IF(Ujian!I99="","",IF(LEFT(Ujian!I99,1)=SEKOR!I$2,1,0))</f>
        <v/>
      </c>
      <c r="J92" s="125" t="str">
        <f>IF(Ujian!J99="","",IF(LEFT(Ujian!J99,1)=SEKOR!J$2,1,0))</f>
        <v/>
      </c>
      <c r="K92" s="125" t="str">
        <f>IF(Ujian!K99="","",IF(LEFT(Ujian!K99,1)=SEKOR!K$2,1,0))</f>
        <v/>
      </c>
      <c r="L92" s="125" t="str">
        <f>IF(Ujian!L99="","",IF(LEFT(Ujian!L99,1)=SEKOR!L$2,1,0))</f>
        <v/>
      </c>
      <c r="M92" s="125" t="str">
        <f>IF(Ujian!M99="","",IF(LEFT(Ujian!M99,1)=SEKOR!M$2,1,0))</f>
        <v/>
      </c>
      <c r="N92" s="125" t="str">
        <f>IF(Ujian!N99="","",IF(LEFT(Ujian!N99,1)=SEKOR!N$2,1,0))</f>
        <v/>
      </c>
      <c r="O92" s="125" t="str">
        <f>IF(Ujian!O99="","",IF(LEFT(Ujian!O99,1)=SEKOR!O$2,1,0))</f>
        <v/>
      </c>
      <c r="P92" s="125" t="str">
        <f>IF(Ujian!P99="","",IF(LEFT(Ujian!P99,1)=SEKOR!P$2,1,0))</f>
        <v/>
      </c>
      <c r="Q92" s="125" t="str">
        <f>IF(Ujian!Q99="","",IF(LEFT(Ujian!Q99,1)=SEKOR!Q$2,1,0))</f>
        <v/>
      </c>
      <c r="R92" s="125" t="str">
        <f>IF(Ujian!R99="","",IF(LEFT(Ujian!R99,1)=SEKOR!R$2,1,0))</f>
        <v/>
      </c>
      <c r="S92" s="125" t="str">
        <f>IF(Ujian!S99="","",IF(LEFT(Ujian!S99,1)=SEKOR!S$2,1,0))</f>
        <v/>
      </c>
      <c r="T92" s="125" t="str">
        <f>IF(Ujian!T99="","",IF(LEFT(Ujian!T99,1)=SEKOR!T$2,1,0))</f>
        <v/>
      </c>
      <c r="U92" s="125" t="str">
        <f>IF(Ujian!U99="","",IF(LEFT(Ujian!U99,1)=SEKOR!U$2,1,0))</f>
        <v/>
      </c>
      <c r="V92" s="125" t="str">
        <f>IF(Ujian!V99="","",IF(LEFT(Ujian!V99,1)=SEKOR!V$2,1,0))</f>
        <v/>
      </c>
      <c r="W92" s="125" t="str">
        <f>IF(Ujian!W99="","",IF(LEFT(Ujian!W99,1)=SEKOR!W$2,1,0))</f>
        <v/>
      </c>
      <c r="X92" s="125" t="str">
        <f>IF(Ujian!X99="","",IF(LEFT(Ujian!X99,1)=SEKOR!X$2,1,0))</f>
        <v/>
      </c>
      <c r="Y92" s="125" t="str">
        <f>IF(Ujian!Y99="","",IF(LEFT(Ujian!Y99,1)=SEKOR!Y$2,1,0))</f>
        <v/>
      </c>
      <c r="Z92" s="125" t="str">
        <f>IF(Ujian!Z99="","",IF(LEFT(Ujian!Z99,1)=SEKOR!Z$2,1,0))</f>
        <v/>
      </c>
      <c r="AA92" s="125" t="str">
        <f>IF(Ujian!AA99="","",IF(LEFT(Ujian!AA99,1)=SEKOR!AA$2,1,0))</f>
        <v/>
      </c>
      <c r="AB92" s="125" t="str">
        <f>IF(Ujian!AB99="","",IF(LEFT(Ujian!AB99,1)=SEKOR!AB$2,1,0))</f>
        <v/>
      </c>
      <c r="AC92" s="125" t="str">
        <f>IF(Ujian!AC99="","",IF(LEFT(Ujian!AC99,1)=SEKOR!AC$2,1,0))</f>
        <v/>
      </c>
      <c r="AD92" s="125" t="str">
        <f>IF(Ujian!AD99="","",IF(LEFT(Ujian!AD99,1)=SEKOR!AD$2,1,0))</f>
        <v/>
      </c>
      <c r="AE92" s="125" t="str">
        <f>IF(Ujian!AE99="","",IF(LEFT(Ujian!AE99,1)=SEKOR!AE$2,1,0))</f>
        <v/>
      </c>
      <c r="AF92" s="125" t="str">
        <f>IF(Ujian!AF99="","",IF(LEFT(Ujian!AF99,1)=SEKOR!AF$2,1,0))</f>
        <v/>
      </c>
      <c r="AG92" s="125" t="str">
        <f>IF(Ujian!AG99="","",IF(LEFT(Ujian!AG99,1)=SEKOR!AG$2,1,0))</f>
        <v/>
      </c>
      <c r="AH92" s="125" t="str">
        <f>IF(Ujian!AH99="","",IF(LEFT(Ujian!AH99,1)=SEKOR!AH$2,1,0))</f>
        <v/>
      </c>
      <c r="AI92" s="125" t="str">
        <f>IF(Ujian!AI99="","",IF(LEFT(Ujian!AI99,1)=SEKOR!AI$2,1,0))</f>
        <v/>
      </c>
      <c r="AJ92" s="125" t="str">
        <f>IF(Ujian!AJ99="","",IF(LEFT(Ujian!AJ99,1)=SEKOR!AJ$2,1,0))</f>
        <v/>
      </c>
      <c r="AK92" s="125" t="str">
        <f>IF(Ujian!AK99="","",IF(LEFT(Ujian!AK99,1)=SEKOR!AK$2,1,0))</f>
        <v/>
      </c>
      <c r="AL92" s="125" t="str">
        <f>IF(Ujian!AL99="","",IF(LEFT(Ujian!AL99,1)=SEKOR!AL$2,1,0))</f>
        <v/>
      </c>
      <c r="AM92" s="125" t="str">
        <f>IF(Ujian!AM99="","",IF(LEFT(Ujian!AM99,1)=SEKOR!AM$2,1,0))</f>
        <v/>
      </c>
      <c r="AN92" s="125" t="str">
        <f>IF(Ujian!AN99="","",IF(LEFT(Ujian!AN99,1)=SEKOR!AN$2,1,0))</f>
        <v/>
      </c>
      <c r="AO92" s="125" t="str">
        <f>IF(Ujian!AO99="","",IF(LEFT(Ujian!AO99,1)=SEKOR!AO$2,1,0))</f>
        <v/>
      </c>
      <c r="AP92" s="125" t="str">
        <f>IF(Ujian!AP99="","",IF(LEFT(Ujian!AP99,1)=SEKOR!AP$2,1,0))</f>
        <v/>
      </c>
      <c r="AQ92" s="125" t="str">
        <f>IF(Ujian!AQ99="","",IF(LEFT(Ujian!AQ99,1)=SEKOR!AQ$2,1,0))</f>
        <v/>
      </c>
      <c r="AR92" s="125" t="str">
        <f>IF(Ujian!AR99="","",IF(LEFT(Ujian!AR99,1)=SEKOR!AR$2,1,0))</f>
        <v/>
      </c>
      <c r="AS92" s="125" t="str">
        <f>IF(Ujian!AS99="","",IF(LEFT(Ujian!AS99,1)=SEKOR!AS$2,1,0))</f>
        <v/>
      </c>
      <c r="AT92" s="125" t="str">
        <f>IF(Ujian!AT99="","",IF(LEFT(Ujian!AT99,1)=SEKOR!AT$2,1,0))</f>
        <v/>
      </c>
      <c r="AU92" s="125" t="str">
        <f>IF(Ujian!AU99="","",IF(LEFT(Ujian!AU99,1)=SEKOR!AU$2,1,0))</f>
        <v/>
      </c>
      <c r="AV92" s="125" t="str">
        <f>IF(Ujian!AV99="","",IF(LEFT(Ujian!AV99,1)=SEKOR!AV$2,1,0))</f>
        <v/>
      </c>
      <c r="AW92" s="125" t="str">
        <f>IF(Ujian!AW99="","",IF(LEFT(Ujian!AW99,1)=SEKOR!AW$2,1,0))</f>
        <v/>
      </c>
      <c r="AX92" s="125" t="str">
        <f>IF(Ujian!AX99="","",IF(LEFT(Ujian!AX99,1)=SEKOR!AX$2,1,0))</f>
        <v/>
      </c>
      <c r="AY92" s="125" t="str">
        <f>IF(Ujian!AY99="","",IF(LEFT(Ujian!AY99,1)=SEKOR!AY$2,1,0))</f>
        <v/>
      </c>
      <c r="AZ92" s="125" t="str">
        <f>IF(Ujian!AZ99="","",IF(LEFT(Ujian!AZ99,1)=SEKOR!AZ$2,1,0))</f>
        <v/>
      </c>
      <c r="BA92" s="125" t="str">
        <f>IF(Ujian!BA99="","",IF(LEFT(Ujian!BA99,1)=SEKOR!BA$2,1,0))</f>
        <v/>
      </c>
      <c r="BB92" s="125" t="str">
        <f>IF(Ujian!BB99="","",IF(LEFT(Ujian!BB99,1)=SEKOR!BB$2,1,0))</f>
        <v/>
      </c>
      <c r="BC92" s="125" t="str">
        <f>IF(Ujian!BC99="","",IF(LEFT(Ujian!BC99,1)=SEKOR!BC$2,1,0))</f>
        <v/>
      </c>
      <c r="BD92" s="125" t="str">
        <f>IF(Ujian!BD99="","",IF(LEFT(Ujian!BD99,1)=SEKOR!BD$2,1,0))</f>
        <v/>
      </c>
      <c r="BE92" s="125" t="str">
        <f>IF(Ujian!BE99="","",IF(LEFT(Ujian!BE99,1)=SEKOR!BE$2,1,0))</f>
        <v/>
      </c>
      <c r="BF92" s="125" t="str">
        <f>IF(Ujian!BF99="","",IF(LEFT(Ujian!BF99,1)=SEKOR!BF$2,1,0))</f>
        <v/>
      </c>
      <c r="BG92" s="125" t="str">
        <f>IF(Ujian!BG99="","",IF(LEFT(Ujian!BG99,1)=SEKOR!BG$2,1,0))</f>
        <v/>
      </c>
      <c r="BH92" s="125" t="str">
        <f>IF(Ujian!BH99="","",IF(LEFT(Ujian!BH99,1)=SEKOR!BH$2,1,0))</f>
        <v/>
      </c>
      <c r="BI92" s="125" t="str">
        <f>IF(Ujian!BI99="","",IF(LEFT(Ujian!BI99,1)=SEKOR!BI$2,1,0))</f>
        <v/>
      </c>
      <c r="BJ92" s="125" t="str">
        <f>IF(Ujian!BJ99="","",IF(LEFT(Ujian!BJ99,1)=SEKOR!BJ$2,1,0))</f>
        <v/>
      </c>
      <c r="BK92" s="125" t="str">
        <f>IF(Ujian!BK99="","",IF(LEFT(Ujian!BK99,1)=SEKOR!BK$2,1,0))</f>
        <v/>
      </c>
      <c r="BL92" s="18">
        <f t="shared" si="2"/>
        <v>0</v>
      </c>
      <c r="BM92" s="18">
        <f>COUNTIF($D92:$BK92,"")+DATA!$F$14-DATA!$F$12</f>
        <v>60</v>
      </c>
      <c r="BN92" s="17">
        <f>IF(COUNTIF($D92:$BK92,1)&gt;DATA!$F$14,DATA!$F$14,COUNTIF($D92:$BK92,1))</f>
        <v>0</v>
      </c>
      <c r="BO92" s="17">
        <f>IF((BN92+COUNTIF($D92:$BK92,0))&lt;=DATA!$F$14,COUNTIF($D92:$BK92,0),DATA!$F$14-SEKOR!BN92)</f>
        <v>0</v>
      </c>
      <c r="BP92" s="4" t="str">
        <f>IF(BL92=0,"",BN92/DATA!$F$14*100)</f>
        <v/>
      </c>
      <c r="BQ92" s="121" t="str">
        <f t="shared" si="3"/>
        <v/>
      </c>
      <c r="BR92" s="2" t="str">
        <f>IF(Praktik!$E92=0,"",Praktik!$E92)</f>
        <v/>
      </c>
      <c r="BS92" s="2" t="str">
        <f>IF(BR92="","",(BP92*DATAINFO!$O$4)+(SEKOR!BR92*DATAINFO!$O$5)/(DATAINFO!$O$4+DATAINFO!$O$5))</f>
        <v/>
      </c>
      <c r="BT92" s="2" t="str">
        <f>IF(BL92=0,"",IF(DATA!$F$18="TIDAK",ROUNDUP((IF!$L$8*SEKOR!$BP92)+IF!$L$9,0),IF($BR92="","",ROUNDUP((IF!$L$20*$BS92)+IF!$L$21,0))))</f>
        <v/>
      </c>
      <c r="BU92" s="47" t="str">
        <f>IF(BP92="","",IF(SEKOR!BP92&gt;=DATA!$J$12,1,0))</f>
        <v/>
      </c>
      <c r="BV92" s="47" t="str">
        <f>IF(BQ92="","",IF(SEKOR!BQ92&gt;=DATA!$J$12,1,0))</f>
        <v/>
      </c>
      <c r="BW92" s="47" t="str">
        <f>IF(BR92="","",IF(SEKOR!BR92&gt;=DATA!$J$12,1,0))</f>
        <v/>
      </c>
      <c r="BX92" s="47" t="str">
        <f>IF(BT92="","",IF(DATA!$J$14="",IF(SEKOR!BT92&gt;=DATA!$J$12,1,0),IF(SEKOR!BT92&gt;=DATA!$J$14,1,0)))</f>
        <v/>
      </c>
    </row>
    <row r="93" spans="1:76" x14ac:dyDescent="0.25">
      <c r="A93" s="20" t="s">
        <v>120</v>
      </c>
      <c r="B93" s="21" t="str">
        <f>IF(Ujian!B100="","",Ujian!B100)</f>
        <v/>
      </c>
      <c r="C93" s="57" t="str">
        <f>IF(Ujian!C100="","",Ujian!C100)</f>
        <v/>
      </c>
      <c r="D93" s="125" t="str">
        <f>IF(Ujian!D100="","",IF(LEFT(Ujian!D100,1)=SEKOR!D$2,1,0))</f>
        <v/>
      </c>
      <c r="E93" s="125" t="str">
        <f>IF(Ujian!E100="","",IF(LEFT(Ujian!E100,1)=SEKOR!E$2,1,0))</f>
        <v/>
      </c>
      <c r="F93" s="125" t="str">
        <f>IF(Ujian!F100="","",IF(LEFT(Ujian!F100,1)=SEKOR!F$2,1,0))</f>
        <v/>
      </c>
      <c r="G93" s="125" t="str">
        <f>IF(Ujian!G100="","",IF(LEFT(Ujian!G100,1)=SEKOR!G$2,1,0))</f>
        <v/>
      </c>
      <c r="H93" s="125" t="str">
        <f>IF(Ujian!H100="","",IF(LEFT(Ujian!H100,1)=SEKOR!H$2,1,0))</f>
        <v/>
      </c>
      <c r="I93" s="125" t="str">
        <f>IF(Ujian!I100="","",IF(LEFT(Ujian!I100,1)=SEKOR!I$2,1,0))</f>
        <v/>
      </c>
      <c r="J93" s="125" t="str">
        <f>IF(Ujian!J100="","",IF(LEFT(Ujian!J100,1)=SEKOR!J$2,1,0))</f>
        <v/>
      </c>
      <c r="K93" s="125" t="str">
        <f>IF(Ujian!K100="","",IF(LEFT(Ujian!K100,1)=SEKOR!K$2,1,0))</f>
        <v/>
      </c>
      <c r="L93" s="125" t="str">
        <f>IF(Ujian!L100="","",IF(LEFT(Ujian!L100,1)=SEKOR!L$2,1,0))</f>
        <v/>
      </c>
      <c r="M93" s="125" t="str">
        <f>IF(Ujian!M100="","",IF(LEFT(Ujian!M100,1)=SEKOR!M$2,1,0))</f>
        <v/>
      </c>
      <c r="N93" s="125" t="str">
        <f>IF(Ujian!N100="","",IF(LEFT(Ujian!N100,1)=SEKOR!N$2,1,0))</f>
        <v/>
      </c>
      <c r="O93" s="125" t="str">
        <f>IF(Ujian!O100="","",IF(LEFT(Ujian!O100,1)=SEKOR!O$2,1,0))</f>
        <v/>
      </c>
      <c r="P93" s="125" t="str">
        <f>IF(Ujian!P100="","",IF(LEFT(Ujian!P100,1)=SEKOR!P$2,1,0))</f>
        <v/>
      </c>
      <c r="Q93" s="125" t="str">
        <f>IF(Ujian!Q100="","",IF(LEFT(Ujian!Q100,1)=SEKOR!Q$2,1,0))</f>
        <v/>
      </c>
      <c r="R93" s="125" t="str">
        <f>IF(Ujian!R100="","",IF(LEFT(Ujian!R100,1)=SEKOR!R$2,1,0))</f>
        <v/>
      </c>
      <c r="S93" s="125" t="str">
        <f>IF(Ujian!S100="","",IF(LEFT(Ujian!S100,1)=SEKOR!S$2,1,0))</f>
        <v/>
      </c>
      <c r="T93" s="125" t="str">
        <f>IF(Ujian!T100="","",IF(LEFT(Ujian!T100,1)=SEKOR!T$2,1,0))</f>
        <v/>
      </c>
      <c r="U93" s="125" t="str">
        <f>IF(Ujian!U100="","",IF(LEFT(Ujian!U100,1)=SEKOR!U$2,1,0))</f>
        <v/>
      </c>
      <c r="V93" s="125" t="str">
        <f>IF(Ujian!V100="","",IF(LEFT(Ujian!V100,1)=SEKOR!V$2,1,0))</f>
        <v/>
      </c>
      <c r="W93" s="125" t="str">
        <f>IF(Ujian!W100="","",IF(LEFT(Ujian!W100,1)=SEKOR!W$2,1,0))</f>
        <v/>
      </c>
      <c r="X93" s="125" t="str">
        <f>IF(Ujian!X100="","",IF(LEFT(Ujian!X100,1)=SEKOR!X$2,1,0))</f>
        <v/>
      </c>
      <c r="Y93" s="125" t="str">
        <f>IF(Ujian!Y100="","",IF(LEFT(Ujian!Y100,1)=SEKOR!Y$2,1,0))</f>
        <v/>
      </c>
      <c r="Z93" s="125" t="str">
        <f>IF(Ujian!Z100="","",IF(LEFT(Ujian!Z100,1)=SEKOR!Z$2,1,0))</f>
        <v/>
      </c>
      <c r="AA93" s="125" t="str">
        <f>IF(Ujian!AA100="","",IF(LEFT(Ujian!AA100,1)=SEKOR!AA$2,1,0))</f>
        <v/>
      </c>
      <c r="AB93" s="125" t="str">
        <f>IF(Ujian!AB100="","",IF(LEFT(Ujian!AB100,1)=SEKOR!AB$2,1,0))</f>
        <v/>
      </c>
      <c r="AC93" s="125" t="str">
        <f>IF(Ujian!AC100="","",IF(LEFT(Ujian!AC100,1)=SEKOR!AC$2,1,0))</f>
        <v/>
      </c>
      <c r="AD93" s="125" t="str">
        <f>IF(Ujian!AD100="","",IF(LEFT(Ujian!AD100,1)=SEKOR!AD$2,1,0))</f>
        <v/>
      </c>
      <c r="AE93" s="125" t="str">
        <f>IF(Ujian!AE100="","",IF(LEFT(Ujian!AE100,1)=SEKOR!AE$2,1,0))</f>
        <v/>
      </c>
      <c r="AF93" s="125" t="str">
        <f>IF(Ujian!AF100="","",IF(LEFT(Ujian!AF100,1)=SEKOR!AF$2,1,0))</f>
        <v/>
      </c>
      <c r="AG93" s="125" t="str">
        <f>IF(Ujian!AG100="","",IF(LEFT(Ujian!AG100,1)=SEKOR!AG$2,1,0))</f>
        <v/>
      </c>
      <c r="AH93" s="125" t="str">
        <f>IF(Ujian!AH100="","",IF(LEFT(Ujian!AH100,1)=SEKOR!AH$2,1,0))</f>
        <v/>
      </c>
      <c r="AI93" s="125" t="str">
        <f>IF(Ujian!AI100="","",IF(LEFT(Ujian!AI100,1)=SEKOR!AI$2,1,0))</f>
        <v/>
      </c>
      <c r="AJ93" s="125" t="str">
        <f>IF(Ujian!AJ100="","",IF(LEFT(Ujian!AJ100,1)=SEKOR!AJ$2,1,0))</f>
        <v/>
      </c>
      <c r="AK93" s="125" t="str">
        <f>IF(Ujian!AK100="","",IF(LEFT(Ujian!AK100,1)=SEKOR!AK$2,1,0))</f>
        <v/>
      </c>
      <c r="AL93" s="125" t="str">
        <f>IF(Ujian!AL100="","",IF(LEFT(Ujian!AL100,1)=SEKOR!AL$2,1,0))</f>
        <v/>
      </c>
      <c r="AM93" s="125" t="str">
        <f>IF(Ujian!AM100="","",IF(LEFT(Ujian!AM100,1)=SEKOR!AM$2,1,0))</f>
        <v/>
      </c>
      <c r="AN93" s="125" t="str">
        <f>IF(Ujian!AN100="","",IF(LEFT(Ujian!AN100,1)=SEKOR!AN$2,1,0))</f>
        <v/>
      </c>
      <c r="AO93" s="125" t="str">
        <f>IF(Ujian!AO100="","",IF(LEFT(Ujian!AO100,1)=SEKOR!AO$2,1,0))</f>
        <v/>
      </c>
      <c r="AP93" s="125" t="str">
        <f>IF(Ujian!AP100="","",IF(LEFT(Ujian!AP100,1)=SEKOR!AP$2,1,0))</f>
        <v/>
      </c>
      <c r="AQ93" s="125" t="str">
        <f>IF(Ujian!AQ100="","",IF(LEFT(Ujian!AQ100,1)=SEKOR!AQ$2,1,0))</f>
        <v/>
      </c>
      <c r="AR93" s="125" t="str">
        <f>IF(Ujian!AR100="","",IF(LEFT(Ujian!AR100,1)=SEKOR!AR$2,1,0))</f>
        <v/>
      </c>
      <c r="AS93" s="125" t="str">
        <f>IF(Ujian!AS100="","",IF(LEFT(Ujian!AS100,1)=SEKOR!AS$2,1,0))</f>
        <v/>
      </c>
      <c r="AT93" s="125" t="str">
        <f>IF(Ujian!AT100="","",IF(LEFT(Ujian!AT100,1)=SEKOR!AT$2,1,0))</f>
        <v/>
      </c>
      <c r="AU93" s="125" t="str">
        <f>IF(Ujian!AU100="","",IF(LEFT(Ujian!AU100,1)=SEKOR!AU$2,1,0))</f>
        <v/>
      </c>
      <c r="AV93" s="125" t="str">
        <f>IF(Ujian!AV100="","",IF(LEFT(Ujian!AV100,1)=SEKOR!AV$2,1,0))</f>
        <v/>
      </c>
      <c r="AW93" s="125" t="str">
        <f>IF(Ujian!AW100="","",IF(LEFT(Ujian!AW100,1)=SEKOR!AW$2,1,0))</f>
        <v/>
      </c>
      <c r="AX93" s="125" t="str">
        <f>IF(Ujian!AX100="","",IF(LEFT(Ujian!AX100,1)=SEKOR!AX$2,1,0))</f>
        <v/>
      </c>
      <c r="AY93" s="125" t="str">
        <f>IF(Ujian!AY100="","",IF(LEFT(Ujian!AY100,1)=SEKOR!AY$2,1,0))</f>
        <v/>
      </c>
      <c r="AZ93" s="125" t="str">
        <f>IF(Ujian!AZ100="","",IF(LEFT(Ujian!AZ100,1)=SEKOR!AZ$2,1,0))</f>
        <v/>
      </c>
      <c r="BA93" s="125" t="str">
        <f>IF(Ujian!BA100="","",IF(LEFT(Ujian!BA100,1)=SEKOR!BA$2,1,0))</f>
        <v/>
      </c>
      <c r="BB93" s="125" t="str">
        <f>IF(Ujian!BB100="","",IF(LEFT(Ujian!BB100,1)=SEKOR!BB$2,1,0))</f>
        <v/>
      </c>
      <c r="BC93" s="125" t="str">
        <f>IF(Ujian!BC100="","",IF(LEFT(Ujian!BC100,1)=SEKOR!BC$2,1,0))</f>
        <v/>
      </c>
      <c r="BD93" s="125" t="str">
        <f>IF(Ujian!BD100="","",IF(LEFT(Ujian!BD100,1)=SEKOR!BD$2,1,0))</f>
        <v/>
      </c>
      <c r="BE93" s="125" t="str">
        <f>IF(Ujian!BE100="","",IF(LEFT(Ujian!BE100,1)=SEKOR!BE$2,1,0))</f>
        <v/>
      </c>
      <c r="BF93" s="125" t="str">
        <f>IF(Ujian!BF100="","",IF(LEFT(Ujian!BF100,1)=SEKOR!BF$2,1,0))</f>
        <v/>
      </c>
      <c r="BG93" s="125" t="str">
        <f>IF(Ujian!BG100="","",IF(LEFT(Ujian!BG100,1)=SEKOR!BG$2,1,0))</f>
        <v/>
      </c>
      <c r="BH93" s="125" t="str">
        <f>IF(Ujian!BH100="","",IF(LEFT(Ujian!BH100,1)=SEKOR!BH$2,1,0))</f>
        <v/>
      </c>
      <c r="BI93" s="125" t="str">
        <f>IF(Ujian!BI100="","",IF(LEFT(Ujian!BI100,1)=SEKOR!BI$2,1,0))</f>
        <v/>
      </c>
      <c r="BJ93" s="125" t="str">
        <f>IF(Ujian!BJ100="","",IF(LEFT(Ujian!BJ100,1)=SEKOR!BJ$2,1,0))</f>
        <v/>
      </c>
      <c r="BK93" s="125" t="str">
        <f>IF(Ujian!BK100="","",IF(LEFT(Ujian!BK100,1)=SEKOR!BK$2,1,0))</f>
        <v/>
      </c>
      <c r="BL93" s="18">
        <f t="shared" si="2"/>
        <v>0</v>
      </c>
      <c r="BM93" s="18">
        <f>COUNTIF($D93:$BK93,"")+DATA!$F$14-DATA!$F$12</f>
        <v>60</v>
      </c>
      <c r="BN93" s="17">
        <f>IF(COUNTIF($D93:$BK93,1)&gt;DATA!$F$14,DATA!$F$14,COUNTIF($D93:$BK93,1))</f>
        <v>0</v>
      </c>
      <c r="BO93" s="17">
        <f>IF((BN93+COUNTIF($D93:$BK93,0))&lt;=DATA!$F$14,COUNTIF($D93:$BK93,0),DATA!$F$14-SEKOR!BN93)</f>
        <v>0</v>
      </c>
      <c r="BP93" s="4" t="str">
        <f>IF(BL93=0,"",BN93/DATA!$F$14*100)</f>
        <v/>
      </c>
      <c r="BQ93" s="121" t="str">
        <f t="shared" si="3"/>
        <v/>
      </c>
      <c r="BR93" s="2" t="str">
        <f>IF(Praktik!$E93=0,"",Praktik!$E93)</f>
        <v/>
      </c>
      <c r="BS93" s="2" t="str">
        <f>IF(BR93="","",(BP93*DATAINFO!$O$4)+(SEKOR!BR93*DATAINFO!$O$5)/(DATAINFO!$O$4+DATAINFO!$O$5))</f>
        <v/>
      </c>
      <c r="BT93" s="2" t="str">
        <f>IF(BL93=0,"",IF(DATA!$F$18="TIDAK",ROUNDUP((IF!$L$8*SEKOR!$BP93)+IF!$L$9,0),IF($BR93="","",ROUNDUP((IF!$L$20*$BS93)+IF!$L$21,0))))</f>
        <v/>
      </c>
      <c r="BU93" s="47" t="str">
        <f>IF(BP93="","",IF(SEKOR!BP93&gt;=DATA!$J$12,1,0))</f>
        <v/>
      </c>
      <c r="BV93" s="47" t="str">
        <f>IF(BQ93="","",IF(SEKOR!BQ93&gt;=DATA!$J$12,1,0))</f>
        <v/>
      </c>
      <c r="BW93" s="47" t="str">
        <f>IF(BR93="","",IF(SEKOR!BR93&gt;=DATA!$J$12,1,0))</f>
        <v/>
      </c>
      <c r="BX93" s="47" t="str">
        <f>IF(BT93="","",IF(DATA!$J$14="",IF(SEKOR!BT93&gt;=DATA!$J$12,1,0),IF(SEKOR!BT93&gt;=DATA!$J$14,1,0)))</f>
        <v/>
      </c>
    </row>
    <row r="94" spans="1:76" x14ac:dyDescent="0.25">
      <c r="A94" s="20" t="s">
        <v>121</v>
      </c>
      <c r="B94" s="21" t="str">
        <f>IF(Ujian!B101="","",Ujian!B101)</f>
        <v/>
      </c>
      <c r="C94" s="57" t="str">
        <f>IF(Ujian!C101="","",Ujian!C101)</f>
        <v/>
      </c>
      <c r="D94" s="125" t="str">
        <f>IF(Ujian!D101="","",IF(LEFT(Ujian!D101,1)=SEKOR!D$2,1,0))</f>
        <v/>
      </c>
      <c r="E94" s="125" t="str">
        <f>IF(Ujian!E101="","",IF(LEFT(Ujian!E101,1)=SEKOR!E$2,1,0))</f>
        <v/>
      </c>
      <c r="F94" s="125" t="str">
        <f>IF(Ujian!F101="","",IF(LEFT(Ujian!F101,1)=SEKOR!F$2,1,0))</f>
        <v/>
      </c>
      <c r="G94" s="125" t="str">
        <f>IF(Ujian!G101="","",IF(LEFT(Ujian!G101,1)=SEKOR!G$2,1,0))</f>
        <v/>
      </c>
      <c r="H94" s="125" t="str">
        <f>IF(Ujian!H101="","",IF(LEFT(Ujian!H101,1)=SEKOR!H$2,1,0))</f>
        <v/>
      </c>
      <c r="I94" s="125" t="str">
        <f>IF(Ujian!I101="","",IF(LEFT(Ujian!I101,1)=SEKOR!I$2,1,0))</f>
        <v/>
      </c>
      <c r="J94" s="125" t="str">
        <f>IF(Ujian!J101="","",IF(LEFT(Ujian!J101,1)=SEKOR!J$2,1,0))</f>
        <v/>
      </c>
      <c r="K94" s="125" t="str">
        <f>IF(Ujian!K101="","",IF(LEFT(Ujian!K101,1)=SEKOR!K$2,1,0))</f>
        <v/>
      </c>
      <c r="L94" s="125" t="str">
        <f>IF(Ujian!L101="","",IF(LEFT(Ujian!L101,1)=SEKOR!L$2,1,0))</f>
        <v/>
      </c>
      <c r="M94" s="125" t="str">
        <f>IF(Ujian!M101="","",IF(LEFT(Ujian!M101,1)=SEKOR!M$2,1,0))</f>
        <v/>
      </c>
      <c r="N94" s="125" t="str">
        <f>IF(Ujian!N101="","",IF(LEFT(Ujian!N101,1)=SEKOR!N$2,1,0))</f>
        <v/>
      </c>
      <c r="O94" s="125" t="str">
        <f>IF(Ujian!O101="","",IF(LEFT(Ujian!O101,1)=SEKOR!O$2,1,0))</f>
        <v/>
      </c>
      <c r="P94" s="125" t="str">
        <f>IF(Ujian!P101="","",IF(LEFT(Ujian!P101,1)=SEKOR!P$2,1,0))</f>
        <v/>
      </c>
      <c r="Q94" s="125" t="str">
        <f>IF(Ujian!Q101="","",IF(LEFT(Ujian!Q101,1)=SEKOR!Q$2,1,0))</f>
        <v/>
      </c>
      <c r="R94" s="125" t="str">
        <f>IF(Ujian!R101="","",IF(LEFT(Ujian!R101,1)=SEKOR!R$2,1,0))</f>
        <v/>
      </c>
      <c r="S94" s="125" t="str">
        <f>IF(Ujian!S101="","",IF(LEFT(Ujian!S101,1)=SEKOR!S$2,1,0))</f>
        <v/>
      </c>
      <c r="T94" s="125" t="str">
        <f>IF(Ujian!T101="","",IF(LEFT(Ujian!T101,1)=SEKOR!T$2,1,0))</f>
        <v/>
      </c>
      <c r="U94" s="125" t="str">
        <f>IF(Ujian!U101="","",IF(LEFT(Ujian!U101,1)=SEKOR!U$2,1,0))</f>
        <v/>
      </c>
      <c r="V94" s="125" t="str">
        <f>IF(Ujian!V101="","",IF(LEFT(Ujian!V101,1)=SEKOR!V$2,1,0))</f>
        <v/>
      </c>
      <c r="W94" s="125" t="str">
        <f>IF(Ujian!W101="","",IF(LEFT(Ujian!W101,1)=SEKOR!W$2,1,0))</f>
        <v/>
      </c>
      <c r="X94" s="125" t="str">
        <f>IF(Ujian!X101="","",IF(LEFT(Ujian!X101,1)=SEKOR!X$2,1,0))</f>
        <v/>
      </c>
      <c r="Y94" s="125" t="str">
        <f>IF(Ujian!Y101="","",IF(LEFT(Ujian!Y101,1)=SEKOR!Y$2,1,0))</f>
        <v/>
      </c>
      <c r="Z94" s="125" t="str">
        <f>IF(Ujian!Z101="","",IF(LEFT(Ujian!Z101,1)=SEKOR!Z$2,1,0))</f>
        <v/>
      </c>
      <c r="AA94" s="125" t="str">
        <f>IF(Ujian!AA101="","",IF(LEFT(Ujian!AA101,1)=SEKOR!AA$2,1,0))</f>
        <v/>
      </c>
      <c r="AB94" s="125" t="str">
        <f>IF(Ujian!AB101="","",IF(LEFT(Ujian!AB101,1)=SEKOR!AB$2,1,0))</f>
        <v/>
      </c>
      <c r="AC94" s="125" t="str">
        <f>IF(Ujian!AC101="","",IF(LEFT(Ujian!AC101,1)=SEKOR!AC$2,1,0))</f>
        <v/>
      </c>
      <c r="AD94" s="125" t="str">
        <f>IF(Ujian!AD101="","",IF(LEFT(Ujian!AD101,1)=SEKOR!AD$2,1,0))</f>
        <v/>
      </c>
      <c r="AE94" s="125" t="str">
        <f>IF(Ujian!AE101="","",IF(LEFT(Ujian!AE101,1)=SEKOR!AE$2,1,0))</f>
        <v/>
      </c>
      <c r="AF94" s="125" t="str">
        <f>IF(Ujian!AF101="","",IF(LEFT(Ujian!AF101,1)=SEKOR!AF$2,1,0))</f>
        <v/>
      </c>
      <c r="AG94" s="125" t="str">
        <f>IF(Ujian!AG101="","",IF(LEFT(Ujian!AG101,1)=SEKOR!AG$2,1,0))</f>
        <v/>
      </c>
      <c r="AH94" s="125" t="str">
        <f>IF(Ujian!AH101="","",IF(LEFT(Ujian!AH101,1)=SEKOR!AH$2,1,0))</f>
        <v/>
      </c>
      <c r="AI94" s="125" t="str">
        <f>IF(Ujian!AI101="","",IF(LEFT(Ujian!AI101,1)=SEKOR!AI$2,1,0))</f>
        <v/>
      </c>
      <c r="AJ94" s="125" t="str">
        <f>IF(Ujian!AJ101="","",IF(LEFT(Ujian!AJ101,1)=SEKOR!AJ$2,1,0))</f>
        <v/>
      </c>
      <c r="AK94" s="125" t="str">
        <f>IF(Ujian!AK101="","",IF(LEFT(Ujian!AK101,1)=SEKOR!AK$2,1,0))</f>
        <v/>
      </c>
      <c r="AL94" s="125" t="str">
        <f>IF(Ujian!AL101="","",IF(LEFT(Ujian!AL101,1)=SEKOR!AL$2,1,0))</f>
        <v/>
      </c>
      <c r="AM94" s="125" t="str">
        <f>IF(Ujian!AM101="","",IF(LEFT(Ujian!AM101,1)=SEKOR!AM$2,1,0))</f>
        <v/>
      </c>
      <c r="AN94" s="125" t="str">
        <f>IF(Ujian!AN101="","",IF(LEFT(Ujian!AN101,1)=SEKOR!AN$2,1,0))</f>
        <v/>
      </c>
      <c r="AO94" s="125" t="str">
        <f>IF(Ujian!AO101="","",IF(LEFT(Ujian!AO101,1)=SEKOR!AO$2,1,0))</f>
        <v/>
      </c>
      <c r="AP94" s="125" t="str">
        <f>IF(Ujian!AP101="","",IF(LEFT(Ujian!AP101,1)=SEKOR!AP$2,1,0))</f>
        <v/>
      </c>
      <c r="AQ94" s="125" t="str">
        <f>IF(Ujian!AQ101="","",IF(LEFT(Ujian!AQ101,1)=SEKOR!AQ$2,1,0))</f>
        <v/>
      </c>
      <c r="AR94" s="125" t="str">
        <f>IF(Ujian!AR101="","",IF(LEFT(Ujian!AR101,1)=SEKOR!AR$2,1,0))</f>
        <v/>
      </c>
      <c r="AS94" s="125" t="str">
        <f>IF(Ujian!AS101="","",IF(LEFT(Ujian!AS101,1)=SEKOR!AS$2,1,0))</f>
        <v/>
      </c>
      <c r="AT94" s="125" t="str">
        <f>IF(Ujian!AT101="","",IF(LEFT(Ujian!AT101,1)=SEKOR!AT$2,1,0))</f>
        <v/>
      </c>
      <c r="AU94" s="125" t="str">
        <f>IF(Ujian!AU101="","",IF(LEFT(Ujian!AU101,1)=SEKOR!AU$2,1,0))</f>
        <v/>
      </c>
      <c r="AV94" s="125" t="str">
        <f>IF(Ujian!AV101="","",IF(LEFT(Ujian!AV101,1)=SEKOR!AV$2,1,0))</f>
        <v/>
      </c>
      <c r="AW94" s="125" t="str">
        <f>IF(Ujian!AW101="","",IF(LEFT(Ujian!AW101,1)=SEKOR!AW$2,1,0))</f>
        <v/>
      </c>
      <c r="AX94" s="125" t="str">
        <f>IF(Ujian!AX101="","",IF(LEFT(Ujian!AX101,1)=SEKOR!AX$2,1,0))</f>
        <v/>
      </c>
      <c r="AY94" s="125" t="str">
        <f>IF(Ujian!AY101="","",IF(LEFT(Ujian!AY101,1)=SEKOR!AY$2,1,0))</f>
        <v/>
      </c>
      <c r="AZ94" s="125" t="str">
        <f>IF(Ujian!AZ101="","",IF(LEFT(Ujian!AZ101,1)=SEKOR!AZ$2,1,0))</f>
        <v/>
      </c>
      <c r="BA94" s="125" t="str">
        <f>IF(Ujian!BA101="","",IF(LEFT(Ujian!BA101,1)=SEKOR!BA$2,1,0))</f>
        <v/>
      </c>
      <c r="BB94" s="125" t="str">
        <f>IF(Ujian!BB101="","",IF(LEFT(Ujian!BB101,1)=SEKOR!BB$2,1,0))</f>
        <v/>
      </c>
      <c r="BC94" s="125" t="str">
        <f>IF(Ujian!BC101="","",IF(LEFT(Ujian!BC101,1)=SEKOR!BC$2,1,0))</f>
        <v/>
      </c>
      <c r="BD94" s="125" t="str">
        <f>IF(Ujian!BD101="","",IF(LEFT(Ujian!BD101,1)=SEKOR!BD$2,1,0))</f>
        <v/>
      </c>
      <c r="BE94" s="125" t="str">
        <f>IF(Ujian!BE101="","",IF(LEFT(Ujian!BE101,1)=SEKOR!BE$2,1,0))</f>
        <v/>
      </c>
      <c r="BF94" s="125" t="str">
        <f>IF(Ujian!BF101="","",IF(LEFT(Ujian!BF101,1)=SEKOR!BF$2,1,0))</f>
        <v/>
      </c>
      <c r="BG94" s="125" t="str">
        <f>IF(Ujian!BG101="","",IF(LEFT(Ujian!BG101,1)=SEKOR!BG$2,1,0))</f>
        <v/>
      </c>
      <c r="BH94" s="125" t="str">
        <f>IF(Ujian!BH101="","",IF(LEFT(Ujian!BH101,1)=SEKOR!BH$2,1,0))</f>
        <v/>
      </c>
      <c r="BI94" s="125" t="str">
        <f>IF(Ujian!BI101="","",IF(LEFT(Ujian!BI101,1)=SEKOR!BI$2,1,0))</f>
        <v/>
      </c>
      <c r="BJ94" s="125" t="str">
        <f>IF(Ujian!BJ101="","",IF(LEFT(Ujian!BJ101,1)=SEKOR!BJ$2,1,0))</f>
        <v/>
      </c>
      <c r="BK94" s="125" t="str">
        <f>IF(Ujian!BK101="","",IF(LEFT(Ujian!BK101,1)=SEKOR!BK$2,1,0))</f>
        <v/>
      </c>
      <c r="BL94" s="18">
        <f t="shared" si="2"/>
        <v>0</v>
      </c>
      <c r="BM94" s="18">
        <f>COUNTIF($D94:$BK94,"")+DATA!$F$14-DATA!$F$12</f>
        <v>60</v>
      </c>
      <c r="BN94" s="17">
        <f>IF(COUNTIF($D94:$BK94,1)&gt;DATA!$F$14,DATA!$F$14,COUNTIF($D94:$BK94,1))</f>
        <v>0</v>
      </c>
      <c r="BO94" s="17">
        <f>IF((BN94+COUNTIF($D94:$BK94,0))&lt;=DATA!$F$14,COUNTIF($D94:$BK94,0),DATA!$F$14-SEKOR!BN94)</f>
        <v>0</v>
      </c>
      <c r="BP94" s="4" t="str">
        <f>IF(BL94=0,"",BN94/DATA!$F$14*100)</f>
        <v/>
      </c>
      <c r="BQ94" s="121" t="str">
        <f t="shared" si="3"/>
        <v/>
      </c>
      <c r="BR94" s="2" t="str">
        <f>IF(Praktik!$E94=0,"",Praktik!$E94)</f>
        <v/>
      </c>
      <c r="BS94" s="2" t="str">
        <f>IF(BR94="","",(BP94*DATAINFO!$O$4)+(SEKOR!BR94*DATAINFO!$O$5)/(DATAINFO!$O$4+DATAINFO!$O$5))</f>
        <v/>
      </c>
      <c r="BT94" s="2" t="str">
        <f>IF(BL94=0,"",IF(DATA!$F$18="TIDAK",ROUNDUP((IF!$L$8*SEKOR!$BP94)+IF!$L$9,0),IF($BR94="","",ROUNDUP((IF!$L$20*$BS94)+IF!$L$21,0))))</f>
        <v/>
      </c>
      <c r="BU94" s="47" t="str">
        <f>IF(BP94="","",IF(SEKOR!BP94&gt;=DATA!$J$12,1,0))</f>
        <v/>
      </c>
      <c r="BV94" s="47" t="str">
        <f>IF(BQ94="","",IF(SEKOR!BQ94&gt;=DATA!$J$12,1,0))</f>
        <v/>
      </c>
      <c r="BW94" s="47" t="str">
        <f>IF(BR94="","",IF(SEKOR!BR94&gt;=DATA!$J$12,1,0))</f>
        <v/>
      </c>
      <c r="BX94" s="47" t="str">
        <f>IF(BT94="","",IF(DATA!$J$14="",IF(SEKOR!BT94&gt;=DATA!$J$12,1,0),IF(SEKOR!BT94&gt;=DATA!$J$14,1,0)))</f>
        <v/>
      </c>
    </row>
    <row r="95" spans="1:76" x14ac:dyDescent="0.25">
      <c r="A95" s="20" t="s">
        <v>122</v>
      </c>
      <c r="B95" s="21" t="str">
        <f>IF(Ujian!B102="","",Ujian!B102)</f>
        <v/>
      </c>
      <c r="C95" s="57" t="str">
        <f>IF(Ujian!C102="","",Ujian!C102)</f>
        <v/>
      </c>
      <c r="D95" s="125" t="str">
        <f>IF(Ujian!D102="","",IF(LEFT(Ujian!D102,1)=SEKOR!D$2,1,0))</f>
        <v/>
      </c>
      <c r="E95" s="125" t="str">
        <f>IF(Ujian!E102="","",IF(LEFT(Ujian!E102,1)=SEKOR!E$2,1,0))</f>
        <v/>
      </c>
      <c r="F95" s="125" t="str">
        <f>IF(Ujian!F102="","",IF(LEFT(Ujian!F102,1)=SEKOR!F$2,1,0))</f>
        <v/>
      </c>
      <c r="G95" s="125" t="str">
        <f>IF(Ujian!G102="","",IF(LEFT(Ujian!G102,1)=SEKOR!G$2,1,0))</f>
        <v/>
      </c>
      <c r="H95" s="125" t="str">
        <f>IF(Ujian!H102="","",IF(LEFT(Ujian!H102,1)=SEKOR!H$2,1,0))</f>
        <v/>
      </c>
      <c r="I95" s="125" t="str">
        <f>IF(Ujian!I102="","",IF(LEFT(Ujian!I102,1)=SEKOR!I$2,1,0))</f>
        <v/>
      </c>
      <c r="J95" s="125" t="str">
        <f>IF(Ujian!J102="","",IF(LEFT(Ujian!J102,1)=SEKOR!J$2,1,0))</f>
        <v/>
      </c>
      <c r="K95" s="125" t="str">
        <f>IF(Ujian!K102="","",IF(LEFT(Ujian!K102,1)=SEKOR!K$2,1,0))</f>
        <v/>
      </c>
      <c r="L95" s="125" t="str">
        <f>IF(Ujian!L102="","",IF(LEFT(Ujian!L102,1)=SEKOR!L$2,1,0))</f>
        <v/>
      </c>
      <c r="M95" s="125" t="str">
        <f>IF(Ujian!M102="","",IF(LEFT(Ujian!M102,1)=SEKOR!M$2,1,0))</f>
        <v/>
      </c>
      <c r="N95" s="125" t="str">
        <f>IF(Ujian!N102="","",IF(LEFT(Ujian!N102,1)=SEKOR!N$2,1,0))</f>
        <v/>
      </c>
      <c r="O95" s="125" t="str">
        <f>IF(Ujian!O102="","",IF(LEFT(Ujian!O102,1)=SEKOR!O$2,1,0))</f>
        <v/>
      </c>
      <c r="P95" s="125" t="str">
        <f>IF(Ujian!P102="","",IF(LEFT(Ujian!P102,1)=SEKOR!P$2,1,0))</f>
        <v/>
      </c>
      <c r="Q95" s="125" t="str">
        <f>IF(Ujian!Q102="","",IF(LEFT(Ujian!Q102,1)=SEKOR!Q$2,1,0))</f>
        <v/>
      </c>
      <c r="R95" s="125" t="str">
        <f>IF(Ujian!R102="","",IF(LEFT(Ujian!R102,1)=SEKOR!R$2,1,0))</f>
        <v/>
      </c>
      <c r="S95" s="125" t="str">
        <f>IF(Ujian!S102="","",IF(LEFT(Ujian!S102,1)=SEKOR!S$2,1,0))</f>
        <v/>
      </c>
      <c r="T95" s="125" t="str">
        <f>IF(Ujian!T102="","",IF(LEFT(Ujian!T102,1)=SEKOR!T$2,1,0))</f>
        <v/>
      </c>
      <c r="U95" s="125" t="str">
        <f>IF(Ujian!U102="","",IF(LEFT(Ujian!U102,1)=SEKOR!U$2,1,0))</f>
        <v/>
      </c>
      <c r="V95" s="125" t="str">
        <f>IF(Ujian!V102="","",IF(LEFT(Ujian!V102,1)=SEKOR!V$2,1,0))</f>
        <v/>
      </c>
      <c r="W95" s="125" t="str">
        <f>IF(Ujian!W102="","",IF(LEFT(Ujian!W102,1)=SEKOR!W$2,1,0))</f>
        <v/>
      </c>
      <c r="X95" s="125" t="str">
        <f>IF(Ujian!X102="","",IF(LEFT(Ujian!X102,1)=SEKOR!X$2,1,0))</f>
        <v/>
      </c>
      <c r="Y95" s="125" t="str">
        <f>IF(Ujian!Y102="","",IF(LEFT(Ujian!Y102,1)=SEKOR!Y$2,1,0))</f>
        <v/>
      </c>
      <c r="Z95" s="125" t="str">
        <f>IF(Ujian!Z102="","",IF(LEFT(Ujian!Z102,1)=SEKOR!Z$2,1,0))</f>
        <v/>
      </c>
      <c r="AA95" s="125" t="str">
        <f>IF(Ujian!AA102="","",IF(LEFT(Ujian!AA102,1)=SEKOR!AA$2,1,0))</f>
        <v/>
      </c>
      <c r="AB95" s="125" t="str">
        <f>IF(Ujian!AB102="","",IF(LEFT(Ujian!AB102,1)=SEKOR!AB$2,1,0))</f>
        <v/>
      </c>
      <c r="AC95" s="125" t="str">
        <f>IF(Ujian!AC102="","",IF(LEFT(Ujian!AC102,1)=SEKOR!AC$2,1,0))</f>
        <v/>
      </c>
      <c r="AD95" s="125" t="str">
        <f>IF(Ujian!AD102="","",IF(LEFT(Ujian!AD102,1)=SEKOR!AD$2,1,0))</f>
        <v/>
      </c>
      <c r="AE95" s="125" t="str">
        <f>IF(Ujian!AE102="","",IF(LEFT(Ujian!AE102,1)=SEKOR!AE$2,1,0))</f>
        <v/>
      </c>
      <c r="AF95" s="125" t="str">
        <f>IF(Ujian!AF102="","",IF(LEFT(Ujian!AF102,1)=SEKOR!AF$2,1,0))</f>
        <v/>
      </c>
      <c r="AG95" s="125" t="str">
        <f>IF(Ujian!AG102="","",IF(LEFT(Ujian!AG102,1)=SEKOR!AG$2,1,0))</f>
        <v/>
      </c>
      <c r="AH95" s="125" t="str">
        <f>IF(Ujian!AH102="","",IF(LEFT(Ujian!AH102,1)=SEKOR!AH$2,1,0))</f>
        <v/>
      </c>
      <c r="AI95" s="125" t="str">
        <f>IF(Ujian!AI102="","",IF(LEFT(Ujian!AI102,1)=SEKOR!AI$2,1,0))</f>
        <v/>
      </c>
      <c r="AJ95" s="125" t="str">
        <f>IF(Ujian!AJ102="","",IF(LEFT(Ujian!AJ102,1)=SEKOR!AJ$2,1,0))</f>
        <v/>
      </c>
      <c r="AK95" s="125" t="str">
        <f>IF(Ujian!AK102="","",IF(LEFT(Ujian!AK102,1)=SEKOR!AK$2,1,0))</f>
        <v/>
      </c>
      <c r="AL95" s="125" t="str">
        <f>IF(Ujian!AL102="","",IF(LEFT(Ujian!AL102,1)=SEKOR!AL$2,1,0))</f>
        <v/>
      </c>
      <c r="AM95" s="125" t="str">
        <f>IF(Ujian!AM102="","",IF(LEFT(Ujian!AM102,1)=SEKOR!AM$2,1,0))</f>
        <v/>
      </c>
      <c r="AN95" s="125" t="str">
        <f>IF(Ujian!AN102="","",IF(LEFT(Ujian!AN102,1)=SEKOR!AN$2,1,0))</f>
        <v/>
      </c>
      <c r="AO95" s="125" t="str">
        <f>IF(Ujian!AO102="","",IF(LEFT(Ujian!AO102,1)=SEKOR!AO$2,1,0))</f>
        <v/>
      </c>
      <c r="AP95" s="125" t="str">
        <f>IF(Ujian!AP102="","",IF(LEFT(Ujian!AP102,1)=SEKOR!AP$2,1,0))</f>
        <v/>
      </c>
      <c r="AQ95" s="125" t="str">
        <f>IF(Ujian!AQ102="","",IF(LEFT(Ujian!AQ102,1)=SEKOR!AQ$2,1,0))</f>
        <v/>
      </c>
      <c r="AR95" s="125" t="str">
        <f>IF(Ujian!AR102="","",IF(LEFT(Ujian!AR102,1)=SEKOR!AR$2,1,0))</f>
        <v/>
      </c>
      <c r="AS95" s="125" t="str">
        <f>IF(Ujian!AS102="","",IF(LEFT(Ujian!AS102,1)=SEKOR!AS$2,1,0))</f>
        <v/>
      </c>
      <c r="AT95" s="125" t="str">
        <f>IF(Ujian!AT102="","",IF(LEFT(Ujian!AT102,1)=SEKOR!AT$2,1,0))</f>
        <v/>
      </c>
      <c r="AU95" s="125" t="str">
        <f>IF(Ujian!AU102="","",IF(LEFT(Ujian!AU102,1)=SEKOR!AU$2,1,0))</f>
        <v/>
      </c>
      <c r="AV95" s="125" t="str">
        <f>IF(Ujian!AV102="","",IF(LEFT(Ujian!AV102,1)=SEKOR!AV$2,1,0))</f>
        <v/>
      </c>
      <c r="AW95" s="125" t="str">
        <f>IF(Ujian!AW102="","",IF(LEFT(Ujian!AW102,1)=SEKOR!AW$2,1,0))</f>
        <v/>
      </c>
      <c r="AX95" s="125" t="str">
        <f>IF(Ujian!AX102="","",IF(LEFT(Ujian!AX102,1)=SEKOR!AX$2,1,0))</f>
        <v/>
      </c>
      <c r="AY95" s="125" t="str">
        <f>IF(Ujian!AY102="","",IF(LEFT(Ujian!AY102,1)=SEKOR!AY$2,1,0))</f>
        <v/>
      </c>
      <c r="AZ95" s="125" t="str">
        <f>IF(Ujian!AZ102="","",IF(LEFT(Ujian!AZ102,1)=SEKOR!AZ$2,1,0))</f>
        <v/>
      </c>
      <c r="BA95" s="125" t="str">
        <f>IF(Ujian!BA102="","",IF(LEFT(Ujian!BA102,1)=SEKOR!BA$2,1,0))</f>
        <v/>
      </c>
      <c r="BB95" s="125" t="str">
        <f>IF(Ujian!BB102="","",IF(LEFT(Ujian!BB102,1)=SEKOR!BB$2,1,0))</f>
        <v/>
      </c>
      <c r="BC95" s="125" t="str">
        <f>IF(Ujian!BC102="","",IF(LEFT(Ujian!BC102,1)=SEKOR!BC$2,1,0))</f>
        <v/>
      </c>
      <c r="BD95" s="125" t="str">
        <f>IF(Ujian!BD102="","",IF(LEFT(Ujian!BD102,1)=SEKOR!BD$2,1,0))</f>
        <v/>
      </c>
      <c r="BE95" s="125" t="str">
        <f>IF(Ujian!BE102="","",IF(LEFT(Ujian!BE102,1)=SEKOR!BE$2,1,0))</f>
        <v/>
      </c>
      <c r="BF95" s="125" t="str">
        <f>IF(Ujian!BF102="","",IF(LEFT(Ujian!BF102,1)=SEKOR!BF$2,1,0))</f>
        <v/>
      </c>
      <c r="BG95" s="125" t="str">
        <f>IF(Ujian!BG102="","",IF(LEFT(Ujian!BG102,1)=SEKOR!BG$2,1,0))</f>
        <v/>
      </c>
      <c r="BH95" s="125" t="str">
        <f>IF(Ujian!BH102="","",IF(LEFT(Ujian!BH102,1)=SEKOR!BH$2,1,0))</f>
        <v/>
      </c>
      <c r="BI95" s="125" t="str">
        <f>IF(Ujian!BI102="","",IF(LEFT(Ujian!BI102,1)=SEKOR!BI$2,1,0))</f>
        <v/>
      </c>
      <c r="BJ95" s="125" t="str">
        <f>IF(Ujian!BJ102="","",IF(LEFT(Ujian!BJ102,1)=SEKOR!BJ$2,1,0))</f>
        <v/>
      </c>
      <c r="BK95" s="125" t="str">
        <f>IF(Ujian!BK102="","",IF(LEFT(Ujian!BK102,1)=SEKOR!BK$2,1,0))</f>
        <v/>
      </c>
      <c r="BL95" s="18">
        <f t="shared" si="2"/>
        <v>0</v>
      </c>
      <c r="BM95" s="18">
        <f>COUNTIF($D95:$BK95,"")+DATA!$F$14-DATA!$F$12</f>
        <v>60</v>
      </c>
      <c r="BN95" s="17">
        <f>IF(COUNTIF($D95:$BK95,1)&gt;DATA!$F$14,DATA!$F$14,COUNTIF($D95:$BK95,1))</f>
        <v>0</v>
      </c>
      <c r="BO95" s="17">
        <f>IF((BN95+COUNTIF($D95:$BK95,0))&lt;=DATA!$F$14,COUNTIF($D95:$BK95,0),DATA!$F$14-SEKOR!BN95)</f>
        <v>0</v>
      </c>
      <c r="BP95" s="4" t="str">
        <f>IF(BL95=0,"",BN95/DATA!$F$14*100)</f>
        <v/>
      </c>
      <c r="BQ95" s="121" t="str">
        <f t="shared" si="3"/>
        <v/>
      </c>
      <c r="BR95" s="2" t="str">
        <f>IF(Praktik!$E95=0,"",Praktik!$E95)</f>
        <v/>
      </c>
      <c r="BS95" s="2" t="str">
        <f>IF(BR95="","",(BP95*DATAINFO!$O$4)+(SEKOR!BR95*DATAINFO!$O$5)/(DATAINFO!$O$4+DATAINFO!$O$5))</f>
        <v/>
      </c>
      <c r="BT95" s="2" t="str">
        <f>IF(BL95=0,"",IF(DATA!$F$18="TIDAK",ROUNDUP((IF!$L$8*SEKOR!$BP95)+IF!$L$9,0),IF($BR95="","",ROUNDUP((IF!$L$20*$BS95)+IF!$L$21,0))))</f>
        <v/>
      </c>
      <c r="BU95" s="47" t="str">
        <f>IF(BP95="","",IF(SEKOR!BP95&gt;=DATA!$J$12,1,0))</f>
        <v/>
      </c>
      <c r="BV95" s="47" t="str">
        <f>IF(BQ95="","",IF(SEKOR!BQ95&gt;=DATA!$J$12,1,0))</f>
        <v/>
      </c>
      <c r="BW95" s="47" t="str">
        <f>IF(BR95="","",IF(SEKOR!BR95&gt;=DATA!$J$12,1,0))</f>
        <v/>
      </c>
      <c r="BX95" s="47" t="str">
        <f>IF(BT95="","",IF(DATA!$J$14="",IF(SEKOR!BT95&gt;=DATA!$J$12,1,0),IF(SEKOR!BT95&gt;=DATA!$J$14,1,0)))</f>
        <v/>
      </c>
    </row>
    <row r="96" spans="1:76" x14ac:dyDescent="0.25">
      <c r="A96" s="20" t="s">
        <v>123</v>
      </c>
      <c r="B96" s="21" t="str">
        <f>IF(Ujian!B103="","",Ujian!B103)</f>
        <v/>
      </c>
      <c r="C96" s="57" t="str">
        <f>IF(Ujian!C103="","",Ujian!C103)</f>
        <v/>
      </c>
      <c r="D96" s="125" t="str">
        <f>IF(Ujian!D103="","",IF(LEFT(Ujian!D103,1)=SEKOR!D$2,1,0))</f>
        <v/>
      </c>
      <c r="E96" s="125" t="str">
        <f>IF(Ujian!E103="","",IF(LEFT(Ujian!E103,1)=SEKOR!E$2,1,0))</f>
        <v/>
      </c>
      <c r="F96" s="125" t="str">
        <f>IF(Ujian!F103="","",IF(LEFT(Ujian!F103,1)=SEKOR!F$2,1,0))</f>
        <v/>
      </c>
      <c r="G96" s="125" t="str">
        <f>IF(Ujian!G103="","",IF(LEFT(Ujian!G103,1)=SEKOR!G$2,1,0))</f>
        <v/>
      </c>
      <c r="H96" s="125" t="str">
        <f>IF(Ujian!H103="","",IF(LEFT(Ujian!H103,1)=SEKOR!H$2,1,0))</f>
        <v/>
      </c>
      <c r="I96" s="125" t="str">
        <f>IF(Ujian!I103="","",IF(LEFT(Ujian!I103,1)=SEKOR!I$2,1,0))</f>
        <v/>
      </c>
      <c r="J96" s="125" t="str">
        <f>IF(Ujian!J103="","",IF(LEFT(Ujian!J103,1)=SEKOR!J$2,1,0))</f>
        <v/>
      </c>
      <c r="K96" s="125" t="str">
        <f>IF(Ujian!K103="","",IF(LEFT(Ujian!K103,1)=SEKOR!K$2,1,0))</f>
        <v/>
      </c>
      <c r="L96" s="125" t="str">
        <f>IF(Ujian!L103="","",IF(LEFT(Ujian!L103,1)=SEKOR!L$2,1,0))</f>
        <v/>
      </c>
      <c r="M96" s="125" t="str">
        <f>IF(Ujian!M103="","",IF(LEFT(Ujian!M103,1)=SEKOR!M$2,1,0))</f>
        <v/>
      </c>
      <c r="N96" s="125" t="str">
        <f>IF(Ujian!N103="","",IF(LEFT(Ujian!N103,1)=SEKOR!N$2,1,0))</f>
        <v/>
      </c>
      <c r="O96" s="125" t="str">
        <f>IF(Ujian!O103="","",IF(LEFT(Ujian!O103,1)=SEKOR!O$2,1,0))</f>
        <v/>
      </c>
      <c r="P96" s="125" t="str">
        <f>IF(Ujian!P103="","",IF(LEFT(Ujian!P103,1)=SEKOR!P$2,1,0))</f>
        <v/>
      </c>
      <c r="Q96" s="125" t="str">
        <f>IF(Ujian!Q103="","",IF(LEFT(Ujian!Q103,1)=SEKOR!Q$2,1,0))</f>
        <v/>
      </c>
      <c r="R96" s="125" t="str">
        <f>IF(Ujian!R103="","",IF(LEFT(Ujian!R103,1)=SEKOR!R$2,1,0))</f>
        <v/>
      </c>
      <c r="S96" s="125" t="str">
        <f>IF(Ujian!S103="","",IF(LEFT(Ujian!S103,1)=SEKOR!S$2,1,0))</f>
        <v/>
      </c>
      <c r="T96" s="125" t="str">
        <f>IF(Ujian!T103="","",IF(LEFT(Ujian!T103,1)=SEKOR!T$2,1,0))</f>
        <v/>
      </c>
      <c r="U96" s="125" t="str">
        <f>IF(Ujian!U103="","",IF(LEFT(Ujian!U103,1)=SEKOR!U$2,1,0))</f>
        <v/>
      </c>
      <c r="V96" s="125" t="str">
        <f>IF(Ujian!V103="","",IF(LEFT(Ujian!V103,1)=SEKOR!V$2,1,0))</f>
        <v/>
      </c>
      <c r="W96" s="125" t="str">
        <f>IF(Ujian!W103="","",IF(LEFT(Ujian!W103,1)=SEKOR!W$2,1,0))</f>
        <v/>
      </c>
      <c r="X96" s="125" t="str">
        <f>IF(Ujian!X103="","",IF(LEFT(Ujian!X103,1)=SEKOR!X$2,1,0))</f>
        <v/>
      </c>
      <c r="Y96" s="125" t="str">
        <f>IF(Ujian!Y103="","",IF(LEFT(Ujian!Y103,1)=SEKOR!Y$2,1,0))</f>
        <v/>
      </c>
      <c r="Z96" s="125" t="str">
        <f>IF(Ujian!Z103="","",IF(LEFT(Ujian!Z103,1)=SEKOR!Z$2,1,0))</f>
        <v/>
      </c>
      <c r="AA96" s="125" t="str">
        <f>IF(Ujian!AA103="","",IF(LEFT(Ujian!AA103,1)=SEKOR!AA$2,1,0))</f>
        <v/>
      </c>
      <c r="AB96" s="125" t="str">
        <f>IF(Ujian!AB103="","",IF(LEFT(Ujian!AB103,1)=SEKOR!AB$2,1,0))</f>
        <v/>
      </c>
      <c r="AC96" s="125" t="str">
        <f>IF(Ujian!AC103="","",IF(LEFT(Ujian!AC103,1)=SEKOR!AC$2,1,0))</f>
        <v/>
      </c>
      <c r="AD96" s="125" t="str">
        <f>IF(Ujian!AD103="","",IF(LEFT(Ujian!AD103,1)=SEKOR!AD$2,1,0))</f>
        <v/>
      </c>
      <c r="AE96" s="125" t="str">
        <f>IF(Ujian!AE103="","",IF(LEFT(Ujian!AE103,1)=SEKOR!AE$2,1,0))</f>
        <v/>
      </c>
      <c r="AF96" s="125" t="str">
        <f>IF(Ujian!AF103="","",IF(LEFT(Ujian!AF103,1)=SEKOR!AF$2,1,0))</f>
        <v/>
      </c>
      <c r="AG96" s="125" t="str">
        <f>IF(Ujian!AG103="","",IF(LEFT(Ujian!AG103,1)=SEKOR!AG$2,1,0))</f>
        <v/>
      </c>
      <c r="AH96" s="125" t="str">
        <f>IF(Ujian!AH103="","",IF(LEFT(Ujian!AH103,1)=SEKOR!AH$2,1,0))</f>
        <v/>
      </c>
      <c r="AI96" s="125" t="str">
        <f>IF(Ujian!AI103="","",IF(LEFT(Ujian!AI103,1)=SEKOR!AI$2,1,0))</f>
        <v/>
      </c>
      <c r="AJ96" s="125" t="str">
        <f>IF(Ujian!AJ103="","",IF(LEFT(Ujian!AJ103,1)=SEKOR!AJ$2,1,0))</f>
        <v/>
      </c>
      <c r="AK96" s="125" t="str">
        <f>IF(Ujian!AK103="","",IF(LEFT(Ujian!AK103,1)=SEKOR!AK$2,1,0))</f>
        <v/>
      </c>
      <c r="AL96" s="125" t="str">
        <f>IF(Ujian!AL103="","",IF(LEFT(Ujian!AL103,1)=SEKOR!AL$2,1,0))</f>
        <v/>
      </c>
      <c r="AM96" s="125" t="str">
        <f>IF(Ujian!AM103="","",IF(LEFT(Ujian!AM103,1)=SEKOR!AM$2,1,0))</f>
        <v/>
      </c>
      <c r="AN96" s="125" t="str">
        <f>IF(Ujian!AN103="","",IF(LEFT(Ujian!AN103,1)=SEKOR!AN$2,1,0))</f>
        <v/>
      </c>
      <c r="AO96" s="125" t="str">
        <f>IF(Ujian!AO103="","",IF(LEFT(Ujian!AO103,1)=SEKOR!AO$2,1,0))</f>
        <v/>
      </c>
      <c r="AP96" s="125" t="str">
        <f>IF(Ujian!AP103="","",IF(LEFT(Ujian!AP103,1)=SEKOR!AP$2,1,0))</f>
        <v/>
      </c>
      <c r="AQ96" s="125" t="str">
        <f>IF(Ujian!AQ103="","",IF(LEFT(Ujian!AQ103,1)=SEKOR!AQ$2,1,0))</f>
        <v/>
      </c>
      <c r="AR96" s="125" t="str">
        <f>IF(Ujian!AR103="","",IF(LEFT(Ujian!AR103,1)=SEKOR!AR$2,1,0))</f>
        <v/>
      </c>
      <c r="AS96" s="125" t="str">
        <f>IF(Ujian!AS103="","",IF(LEFT(Ujian!AS103,1)=SEKOR!AS$2,1,0))</f>
        <v/>
      </c>
      <c r="AT96" s="125" t="str">
        <f>IF(Ujian!AT103="","",IF(LEFT(Ujian!AT103,1)=SEKOR!AT$2,1,0))</f>
        <v/>
      </c>
      <c r="AU96" s="125" t="str">
        <f>IF(Ujian!AU103="","",IF(LEFT(Ujian!AU103,1)=SEKOR!AU$2,1,0))</f>
        <v/>
      </c>
      <c r="AV96" s="125" t="str">
        <f>IF(Ujian!AV103="","",IF(LEFT(Ujian!AV103,1)=SEKOR!AV$2,1,0))</f>
        <v/>
      </c>
      <c r="AW96" s="125" t="str">
        <f>IF(Ujian!AW103="","",IF(LEFT(Ujian!AW103,1)=SEKOR!AW$2,1,0))</f>
        <v/>
      </c>
      <c r="AX96" s="125" t="str">
        <f>IF(Ujian!AX103="","",IF(LEFT(Ujian!AX103,1)=SEKOR!AX$2,1,0))</f>
        <v/>
      </c>
      <c r="AY96" s="125" t="str">
        <f>IF(Ujian!AY103="","",IF(LEFT(Ujian!AY103,1)=SEKOR!AY$2,1,0))</f>
        <v/>
      </c>
      <c r="AZ96" s="125" t="str">
        <f>IF(Ujian!AZ103="","",IF(LEFT(Ujian!AZ103,1)=SEKOR!AZ$2,1,0))</f>
        <v/>
      </c>
      <c r="BA96" s="125" t="str">
        <f>IF(Ujian!BA103="","",IF(LEFT(Ujian!BA103,1)=SEKOR!BA$2,1,0))</f>
        <v/>
      </c>
      <c r="BB96" s="125" t="str">
        <f>IF(Ujian!BB103="","",IF(LEFT(Ujian!BB103,1)=SEKOR!BB$2,1,0))</f>
        <v/>
      </c>
      <c r="BC96" s="125" t="str">
        <f>IF(Ujian!BC103="","",IF(LEFT(Ujian!BC103,1)=SEKOR!BC$2,1,0))</f>
        <v/>
      </c>
      <c r="BD96" s="125" t="str">
        <f>IF(Ujian!BD103="","",IF(LEFT(Ujian!BD103,1)=SEKOR!BD$2,1,0))</f>
        <v/>
      </c>
      <c r="BE96" s="125" t="str">
        <f>IF(Ujian!BE103="","",IF(LEFT(Ujian!BE103,1)=SEKOR!BE$2,1,0))</f>
        <v/>
      </c>
      <c r="BF96" s="125" t="str">
        <f>IF(Ujian!BF103="","",IF(LEFT(Ujian!BF103,1)=SEKOR!BF$2,1,0))</f>
        <v/>
      </c>
      <c r="BG96" s="125" t="str">
        <f>IF(Ujian!BG103="","",IF(LEFT(Ujian!BG103,1)=SEKOR!BG$2,1,0))</f>
        <v/>
      </c>
      <c r="BH96" s="125" t="str">
        <f>IF(Ujian!BH103="","",IF(LEFT(Ujian!BH103,1)=SEKOR!BH$2,1,0))</f>
        <v/>
      </c>
      <c r="BI96" s="125" t="str">
        <f>IF(Ujian!BI103="","",IF(LEFT(Ujian!BI103,1)=SEKOR!BI$2,1,0))</f>
        <v/>
      </c>
      <c r="BJ96" s="125" t="str">
        <f>IF(Ujian!BJ103="","",IF(LEFT(Ujian!BJ103,1)=SEKOR!BJ$2,1,0))</f>
        <v/>
      </c>
      <c r="BK96" s="125" t="str">
        <f>IF(Ujian!BK103="","",IF(LEFT(Ujian!BK103,1)=SEKOR!BK$2,1,0))</f>
        <v/>
      </c>
      <c r="BL96" s="18">
        <f t="shared" si="2"/>
        <v>0</v>
      </c>
      <c r="BM96" s="18">
        <f>COUNTIF($D96:$BK96,"")+DATA!$F$14-DATA!$F$12</f>
        <v>60</v>
      </c>
      <c r="BN96" s="17">
        <f>IF(COUNTIF($D96:$BK96,1)&gt;DATA!$F$14,DATA!$F$14,COUNTIF($D96:$BK96,1))</f>
        <v>0</v>
      </c>
      <c r="BO96" s="17">
        <f>IF((BN96+COUNTIF($D96:$BK96,0))&lt;=DATA!$F$14,COUNTIF($D96:$BK96,0),DATA!$F$14-SEKOR!BN96)</f>
        <v>0</v>
      </c>
      <c r="BP96" s="4" t="str">
        <f>IF(BL96=0,"",BN96/DATA!$F$14*100)</f>
        <v/>
      </c>
      <c r="BQ96" s="121" t="str">
        <f t="shared" si="3"/>
        <v/>
      </c>
      <c r="BR96" s="2" t="str">
        <f>IF(Praktik!$E96=0,"",Praktik!$E96)</f>
        <v/>
      </c>
      <c r="BS96" s="2" t="str">
        <f>IF(BR96="","",(BP96*DATAINFO!$O$4)+(SEKOR!BR96*DATAINFO!$O$5)/(DATAINFO!$O$4+DATAINFO!$O$5))</f>
        <v/>
      </c>
      <c r="BT96" s="2" t="str">
        <f>IF(BL96=0,"",IF(DATA!$F$18="TIDAK",ROUNDUP((IF!$L$8*SEKOR!$BP96)+IF!$L$9,0),IF($BR96="","",ROUNDUP((IF!$L$20*$BS96)+IF!$L$21,0))))</f>
        <v/>
      </c>
      <c r="BU96" s="47" t="str">
        <f>IF(BP96="","",IF(SEKOR!BP96&gt;=DATA!$J$12,1,0))</f>
        <v/>
      </c>
      <c r="BV96" s="47" t="str">
        <f>IF(BQ96="","",IF(SEKOR!BQ96&gt;=DATA!$J$12,1,0))</f>
        <v/>
      </c>
      <c r="BW96" s="47" t="str">
        <f>IF(BR96="","",IF(SEKOR!BR96&gt;=DATA!$J$12,1,0))</f>
        <v/>
      </c>
      <c r="BX96" s="47" t="str">
        <f>IF(BT96="","",IF(DATA!$J$14="",IF(SEKOR!BT96&gt;=DATA!$J$12,1,0),IF(SEKOR!BT96&gt;=DATA!$J$14,1,0)))</f>
        <v/>
      </c>
    </row>
    <row r="97" spans="1:76" x14ac:dyDescent="0.25">
      <c r="A97" s="20" t="s">
        <v>124</v>
      </c>
      <c r="B97" s="21" t="str">
        <f>IF(Ujian!B104="","",Ujian!B104)</f>
        <v/>
      </c>
      <c r="C97" s="57" t="str">
        <f>IF(Ujian!C104="","",Ujian!C104)</f>
        <v/>
      </c>
      <c r="D97" s="125" t="str">
        <f>IF(Ujian!D104="","",IF(LEFT(Ujian!D104,1)=SEKOR!D$2,1,0))</f>
        <v/>
      </c>
      <c r="E97" s="125" t="str">
        <f>IF(Ujian!E104="","",IF(LEFT(Ujian!E104,1)=SEKOR!E$2,1,0))</f>
        <v/>
      </c>
      <c r="F97" s="125" t="str">
        <f>IF(Ujian!F104="","",IF(LEFT(Ujian!F104,1)=SEKOR!F$2,1,0))</f>
        <v/>
      </c>
      <c r="G97" s="125" t="str">
        <f>IF(Ujian!G104="","",IF(LEFT(Ujian!G104,1)=SEKOR!G$2,1,0))</f>
        <v/>
      </c>
      <c r="H97" s="125" t="str">
        <f>IF(Ujian!H104="","",IF(LEFT(Ujian!H104,1)=SEKOR!H$2,1,0))</f>
        <v/>
      </c>
      <c r="I97" s="125" t="str">
        <f>IF(Ujian!I104="","",IF(LEFT(Ujian!I104,1)=SEKOR!I$2,1,0))</f>
        <v/>
      </c>
      <c r="J97" s="125" t="str">
        <f>IF(Ujian!J104="","",IF(LEFT(Ujian!J104,1)=SEKOR!J$2,1,0))</f>
        <v/>
      </c>
      <c r="K97" s="125" t="str">
        <f>IF(Ujian!K104="","",IF(LEFT(Ujian!K104,1)=SEKOR!K$2,1,0))</f>
        <v/>
      </c>
      <c r="L97" s="125" t="str">
        <f>IF(Ujian!L104="","",IF(LEFT(Ujian!L104,1)=SEKOR!L$2,1,0))</f>
        <v/>
      </c>
      <c r="M97" s="125" t="str">
        <f>IF(Ujian!M104="","",IF(LEFT(Ujian!M104,1)=SEKOR!M$2,1,0))</f>
        <v/>
      </c>
      <c r="N97" s="125" t="str">
        <f>IF(Ujian!N104="","",IF(LEFT(Ujian!N104,1)=SEKOR!N$2,1,0))</f>
        <v/>
      </c>
      <c r="O97" s="125" t="str">
        <f>IF(Ujian!O104="","",IF(LEFT(Ujian!O104,1)=SEKOR!O$2,1,0))</f>
        <v/>
      </c>
      <c r="P97" s="125" t="str">
        <f>IF(Ujian!P104="","",IF(LEFT(Ujian!P104,1)=SEKOR!P$2,1,0))</f>
        <v/>
      </c>
      <c r="Q97" s="125" t="str">
        <f>IF(Ujian!Q104="","",IF(LEFT(Ujian!Q104,1)=SEKOR!Q$2,1,0))</f>
        <v/>
      </c>
      <c r="R97" s="125" t="str">
        <f>IF(Ujian!R104="","",IF(LEFT(Ujian!R104,1)=SEKOR!R$2,1,0))</f>
        <v/>
      </c>
      <c r="S97" s="125" t="str">
        <f>IF(Ujian!S104="","",IF(LEFT(Ujian!S104,1)=SEKOR!S$2,1,0))</f>
        <v/>
      </c>
      <c r="T97" s="125" t="str">
        <f>IF(Ujian!T104="","",IF(LEFT(Ujian!T104,1)=SEKOR!T$2,1,0))</f>
        <v/>
      </c>
      <c r="U97" s="125" t="str">
        <f>IF(Ujian!U104="","",IF(LEFT(Ujian!U104,1)=SEKOR!U$2,1,0))</f>
        <v/>
      </c>
      <c r="V97" s="125" t="str">
        <f>IF(Ujian!V104="","",IF(LEFT(Ujian!V104,1)=SEKOR!V$2,1,0))</f>
        <v/>
      </c>
      <c r="W97" s="125" t="str">
        <f>IF(Ujian!W104="","",IF(LEFT(Ujian!W104,1)=SEKOR!W$2,1,0))</f>
        <v/>
      </c>
      <c r="X97" s="125" t="str">
        <f>IF(Ujian!X104="","",IF(LEFT(Ujian!X104,1)=SEKOR!X$2,1,0))</f>
        <v/>
      </c>
      <c r="Y97" s="125" t="str">
        <f>IF(Ujian!Y104="","",IF(LEFT(Ujian!Y104,1)=SEKOR!Y$2,1,0))</f>
        <v/>
      </c>
      <c r="Z97" s="125" t="str">
        <f>IF(Ujian!Z104="","",IF(LEFT(Ujian!Z104,1)=SEKOR!Z$2,1,0))</f>
        <v/>
      </c>
      <c r="AA97" s="125" t="str">
        <f>IF(Ujian!AA104="","",IF(LEFT(Ujian!AA104,1)=SEKOR!AA$2,1,0))</f>
        <v/>
      </c>
      <c r="AB97" s="125" t="str">
        <f>IF(Ujian!AB104="","",IF(LEFT(Ujian!AB104,1)=SEKOR!AB$2,1,0))</f>
        <v/>
      </c>
      <c r="AC97" s="125" t="str">
        <f>IF(Ujian!AC104="","",IF(LEFT(Ujian!AC104,1)=SEKOR!AC$2,1,0))</f>
        <v/>
      </c>
      <c r="AD97" s="125" t="str">
        <f>IF(Ujian!AD104="","",IF(LEFT(Ujian!AD104,1)=SEKOR!AD$2,1,0))</f>
        <v/>
      </c>
      <c r="AE97" s="125" t="str">
        <f>IF(Ujian!AE104="","",IF(LEFT(Ujian!AE104,1)=SEKOR!AE$2,1,0))</f>
        <v/>
      </c>
      <c r="AF97" s="125" t="str">
        <f>IF(Ujian!AF104="","",IF(LEFT(Ujian!AF104,1)=SEKOR!AF$2,1,0))</f>
        <v/>
      </c>
      <c r="AG97" s="125" t="str">
        <f>IF(Ujian!AG104="","",IF(LEFT(Ujian!AG104,1)=SEKOR!AG$2,1,0))</f>
        <v/>
      </c>
      <c r="AH97" s="125" t="str">
        <f>IF(Ujian!AH104="","",IF(LEFT(Ujian!AH104,1)=SEKOR!AH$2,1,0))</f>
        <v/>
      </c>
      <c r="AI97" s="125" t="str">
        <f>IF(Ujian!AI104="","",IF(LEFT(Ujian!AI104,1)=SEKOR!AI$2,1,0))</f>
        <v/>
      </c>
      <c r="AJ97" s="125" t="str">
        <f>IF(Ujian!AJ104="","",IF(LEFT(Ujian!AJ104,1)=SEKOR!AJ$2,1,0))</f>
        <v/>
      </c>
      <c r="AK97" s="125" t="str">
        <f>IF(Ujian!AK104="","",IF(LEFT(Ujian!AK104,1)=SEKOR!AK$2,1,0))</f>
        <v/>
      </c>
      <c r="AL97" s="125" t="str">
        <f>IF(Ujian!AL104="","",IF(LEFT(Ujian!AL104,1)=SEKOR!AL$2,1,0))</f>
        <v/>
      </c>
      <c r="AM97" s="125" t="str">
        <f>IF(Ujian!AM104="","",IF(LEFT(Ujian!AM104,1)=SEKOR!AM$2,1,0))</f>
        <v/>
      </c>
      <c r="AN97" s="125" t="str">
        <f>IF(Ujian!AN104="","",IF(LEFT(Ujian!AN104,1)=SEKOR!AN$2,1,0))</f>
        <v/>
      </c>
      <c r="AO97" s="125" t="str">
        <f>IF(Ujian!AO104="","",IF(LEFT(Ujian!AO104,1)=SEKOR!AO$2,1,0))</f>
        <v/>
      </c>
      <c r="AP97" s="125" t="str">
        <f>IF(Ujian!AP104="","",IF(LEFT(Ujian!AP104,1)=SEKOR!AP$2,1,0))</f>
        <v/>
      </c>
      <c r="AQ97" s="125" t="str">
        <f>IF(Ujian!AQ104="","",IF(LEFT(Ujian!AQ104,1)=SEKOR!AQ$2,1,0))</f>
        <v/>
      </c>
      <c r="AR97" s="125" t="str">
        <f>IF(Ujian!AR104="","",IF(LEFT(Ujian!AR104,1)=SEKOR!AR$2,1,0))</f>
        <v/>
      </c>
      <c r="AS97" s="125" t="str">
        <f>IF(Ujian!AS104="","",IF(LEFT(Ujian!AS104,1)=SEKOR!AS$2,1,0))</f>
        <v/>
      </c>
      <c r="AT97" s="125" t="str">
        <f>IF(Ujian!AT104="","",IF(LEFT(Ujian!AT104,1)=SEKOR!AT$2,1,0))</f>
        <v/>
      </c>
      <c r="AU97" s="125" t="str">
        <f>IF(Ujian!AU104="","",IF(LEFT(Ujian!AU104,1)=SEKOR!AU$2,1,0))</f>
        <v/>
      </c>
      <c r="AV97" s="125" t="str">
        <f>IF(Ujian!AV104="","",IF(LEFT(Ujian!AV104,1)=SEKOR!AV$2,1,0))</f>
        <v/>
      </c>
      <c r="AW97" s="125" t="str">
        <f>IF(Ujian!AW104="","",IF(LEFT(Ujian!AW104,1)=SEKOR!AW$2,1,0))</f>
        <v/>
      </c>
      <c r="AX97" s="125" t="str">
        <f>IF(Ujian!AX104="","",IF(LEFT(Ujian!AX104,1)=SEKOR!AX$2,1,0))</f>
        <v/>
      </c>
      <c r="AY97" s="125" t="str">
        <f>IF(Ujian!AY104="","",IF(LEFT(Ujian!AY104,1)=SEKOR!AY$2,1,0))</f>
        <v/>
      </c>
      <c r="AZ97" s="125" t="str">
        <f>IF(Ujian!AZ104="","",IF(LEFT(Ujian!AZ104,1)=SEKOR!AZ$2,1,0))</f>
        <v/>
      </c>
      <c r="BA97" s="125" t="str">
        <f>IF(Ujian!BA104="","",IF(LEFT(Ujian!BA104,1)=SEKOR!BA$2,1,0))</f>
        <v/>
      </c>
      <c r="BB97" s="125" t="str">
        <f>IF(Ujian!BB104="","",IF(LEFT(Ujian!BB104,1)=SEKOR!BB$2,1,0))</f>
        <v/>
      </c>
      <c r="BC97" s="125" t="str">
        <f>IF(Ujian!BC104="","",IF(LEFT(Ujian!BC104,1)=SEKOR!BC$2,1,0))</f>
        <v/>
      </c>
      <c r="BD97" s="125" t="str">
        <f>IF(Ujian!BD104="","",IF(LEFT(Ujian!BD104,1)=SEKOR!BD$2,1,0))</f>
        <v/>
      </c>
      <c r="BE97" s="125" t="str">
        <f>IF(Ujian!BE104="","",IF(LEFT(Ujian!BE104,1)=SEKOR!BE$2,1,0))</f>
        <v/>
      </c>
      <c r="BF97" s="125" t="str">
        <f>IF(Ujian!BF104="","",IF(LEFT(Ujian!BF104,1)=SEKOR!BF$2,1,0))</f>
        <v/>
      </c>
      <c r="BG97" s="125" t="str">
        <f>IF(Ujian!BG104="","",IF(LEFT(Ujian!BG104,1)=SEKOR!BG$2,1,0))</f>
        <v/>
      </c>
      <c r="BH97" s="125" t="str">
        <f>IF(Ujian!BH104="","",IF(LEFT(Ujian!BH104,1)=SEKOR!BH$2,1,0))</f>
        <v/>
      </c>
      <c r="BI97" s="125" t="str">
        <f>IF(Ujian!BI104="","",IF(LEFT(Ujian!BI104,1)=SEKOR!BI$2,1,0))</f>
        <v/>
      </c>
      <c r="BJ97" s="125" t="str">
        <f>IF(Ujian!BJ104="","",IF(LEFT(Ujian!BJ104,1)=SEKOR!BJ$2,1,0))</f>
        <v/>
      </c>
      <c r="BK97" s="125" t="str">
        <f>IF(Ujian!BK104="","",IF(LEFT(Ujian!BK104,1)=SEKOR!BK$2,1,0))</f>
        <v/>
      </c>
      <c r="BL97" s="18">
        <f t="shared" si="2"/>
        <v>0</v>
      </c>
      <c r="BM97" s="18">
        <f>COUNTIF($D97:$BK97,"")+DATA!$F$14-DATA!$F$12</f>
        <v>60</v>
      </c>
      <c r="BN97" s="17">
        <f>IF(COUNTIF($D97:$BK97,1)&gt;DATA!$F$14,DATA!$F$14,COUNTIF($D97:$BK97,1))</f>
        <v>0</v>
      </c>
      <c r="BO97" s="17">
        <f>IF((BN97+COUNTIF($D97:$BK97,0))&lt;=DATA!$F$14,COUNTIF($D97:$BK97,0),DATA!$F$14-SEKOR!BN97)</f>
        <v>0</v>
      </c>
      <c r="BP97" s="4" t="str">
        <f>IF(BL97=0,"",BN97/DATA!$F$14*100)</f>
        <v/>
      </c>
      <c r="BQ97" s="121" t="str">
        <f t="shared" si="3"/>
        <v/>
      </c>
      <c r="BR97" s="2" t="str">
        <f>IF(Praktik!$E97=0,"",Praktik!$E97)</f>
        <v/>
      </c>
      <c r="BS97" s="2" t="str">
        <f>IF(BR97="","",(BP97*DATAINFO!$O$4)+(SEKOR!BR97*DATAINFO!$O$5)/(DATAINFO!$O$4+DATAINFO!$O$5))</f>
        <v/>
      </c>
      <c r="BT97" s="2" t="str">
        <f>IF(BL97=0,"",IF(DATA!$F$18="TIDAK",ROUNDUP((IF!$L$8*SEKOR!$BP97)+IF!$L$9,0),IF($BR97="","",ROUNDUP((IF!$L$20*$BS97)+IF!$L$21,0))))</f>
        <v/>
      </c>
      <c r="BU97" s="47" t="str">
        <f>IF(BP97="","",IF(SEKOR!BP97&gt;=DATA!$J$12,1,0))</f>
        <v/>
      </c>
      <c r="BV97" s="47" t="str">
        <f>IF(BQ97="","",IF(SEKOR!BQ97&gt;=DATA!$J$12,1,0))</f>
        <v/>
      </c>
      <c r="BW97" s="47" t="str">
        <f>IF(BR97="","",IF(SEKOR!BR97&gt;=DATA!$J$12,1,0))</f>
        <v/>
      </c>
      <c r="BX97" s="47" t="str">
        <f>IF(BT97="","",IF(DATA!$J$14="",IF(SEKOR!BT97&gt;=DATA!$J$12,1,0),IF(SEKOR!BT97&gt;=DATA!$J$14,1,0)))</f>
        <v/>
      </c>
    </row>
    <row r="98" spans="1:76" x14ac:dyDescent="0.25">
      <c r="A98" s="20" t="s">
        <v>125</v>
      </c>
      <c r="B98" s="21" t="str">
        <f>IF(Ujian!B105="","",Ujian!B105)</f>
        <v/>
      </c>
      <c r="C98" s="57" t="str">
        <f>IF(Ujian!C105="","",Ujian!C105)</f>
        <v/>
      </c>
      <c r="D98" s="125" t="str">
        <f>IF(Ujian!D105="","",IF(LEFT(Ujian!D105,1)=SEKOR!D$2,1,0))</f>
        <v/>
      </c>
      <c r="E98" s="125" t="str">
        <f>IF(Ujian!E105="","",IF(LEFT(Ujian!E105,1)=SEKOR!E$2,1,0))</f>
        <v/>
      </c>
      <c r="F98" s="125" t="str">
        <f>IF(Ujian!F105="","",IF(LEFT(Ujian!F105,1)=SEKOR!F$2,1,0))</f>
        <v/>
      </c>
      <c r="G98" s="125" t="str">
        <f>IF(Ujian!G105="","",IF(LEFT(Ujian!G105,1)=SEKOR!G$2,1,0))</f>
        <v/>
      </c>
      <c r="H98" s="125" t="str">
        <f>IF(Ujian!H105="","",IF(LEFT(Ujian!H105,1)=SEKOR!H$2,1,0))</f>
        <v/>
      </c>
      <c r="I98" s="125" t="str">
        <f>IF(Ujian!I105="","",IF(LEFT(Ujian!I105,1)=SEKOR!I$2,1,0))</f>
        <v/>
      </c>
      <c r="J98" s="125" t="str">
        <f>IF(Ujian!J105="","",IF(LEFT(Ujian!J105,1)=SEKOR!J$2,1,0))</f>
        <v/>
      </c>
      <c r="K98" s="125" t="str">
        <f>IF(Ujian!K105="","",IF(LEFT(Ujian!K105,1)=SEKOR!K$2,1,0))</f>
        <v/>
      </c>
      <c r="L98" s="125" t="str">
        <f>IF(Ujian!L105="","",IF(LEFT(Ujian!L105,1)=SEKOR!L$2,1,0))</f>
        <v/>
      </c>
      <c r="M98" s="125" t="str">
        <f>IF(Ujian!M105="","",IF(LEFT(Ujian!M105,1)=SEKOR!M$2,1,0))</f>
        <v/>
      </c>
      <c r="N98" s="125" t="str">
        <f>IF(Ujian!N105="","",IF(LEFT(Ujian!N105,1)=SEKOR!N$2,1,0))</f>
        <v/>
      </c>
      <c r="O98" s="125" t="str">
        <f>IF(Ujian!O105="","",IF(LEFT(Ujian!O105,1)=SEKOR!O$2,1,0))</f>
        <v/>
      </c>
      <c r="P98" s="125" t="str">
        <f>IF(Ujian!P105="","",IF(LEFT(Ujian!P105,1)=SEKOR!P$2,1,0))</f>
        <v/>
      </c>
      <c r="Q98" s="125" t="str">
        <f>IF(Ujian!Q105="","",IF(LEFT(Ujian!Q105,1)=SEKOR!Q$2,1,0))</f>
        <v/>
      </c>
      <c r="R98" s="125" t="str">
        <f>IF(Ujian!R105="","",IF(LEFT(Ujian!R105,1)=SEKOR!R$2,1,0))</f>
        <v/>
      </c>
      <c r="S98" s="125" t="str">
        <f>IF(Ujian!S105="","",IF(LEFT(Ujian!S105,1)=SEKOR!S$2,1,0))</f>
        <v/>
      </c>
      <c r="T98" s="125" t="str">
        <f>IF(Ujian!T105="","",IF(LEFT(Ujian!T105,1)=SEKOR!T$2,1,0))</f>
        <v/>
      </c>
      <c r="U98" s="125" t="str">
        <f>IF(Ujian!U105="","",IF(LEFT(Ujian!U105,1)=SEKOR!U$2,1,0))</f>
        <v/>
      </c>
      <c r="V98" s="125" t="str">
        <f>IF(Ujian!V105="","",IF(LEFT(Ujian!V105,1)=SEKOR!V$2,1,0))</f>
        <v/>
      </c>
      <c r="W98" s="125" t="str">
        <f>IF(Ujian!W105="","",IF(LEFT(Ujian!W105,1)=SEKOR!W$2,1,0))</f>
        <v/>
      </c>
      <c r="X98" s="125" t="str">
        <f>IF(Ujian!X105="","",IF(LEFT(Ujian!X105,1)=SEKOR!X$2,1,0))</f>
        <v/>
      </c>
      <c r="Y98" s="125" t="str">
        <f>IF(Ujian!Y105="","",IF(LEFT(Ujian!Y105,1)=SEKOR!Y$2,1,0))</f>
        <v/>
      </c>
      <c r="Z98" s="125" t="str">
        <f>IF(Ujian!Z105="","",IF(LEFT(Ujian!Z105,1)=SEKOR!Z$2,1,0))</f>
        <v/>
      </c>
      <c r="AA98" s="125" t="str">
        <f>IF(Ujian!AA105="","",IF(LEFT(Ujian!AA105,1)=SEKOR!AA$2,1,0))</f>
        <v/>
      </c>
      <c r="AB98" s="125" t="str">
        <f>IF(Ujian!AB105="","",IF(LEFT(Ujian!AB105,1)=SEKOR!AB$2,1,0))</f>
        <v/>
      </c>
      <c r="AC98" s="125" t="str">
        <f>IF(Ujian!AC105="","",IF(LEFT(Ujian!AC105,1)=SEKOR!AC$2,1,0))</f>
        <v/>
      </c>
      <c r="AD98" s="125" t="str">
        <f>IF(Ujian!AD105="","",IF(LEFT(Ujian!AD105,1)=SEKOR!AD$2,1,0))</f>
        <v/>
      </c>
      <c r="AE98" s="125" t="str">
        <f>IF(Ujian!AE105="","",IF(LEFT(Ujian!AE105,1)=SEKOR!AE$2,1,0))</f>
        <v/>
      </c>
      <c r="AF98" s="125" t="str">
        <f>IF(Ujian!AF105="","",IF(LEFT(Ujian!AF105,1)=SEKOR!AF$2,1,0))</f>
        <v/>
      </c>
      <c r="AG98" s="125" t="str">
        <f>IF(Ujian!AG105="","",IF(LEFT(Ujian!AG105,1)=SEKOR!AG$2,1,0))</f>
        <v/>
      </c>
      <c r="AH98" s="125" t="str">
        <f>IF(Ujian!AH105="","",IF(LEFT(Ujian!AH105,1)=SEKOR!AH$2,1,0))</f>
        <v/>
      </c>
      <c r="AI98" s="125" t="str">
        <f>IF(Ujian!AI105="","",IF(LEFT(Ujian!AI105,1)=SEKOR!AI$2,1,0))</f>
        <v/>
      </c>
      <c r="AJ98" s="125" t="str">
        <f>IF(Ujian!AJ105="","",IF(LEFT(Ujian!AJ105,1)=SEKOR!AJ$2,1,0))</f>
        <v/>
      </c>
      <c r="AK98" s="125" t="str">
        <f>IF(Ujian!AK105="","",IF(LEFT(Ujian!AK105,1)=SEKOR!AK$2,1,0))</f>
        <v/>
      </c>
      <c r="AL98" s="125" t="str">
        <f>IF(Ujian!AL105="","",IF(LEFT(Ujian!AL105,1)=SEKOR!AL$2,1,0))</f>
        <v/>
      </c>
      <c r="AM98" s="125" t="str">
        <f>IF(Ujian!AM105="","",IF(LEFT(Ujian!AM105,1)=SEKOR!AM$2,1,0))</f>
        <v/>
      </c>
      <c r="AN98" s="125" t="str">
        <f>IF(Ujian!AN105="","",IF(LEFT(Ujian!AN105,1)=SEKOR!AN$2,1,0))</f>
        <v/>
      </c>
      <c r="AO98" s="125" t="str">
        <f>IF(Ujian!AO105="","",IF(LEFT(Ujian!AO105,1)=SEKOR!AO$2,1,0))</f>
        <v/>
      </c>
      <c r="AP98" s="125" t="str">
        <f>IF(Ujian!AP105="","",IF(LEFT(Ujian!AP105,1)=SEKOR!AP$2,1,0))</f>
        <v/>
      </c>
      <c r="AQ98" s="125" t="str">
        <f>IF(Ujian!AQ105="","",IF(LEFT(Ujian!AQ105,1)=SEKOR!AQ$2,1,0))</f>
        <v/>
      </c>
      <c r="AR98" s="125" t="str">
        <f>IF(Ujian!AR105="","",IF(LEFT(Ujian!AR105,1)=SEKOR!AR$2,1,0))</f>
        <v/>
      </c>
      <c r="AS98" s="125" t="str">
        <f>IF(Ujian!AS105="","",IF(LEFT(Ujian!AS105,1)=SEKOR!AS$2,1,0))</f>
        <v/>
      </c>
      <c r="AT98" s="125" t="str">
        <f>IF(Ujian!AT105="","",IF(LEFT(Ujian!AT105,1)=SEKOR!AT$2,1,0))</f>
        <v/>
      </c>
      <c r="AU98" s="125" t="str">
        <f>IF(Ujian!AU105="","",IF(LEFT(Ujian!AU105,1)=SEKOR!AU$2,1,0))</f>
        <v/>
      </c>
      <c r="AV98" s="125" t="str">
        <f>IF(Ujian!AV105="","",IF(LEFT(Ujian!AV105,1)=SEKOR!AV$2,1,0))</f>
        <v/>
      </c>
      <c r="AW98" s="125" t="str">
        <f>IF(Ujian!AW105="","",IF(LEFT(Ujian!AW105,1)=SEKOR!AW$2,1,0))</f>
        <v/>
      </c>
      <c r="AX98" s="125" t="str">
        <f>IF(Ujian!AX105="","",IF(LEFT(Ujian!AX105,1)=SEKOR!AX$2,1,0))</f>
        <v/>
      </c>
      <c r="AY98" s="125" t="str">
        <f>IF(Ujian!AY105="","",IF(LEFT(Ujian!AY105,1)=SEKOR!AY$2,1,0))</f>
        <v/>
      </c>
      <c r="AZ98" s="125" t="str">
        <f>IF(Ujian!AZ105="","",IF(LEFT(Ujian!AZ105,1)=SEKOR!AZ$2,1,0))</f>
        <v/>
      </c>
      <c r="BA98" s="125" t="str">
        <f>IF(Ujian!BA105="","",IF(LEFT(Ujian!BA105,1)=SEKOR!BA$2,1,0))</f>
        <v/>
      </c>
      <c r="BB98" s="125" t="str">
        <f>IF(Ujian!BB105="","",IF(LEFT(Ujian!BB105,1)=SEKOR!BB$2,1,0))</f>
        <v/>
      </c>
      <c r="BC98" s="125" t="str">
        <f>IF(Ujian!BC105="","",IF(LEFT(Ujian!BC105,1)=SEKOR!BC$2,1,0))</f>
        <v/>
      </c>
      <c r="BD98" s="125" t="str">
        <f>IF(Ujian!BD105="","",IF(LEFT(Ujian!BD105,1)=SEKOR!BD$2,1,0))</f>
        <v/>
      </c>
      <c r="BE98" s="125" t="str">
        <f>IF(Ujian!BE105="","",IF(LEFT(Ujian!BE105,1)=SEKOR!BE$2,1,0))</f>
        <v/>
      </c>
      <c r="BF98" s="125" t="str">
        <f>IF(Ujian!BF105="","",IF(LEFT(Ujian!BF105,1)=SEKOR!BF$2,1,0))</f>
        <v/>
      </c>
      <c r="BG98" s="125" t="str">
        <f>IF(Ujian!BG105="","",IF(LEFT(Ujian!BG105,1)=SEKOR!BG$2,1,0))</f>
        <v/>
      </c>
      <c r="BH98" s="125" t="str">
        <f>IF(Ujian!BH105="","",IF(LEFT(Ujian!BH105,1)=SEKOR!BH$2,1,0))</f>
        <v/>
      </c>
      <c r="BI98" s="125" t="str">
        <f>IF(Ujian!BI105="","",IF(LEFT(Ujian!BI105,1)=SEKOR!BI$2,1,0))</f>
        <v/>
      </c>
      <c r="BJ98" s="125" t="str">
        <f>IF(Ujian!BJ105="","",IF(LEFT(Ujian!BJ105,1)=SEKOR!BJ$2,1,0))</f>
        <v/>
      </c>
      <c r="BK98" s="125" t="str">
        <f>IF(Ujian!BK105="","",IF(LEFT(Ujian!BK105,1)=SEKOR!BK$2,1,0))</f>
        <v/>
      </c>
      <c r="BL98" s="18">
        <f t="shared" si="2"/>
        <v>0</v>
      </c>
      <c r="BM98" s="18">
        <f>COUNTIF($D98:$BK98,"")+DATA!$F$14-DATA!$F$12</f>
        <v>60</v>
      </c>
      <c r="BN98" s="17">
        <f>IF(COUNTIF($D98:$BK98,1)&gt;DATA!$F$14,DATA!$F$14,COUNTIF($D98:$BK98,1))</f>
        <v>0</v>
      </c>
      <c r="BO98" s="17">
        <f>IF((BN98+COUNTIF($D98:$BK98,0))&lt;=DATA!$F$14,COUNTIF($D98:$BK98,0),DATA!$F$14-SEKOR!BN98)</f>
        <v>0</v>
      </c>
      <c r="BP98" s="4" t="str">
        <f>IF(BL98=0,"",BN98/DATA!$F$14*100)</f>
        <v/>
      </c>
      <c r="BQ98" s="121" t="str">
        <f t="shared" si="3"/>
        <v/>
      </c>
      <c r="BR98" s="2" t="str">
        <f>IF(Praktik!$E98=0,"",Praktik!$E98)</f>
        <v/>
      </c>
      <c r="BS98" s="2" t="str">
        <f>IF(BR98="","",(BP98*DATAINFO!$O$4)+(SEKOR!BR98*DATAINFO!$O$5)/(DATAINFO!$O$4+DATAINFO!$O$5))</f>
        <v/>
      </c>
      <c r="BT98" s="2" t="str">
        <f>IF(BL98=0,"",IF(DATA!$F$18="TIDAK",ROUNDUP((IF!$L$8*SEKOR!$BP98)+IF!$L$9,0),IF($BR98="","",ROUNDUP((IF!$L$20*$BS98)+IF!$L$21,0))))</f>
        <v/>
      </c>
      <c r="BU98" s="47" t="str">
        <f>IF(BP98="","",IF(SEKOR!BP98&gt;=DATA!$J$12,1,0))</f>
        <v/>
      </c>
      <c r="BV98" s="47" t="str">
        <f>IF(BQ98="","",IF(SEKOR!BQ98&gt;=DATA!$J$12,1,0))</f>
        <v/>
      </c>
      <c r="BW98" s="47" t="str">
        <f>IF(BR98="","",IF(SEKOR!BR98&gt;=DATA!$J$12,1,0))</f>
        <v/>
      </c>
      <c r="BX98" s="47" t="str">
        <f>IF(BT98="","",IF(DATA!$J$14="",IF(SEKOR!BT98&gt;=DATA!$J$12,1,0),IF(SEKOR!BT98&gt;=DATA!$J$14,1,0)))</f>
        <v/>
      </c>
    </row>
    <row r="99" spans="1:76" x14ac:dyDescent="0.25">
      <c r="A99" s="20" t="s">
        <v>126</v>
      </c>
      <c r="B99" s="21" t="str">
        <f>IF(Ujian!B106="","",Ujian!B106)</f>
        <v/>
      </c>
      <c r="C99" s="57" t="str">
        <f>IF(Ujian!C106="","",Ujian!C106)</f>
        <v/>
      </c>
      <c r="D99" s="125" t="str">
        <f>IF(Ujian!D106="","",IF(LEFT(Ujian!D106,1)=SEKOR!D$2,1,0))</f>
        <v/>
      </c>
      <c r="E99" s="125" t="str">
        <f>IF(Ujian!E106="","",IF(LEFT(Ujian!E106,1)=SEKOR!E$2,1,0))</f>
        <v/>
      </c>
      <c r="F99" s="125" t="str">
        <f>IF(Ujian!F106="","",IF(LEFT(Ujian!F106,1)=SEKOR!F$2,1,0))</f>
        <v/>
      </c>
      <c r="G99" s="125" t="str">
        <f>IF(Ujian!G106="","",IF(LEFT(Ujian!G106,1)=SEKOR!G$2,1,0))</f>
        <v/>
      </c>
      <c r="H99" s="125" t="str">
        <f>IF(Ujian!H106="","",IF(LEFT(Ujian!H106,1)=SEKOR!H$2,1,0))</f>
        <v/>
      </c>
      <c r="I99" s="125" t="str">
        <f>IF(Ujian!I106="","",IF(LEFT(Ujian!I106,1)=SEKOR!I$2,1,0))</f>
        <v/>
      </c>
      <c r="J99" s="125" t="str">
        <f>IF(Ujian!J106="","",IF(LEFT(Ujian!J106,1)=SEKOR!J$2,1,0))</f>
        <v/>
      </c>
      <c r="K99" s="125" t="str">
        <f>IF(Ujian!K106="","",IF(LEFT(Ujian!K106,1)=SEKOR!K$2,1,0))</f>
        <v/>
      </c>
      <c r="L99" s="125" t="str">
        <f>IF(Ujian!L106="","",IF(LEFT(Ujian!L106,1)=SEKOR!L$2,1,0))</f>
        <v/>
      </c>
      <c r="M99" s="125" t="str">
        <f>IF(Ujian!M106="","",IF(LEFT(Ujian!M106,1)=SEKOR!M$2,1,0))</f>
        <v/>
      </c>
      <c r="N99" s="125" t="str">
        <f>IF(Ujian!N106="","",IF(LEFT(Ujian!N106,1)=SEKOR!N$2,1,0))</f>
        <v/>
      </c>
      <c r="O99" s="125" t="str">
        <f>IF(Ujian!O106="","",IF(LEFT(Ujian!O106,1)=SEKOR!O$2,1,0))</f>
        <v/>
      </c>
      <c r="P99" s="125" t="str">
        <f>IF(Ujian!P106="","",IF(LEFT(Ujian!P106,1)=SEKOR!P$2,1,0))</f>
        <v/>
      </c>
      <c r="Q99" s="125" t="str">
        <f>IF(Ujian!Q106="","",IF(LEFT(Ujian!Q106,1)=SEKOR!Q$2,1,0))</f>
        <v/>
      </c>
      <c r="R99" s="125" t="str">
        <f>IF(Ujian!R106="","",IF(LEFT(Ujian!R106,1)=SEKOR!R$2,1,0))</f>
        <v/>
      </c>
      <c r="S99" s="125" t="str">
        <f>IF(Ujian!S106="","",IF(LEFT(Ujian!S106,1)=SEKOR!S$2,1,0))</f>
        <v/>
      </c>
      <c r="T99" s="125" t="str">
        <f>IF(Ujian!T106="","",IF(LEFT(Ujian!T106,1)=SEKOR!T$2,1,0))</f>
        <v/>
      </c>
      <c r="U99" s="125" t="str">
        <f>IF(Ujian!U106="","",IF(LEFT(Ujian!U106,1)=SEKOR!U$2,1,0))</f>
        <v/>
      </c>
      <c r="V99" s="125" t="str">
        <f>IF(Ujian!V106="","",IF(LEFT(Ujian!V106,1)=SEKOR!V$2,1,0))</f>
        <v/>
      </c>
      <c r="W99" s="125" t="str">
        <f>IF(Ujian!W106="","",IF(LEFT(Ujian!W106,1)=SEKOR!W$2,1,0))</f>
        <v/>
      </c>
      <c r="X99" s="125" t="str">
        <f>IF(Ujian!X106="","",IF(LEFT(Ujian!X106,1)=SEKOR!X$2,1,0))</f>
        <v/>
      </c>
      <c r="Y99" s="125" t="str">
        <f>IF(Ujian!Y106="","",IF(LEFT(Ujian!Y106,1)=SEKOR!Y$2,1,0))</f>
        <v/>
      </c>
      <c r="Z99" s="125" t="str">
        <f>IF(Ujian!Z106="","",IF(LEFT(Ujian!Z106,1)=SEKOR!Z$2,1,0))</f>
        <v/>
      </c>
      <c r="AA99" s="125" t="str">
        <f>IF(Ujian!AA106="","",IF(LEFT(Ujian!AA106,1)=SEKOR!AA$2,1,0))</f>
        <v/>
      </c>
      <c r="AB99" s="125" t="str">
        <f>IF(Ujian!AB106="","",IF(LEFT(Ujian!AB106,1)=SEKOR!AB$2,1,0))</f>
        <v/>
      </c>
      <c r="AC99" s="125" t="str">
        <f>IF(Ujian!AC106="","",IF(LEFT(Ujian!AC106,1)=SEKOR!AC$2,1,0))</f>
        <v/>
      </c>
      <c r="AD99" s="125" t="str">
        <f>IF(Ujian!AD106="","",IF(LEFT(Ujian!AD106,1)=SEKOR!AD$2,1,0))</f>
        <v/>
      </c>
      <c r="AE99" s="125" t="str">
        <f>IF(Ujian!AE106="","",IF(LEFT(Ujian!AE106,1)=SEKOR!AE$2,1,0))</f>
        <v/>
      </c>
      <c r="AF99" s="125" t="str">
        <f>IF(Ujian!AF106="","",IF(LEFT(Ujian!AF106,1)=SEKOR!AF$2,1,0))</f>
        <v/>
      </c>
      <c r="AG99" s="125" t="str">
        <f>IF(Ujian!AG106="","",IF(LEFT(Ujian!AG106,1)=SEKOR!AG$2,1,0))</f>
        <v/>
      </c>
      <c r="AH99" s="125" t="str">
        <f>IF(Ujian!AH106="","",IF(LEFT(Ujian!AH106,1)=SEKOR!AH$2,1,0))</f>
        <v/>
      </c>
      <c r="AI99" s="125" t="str">
        <f>IF(Ujian!AI106="","",IF(LEFT(Ujian!AI106,1)=SEKOR!AI$2,1,0))</f>
        <v/>
      </c>
      <c r="AJ99" s="125" t="str">
        <f>IF(Ujian!AJ106="","",IF(LEFT(Ujian!AJ106,1)=SEKOR!AJ$2,1,0))</f>
        <v/>
      </c>
      <c r="AK99" s="125" t="str">
        <f>IF(Ujian!AK106="","",IF(LEFT(Ujian!AK106,1)=SEKOR!AK$2,1,0))</f>
        <v/>
      </c>
      <c r="AL99" s="125" t="str">
        <f>IF(Ujian!AL106="","",IF(LEFT(Ujian!AL106,1)=SEKOR!AL$2,1,0))</f>
        <v/>
      </c>
      <c r="AM99" s="125" t="str">
        <f>IF(Ujian!AM106="","",IF(LEFT(Ujian!AM106,1)=SEKOR!AM$2,1,0))</f>
        <v/>
      </c>
      <c r="AN99" s="125" t="str">
        <f>IF(Ujian!AN106="","",IF(LEFT(Ujian!AN106,1)=SEKOR!AN$2,1,0))</f>
        <v/>
      </c>
      <c r="AO99" s="125" t="str">
        <f>IF(Ujian!AO106="","",IF(LEFT(Ujian!AO106,1)=SEKOR!AO$2,1,0))</f>
        <v/>
      </c>
      <c r="AP99" s="125" t="str">
        <f>IF(Ujian!AP106="","",IF(LEFT(Ujian!AP106,1)=SEKOR!AP$2,1,0))</f>
        <v/>
      </c>
      <c r="AQ99" s="125" t="str">
        <f>IF(Ujian!AQ106="","",IF(LEFT(Ujian!AQ106,1)=SEKOR!AQ$2,1,0))</f>
        <v/>
      </c>
      <c r="AR99" s="125" t="str">
        <f>IF(Ujian!AR106="","",IF(LEFT(Ujian!AR106,1)=SEKOR!AR$2,1,0))</f>
        <v/>
      </c>
      <c r="AS99" s="125" t="str">
        <f>IF(Ujian!AS106="","",IF(LEFT(Ujian!AS106,1)=SEKOR!AS$2,1,0))</f>
        <v/>
      </c>
      <c r="AT99" s="125" t="str">
        <f>IF(Ujian!AT106="","",IF(LEFT(Ujian!AT106,1)=SEKOR!AT$2,1,0))</f>
        <v/>
      </c>
      <c r="AU99" s="125" t="str">
        <f>IF(Ujian!AU106="","",IF(LEFT(Ujian!AU106,1)=SEKOR!AU$2,1,0))</f>
        <v/>
      </c>
      <c r="AV99" s="125" t="str">
        <f>IF(Ujian!AV106="","",IF(LEFT(Ujian!AV106,1)=SEKOR!AV$2,1,0))</f>
        <v/>
      </c>
      <c r="AW99" s="125" t="str">
        <f>IF(Ujian!AW106="","",IF(LEFT(Ujian!AW106,1)=SEKOR!AW$2,1,0))</f>
        <v/>
      </c>
      <c r="AX99" s="125" t="str">
        <f>IF(Ujian!AX106="","",IF(LEFT(Ujian!AX106,1)=SEKOR!AX$2,1,0))</f>
        <v/>
      </c>
      <c r="AY99" s="125" t="str">
        <f>IF(Ujian!AY106="","",IF(LEFT(Ujian!AY106,1)=SEKOR!AY$2,1,0))</f>
        <v/>
      </c>
      <c r="AZ99" s="125" t="str">
        <f>IF(Ujian!AZ106="","",IF(LEFT(Ujian!AZ106,1)=SEKOR!AZ$2,1,0))</f>
        <v/>
      </c>
      <c r="BA99" s="125" t="str">
        <f>IF(Ujian!BA106="","",IF(LEFT(Ujian!BA106,1)=SEKOR!BA$2,1,0))</f>
        <v/>
      </c>
      <c r="BB99" s="125" t="str">
        <f>IF(Ujian!BB106="","",IF(LEFT(Ujian!BB106,1)=SEKOR!BB$2,1,0))</f>
        <v/>
      </c>
      <c r="BC99" s="125" t="str">
        <f>IF(Ujian!BC106="","",IF(LEFT(Ujian!BC106,1)=SEKOR!BC$2,1,0))</f>
        <v/>
      </c>
      <c r="BD99" s="125" t="str">
        <f>IF(Ujian!BD106="","",IF(LEFT(Ujian!BD106,1)=SEKOR!BD$2,1,0))</f>
        <v/>
      </c>
      <c r="BE99" s="125" t="str">
        <f>IF(Ujian!BE106="","",IF(LEFT(Ujian!BE106,1)=SEKOR!BE$2,1,0))</f>
        <v/>
      </c>
      <c r="BF99" s="125" t="str">
        <f>IF(Ujian!BF106="","",IF(LEFT(Ujian!BF106,1)=SEKOR!BF$2,1,0))</f>
        <v/>
      </c>
      <c r="BG99" s="125" t="str">
        <f>IF(Ujian!BG106="","",IF(LEFT(Ujian!BG106,1)=SEKOR!BG$2,1,0))</f>
        <v/>
      </c>
      <c r="BH99" s="125" t="str">
        <f>IF(Ujian!BH106="","",IF(LEFT(Ujian!BH106,1)=SEKOR!BH$2,1,0))</f>
        <v/>
      </c>
      <c r="BI99" s="125" t="str">
        <f>IF(Ujian!BI106="","",IF(LEFT(Ujian!BI106,1)=SEKOR!BI$2,1,0))</f>
        <v/>
      </c>
      <c r="BJ99" s="125" t="str">
        <f>IF(Ujian!BJ106="","",IF(LEFT(Ujian!BJ106,1)=SEKOR!BJ$2,1,0))</f>
        <v/>
      </c>
      <c r="BK99" s="125" t="str">
        <f>IF(Ujian!BK106="","",IF(LEFT(Ujian!BK106,1)=SEKOR!BK$2,1,0))</f>
        <v/>
      </c>
      <c r="BL99" s="18">
        <f t="shared" si="2"/>
        <v>0</v>
      </c>
      <c r="BM99" s="18">
        <f>COUNTIF($D99:$BK99,"")+DATA!$F$14-DATA!$F$12</f>
        <v>60</v>
      </c>
      <c r="BN99" s="17">
        <f>IF(COUNTIF($D99:$BK99,1)&gt;DATA!$F$14,DATA!$F$14,COUNTIF($D99:$BK99,1))</f>
        <v>0</v>
      </c>
      <c r="BO99" s="17">
        <f>IF((BN99+COUNTIF($D99:$BK99,0))&lt;=DATA!$F$14,COUNTIF($D99:$BK99,0),DATA!$F$14-SEKOR!BN99)</f>
        <v>0</v>
      </c>
      <c r="BP99" s="4" t="str">
        <f>IF(BL99=0,"",BN99/DATA!$F$14*100)</f>
        <v/>
      </c>
      <c r="BQ99" s="121" t="str">
        <f t="shared" si="3"/>
        <v/>
      </c>
      <c r="BR99" s="2" t="str">
        <f>IF(Praktik!$E99=0,"",Praktik!$E99)</f>
        <v/>
      </c>
      <c r="BS99" s="2" t="str">
        <f>IF(BR99="","",(BP99*DATAINFO!$O$4)+(SEKOR!BR99*DATAINFO!$O$5)/(DATAINFO!$O$4+DATAINFO!$O$5))</f>
        <v/>
      </c>
      <c r="BT99" s="2" t="str">
        <f>IF(BL99=0,"",IF(DATA!$F$18="TIDAK",ROUNDUP((IF!$L$8*SEKOR!$BP99)+IF!$L$9,0),IF($BR99="","",ROUNDUP((IF!$L$20*$BS99)+IF!$L$21,0))))</f>
        <v/>
      </c>
      <c r="BU99" s="47" t="str">
        <f>IF(BP99="","",IF(SEKOR!BP99&gt;=DATA!$J$12,1,0))</f>
        <v/>
      </c>
      <c r="BV99" s="47" t="str">
        <f>IF(BQ99="","",IF(SEKOR!BQ99&gt;=DATA!$J$12,1,0))</f>
        <v/>
      </c>
      <c r="BW99" s="47" t="str">
        <f>IF(BR99="","",IF(SEKOR!BR99&gt;=DATA!$J$12,1,0))</f>
        <v/>
      </c>
      <c r="BX99" s="47" t="str">
        <f>IF(BT99="","",IF(DATA!$J$14="",IF(SEKOR!BT99&gt;=DATA!$J$12,1,0),IF(SEKOR!BT99&gt;=DATA!$J$14,1,0)))</f>
        <v/>
      </c>
    </row>
    <row r="100" spans="1:76" x14ac:dyDescent="0.25">
      <c r="A100" s="20" t="s">
        <v>127</v>
      </c>
      <c r="B100" s="21" t="str">
        <f>IF(Ujian!B107="","",Ujian!B107)</f>
        <v/>
      </c>
      <c r="C100" s="57" t="str">
        <f>IF(Ujian!C107="","",Ujian!C107)</f>
        <v/>
      </c>
      <c r="D100" s="125" t="str">
        <f>IF(Ujian!D107="","",IF(LEFT(Ujian!D107,1)=SEKOR!D$2,1,0))</f>
        <v/>
      </c>
      <c r="E100" s="125" t="str">
        <f>IF(Ujian!E107="","",IF(LEFT(Ujian!E107,1)=SEKOR!E$2,1,0))</f>
        <v/>
      </c>
      <c r="F100" s="125" t="str">
        <f>IF(Ujian!F107="","",IF(LEFT(Ujian!F107,1)=SEKOR!F$2,1,0))</f>
        <v/>
      </c>
      <c r="G100" s="125" t="str">
        <f>IF(Ujian!G107="","",IF(LEFT(Ujian!G107,1)=SEKOR!G$2,1,0))</f>
        <v/>
      </c>
      <c r="H100" s="125" t="str">
        <f>IF(Ujian!H107="","",IF(LEFT(Ujian!H107,1)=SEKOR!H$2,1,0))</f>
        <v/>
      </c>
      <c r="I100" s="125" t="str">
        <f>IF(Ujian!I107="","",IF(LEFT(Ujian!I107,1)=SEKOR!I$2,1,0))</f>
        <v/>
      </c>
      <c r="J100" s="125" t="str">
        <f>IF(Ujian!J107="","",IF(LEFT(Ujian!J107,1)=SEKOR!J$2,1,0))</f>
        <v/>
      </c>
      <c r="K100" s="125" t="str">
        <f>IF(Ujian!K107="","",IF(LEFT(Ujian!K107,1)=SEKOR!K$2,1,0))</f>
        <v/>
      </c>
      <c r="L100" s="125" t="str">
        <f>IF(Ujian!L107="","",IF(LEFT(Ujian!L107,1)=SEKOR!L$2,1,0))</f>
        <v/>
      </c>
      <c r="M100" s="125" t="str">
        <f>IF(Ujian!M107="","",IF(LEFT(Ujian!M107,1)=SEKOR!M$2,1,0))</f>
        <v/>
      </c>
      <c r="N100" s="125" t="str">
        <f>IF(Ujian!N107="","",IF(LEFT(Ujian!N107,1)=SEKOR!N$2,1,0))</f>
        <v/>
      </c>
      <c r="O100" s="125" t="str">
        <f>IF(Ujian!O107="","",IF(LEFT(Ujian!O107,1)=SEKOR!O$2,1,0))</f>
        <v/>
      </c>
      <c r="P100" s="125" t="str">
        <f>IF(Ujian!P107="","",IF(LEFT(Ujian!P107,1)=SEKOR!P$2,1,0))</f>
        <v/>
      </c>
      <c r="Q100" s="125" t="str">
        <f>IF(Ujian!Q107="","",IF(LEFT(Ujian!Q107,1)=SEKOR!Q$2,1,0))</f>
        <v/>
      </c>
      <c r="R100" s="125" t="str">
        <f>IF(Ujian!R107="","",IF(LEFT(Ujian!R107,1)=SEKOR!R$2,1,0))</f>
        <v/>
      </c>
      <c r="S100" s="125" t="str">
        <f>IF(Ujian!S107="","",IF(LEFT(Ujian!S107,1)=SEKOR!S$2,1,0))</f>
        <v/>
      </c>
      <c r="T100" s="125" t="str">
        <f>IF(Ujian!T107="","",IF(LEFT(Ujian!T107,1)=SEKOR!T$2,1,0))</f>
        <v/>
      </c>
      <c r="U100" s="125" t="str">
        <f>IF(Ujian!U107="","",IF(LEFT(Ujian!U107,1)=SEKOR!U$2,1,0))</f>
        <v/>
      </c>
      <c r="V100" s="125" t="str">
        <f>IF(Ujian!V107="","",IF(LEFT(Ujian!V107,1)=SEKOR!V$2,1,0))</f>
        <v/>
      </c>
      <c r="W100" s="125" t="str">
        <f>IF(Ujian!W107="","",IF(LEFT(Ujian!W107,1)=SEKOR!W$2,1,0))</f>
        <v/>
      </c>
      <c r="X100" s="125" t="str">
        <f>IF(Ujian!X107="","",IF(LEFT(Ujian!X107,1)=SEKOR!X$2,1,0))</f>
        <v/>
      </c>
      <c r="Y100" s="125" t="str">
        <f>IF(Ujian!Y107="","",IF(LEFT(Ujian!Y107,1)=SEKOR!Y$2,1,0))</f>
        <v/>
      </c>
      <c r="Z100" s="125" t="str">
        <f>IF(Ujian!Z107="","",IF(LEFT(Ujian!Z107,1)=SEKOR!Z$2,1,0))</f>
        <v/>
      </c>
      <c r="AA100" s="125" t="str">
        <f>IF(Ujian!AA107="","",IF(LEFT(Ujian!AA107,1)=SEKOR!AA$2,1,0))</f>
        <v/>
      </c>
      <c r="AB100" s="125" t="str">
        <f>IF(Ujian!AB107="","",IF(LEFT(Ujian!AB107,1)=SEKOR!AB$2,1,0))</f>
        <v/>
      </c>
      <c r="AC100" s="125" t="str">
        <f>IF(Ujian!AC107="","",IF(LEFT(Ujian!AC107,1)=SEKOR!AC$2,1,0))</f>
        <v/>
      </c>
      <c r="AD100" s="125" t="str">
        <f>IF(Ujian!AD107="","",IF(LEFT(Ujian!AD107,1)=SEKOR!AD$2,1,0))</f>
        <v/>
      </c>
      <c r="AE100" s="125" t="str">
        <f>IF(Ujian!AE107="","",IF(LEFT(Ujian!AE107,1)=SEKOR!AE$2,1,0))</f>
        <v/>
      </c>
      <c r="AF100" s="125" t="str">
        <f>IF(Ujian!AF107="","",IF(LEFT(Ujian!AF107,1)=SEKOR!AF$2,1,0))</f>
        <v/>
      </c>
      <c r="AG100" s="125" t="str">
        <f>IF(Ujian!AG107="","",IF(LEFT(Ujian!AG107,1)=SEKOR!AG$2,1,0))</f>
        <v/>
      </c>
      <c r="AH100" s="125" t="str">
        <f>IF(Ujian!AH107="","",IF(LEFT(Ujian!AH107,1)=SEKOR!AH$2,1,0))</f>
        <v/>
      </c>
      <c r="AI100" s="125" t="str">
        <f>IF(Ujian!AI107="","",IF(LEFT(Ujian!AI107,1)=SEKOR!AI$2,1,0))</f>
        <v/>
      </c>
      <c r="AJ100" s="125" t="str">
        <f>IF(Ujian!AJ107="","",IF(LEFT(Ujian!AJ107,1)=SEKOR!AJ$2,1,0))</f>
        <v/>
      </c>
      <c r="AK100" s="125" t="str">
        <f>IF(Ujian!AK107="","",IF(LEFT(Ujian!AK107,1)=SEKOR!AK$2,1,0))</f>
        <v/>
      </c>
      <c r="AL100" s="125" t="str">
        <f>IF(Ujian!AL107="","",IF(LEFT(Ujian!AL107,1)=SEKOR!AL$2,1,0))</f>
        <v/>
      </c>
      <c r="AM100" s="125" t="str">
        <f>IF(Ujian!AM107="","",IF(LEFT(Ujian!AM107,1)=SEKOR!AM$2,1,0))</f>
        <v/>
      </c>
      <c r="AN100" s="125" t="str">
        <f>IF(Ujian!AN107="","",IF(LEFT(Ujian!AN107,1)=SEKOR!AN$2,1,0))</f>
        <v/>
      </c>
      <c r="AO100" s="125" t="str">
        <f>IF(Ujian!AO107="","",IF(LEFT(Ujian!AO107,1)=SEKOR!AO$2,1,0))</f>
        <v/>
      </c>
      <c r="AP100" s="125" t="str">
        <f>IF(Ujian!AP107="","",IF(LEFT(Ujian!AP107,1)=SEKOR!AP$2,1,0))</f>
        <v/>
      </c>
      <c r="AQ100" s="125" t="str">
        <f>IF(Ujian!AQ107="","",IF(LEFT(Ujian!AQ107,1)=SEKOR!AQ$2,1,0))</f>
        <v/>
      </c>
      <c r="AR100" s="125" t="str">
        <f>IF(Ujian!AR107="","",IF(LEFT(Ujian!AR107,1)=SEKOR!AR$2,1,0))</f>
        <v/>
      </c>
      <c r="AS100" s="125" t="str">
        <f>IF(Ujian!AS107="","",IF(LEFT(Ujian!AS107,1)=SEKOR!AS$2,1,0))</f>
        <v/>
      </c>
      <c r="AT100" s="125" t="str">
        <f>IF(Ujian!AT107="","",IF(LEFT(Ujian!AT107,1)=SEKOR!AT$2,1,0))</f>
        <v/>
      </c>
      <c r="AU100" s="125" t="str">
        <f>IF(Ujian!AU107="","",IF(LEFT(Ujian!AU107,1)=SEKOR!AU$2,1,0))</f>
        <v/>
      </c>
      <c r="AV100" s="125" t="str">
        <f>IF(Ujian!AV107="","",IF(LEFT(Ujian!AV107,1)=SEKOR!AV$2,1,0))</f>
        <v/>
      </c>
      <c r="AW100" s="125" t="str">
        <f>IF(Ujian!AW107="","",IF(LEFT(Ujian!AW107,1)=SEKOR!AW$2,1,0))</f>
        <v/>
      </c>
      <c r="AX100" s="125" t="str">
        <f>IF(Ujian!AX107="","",IF(LEFT(Ujian!AX107,1)=SEKOR!AX$2,1,0))</f>
        <v/>
      </c>
      <c r="AY100" s="125" t="str">
        <f>IF(Ujian!AY107="","",IF(LEFT(Ujian!AY107,1)=SEKOR!AY$2,1,0))</f>
        <v/>
      </c>
      <c r="AZ100" s="125" t="str">
        <f>IF(Ujian!AZ107="","",IF(LEFT(Ujian!AZ107,1)=SEKOR!AZ$2,1,0))</f>
        <v/>
      </c>
      <c r="BA100" s="125" t="str">
        <f>IF(Ujian!BA107="","",IF(LEFT(Ujian!BA107,1)=SEKOR!BA$2,1,0))</f>
        <v/>
      </c>
      <c r="BB100" s="125" t="str">
        <f>IF(Ujian!BB107="","",IF(LEFT(Ujian!BB107,1)=SEKOR!BB$2,1,0))</f>
        <v/>
      </c>
      <c r="BC100" s="125" t="str">
        <f>IF(Ujian!BC107="","",IF(LEFT(Ujian!BC107,1)=SEKOR!BC$2,1,0))</f>
        <v/>
      </c>
      <c r="BD100" s="125" t="str">
        <f>IF(Ujian!BD107="","",IF(LEFT(Ujian!BD107,1)=SEKOR!BD$2,1,0))</f>
        <v/>
      </c>
      <c r="BE100" s="125" t="str">
        <f>IF(Ujian!BE107="","",IF(LEFT(Ujian!BE107,1)=SEKOR!BE$2,1,0))</f>
        <v/>
      </c>
      <c r="BF100" s="125" t="str">
        <f>IF(Ujian!BF107="","",IF(LEFT(Ujian!BF107,1)=SEKOR!BF$2,1,0))</f>
        <v/>
      </c>
      <c r="BG100" s="125" t="str">
        <f>IF(Ujian!BG107="","",IF(LEFT(Ujian!BG107,1)=SEKOR!BG$2,1,0))</f>
        <v/>
      </c>
      <c r="BH100" s="125" t="str">
        <f>IF(Ujian!BH107="","",IF(LEFT(Ujian!BH107,1)=SEKOR!BH$2,1,0))</f>
        <v/>
      </c>
      <c r="BI100" s="125" t="str">
        <f>IF(Ujian!BI107="","",IF(LEFT(Ujian!BI107,1)=SEKOR!BI$2,1,0))</f>
        <v/>
      </c>
      <c r="BJ100" s="125" t="str">
        <f>IF(Ujian!BJ107="","",IF(LEFT(Ujian!BJ107,1)=SEKOR!BJ$2,1,0))</f>
        <v/>
      </c>
      <c r="BK100" s="125" t="str">
        <f>IF(Ujian!BK107="","",IF(LEFT(Ujian!BK107,1)=SEKOR!BK$2,1,0))</f>
        <v/>
      </c>
      <c r="BL100" s="18">
        <f t="shared" si="2"/>
        <v>0</v>
      </c>
      <c r="BM100" s="18">
        <f>COUNTIF($D100:$BK100,"")+DATA!$F$14-DATA!$F$12</f>
        <v>60</v>
      </c>
      <c r="BN100" s="17">
        <f>IF(COUNTIF($D100:$BK100,1)&gt;DATA!$F$14,DATA!$F$14,COUNTIF($D100:$BK100,1))</f>
        <v>0</v>
      </c>
      <c r="BO100" s="17">
        <f>IF((BN100+COUNTIF($D100:$BK100,0))&lt;=DATA!$F$14,COUNTIF($D100:$BK100,0),DATA!$F$14-SEKOR!BN100)</f>
        <v>0</v>
      </c>
      <c r="BP100" s="4" t="str">
        <f>IF(BL100=0,"",BN100/DATA!$F$14*100)</f>
        <v/>
      </c>
      <c r="BQ100" s="121" t="str">
        <f t="shared" si="3"/>
        <v/>
      </c>
      <c r="BR100" s="2" t="str">
        <f>IF(Praktik!$E100=0,"",Praktik!$E100)</f>
        <v/>
      </c>
      <c r="BS100" s="2" t="str">
        <f>IF(BR100="","",(BP100*DATAINFO!$O$4)+(SEKOR!BR100*DATAINFO!$O$5)/(DATAINFO!$O$4+DATAINFO!$O$5))</f>
        <v/>
      </c>
      <c r="BT100" s="2" t="str">
        <f>IF(BL100=0,"",IF(DATA!$F$18="TIDAK",ROUNDUP((IF!$L$8*SEKOR!$BP100)+IF!$L$9,0),IF($BR100="","",ROUNDUP((IF!$L$20*$BS100)+IF!$L$21,0))))</f>
        <v/>
      </c>
      <c r="BU100" s="47" t="str">
        <f>IF(BP100="","",IF(SEKOR!BP100&gt;=DATA!$J$12,1,0))</f>
        <v/>
      </c>
      <c r="BV100" s="47" t="str">
        <f>IF(BQ100="","",IF(SEKOR!BQ100&gt;=DATA!$J$12,1,0))</f>
        <v/>
      </c>
      <c r="BW100" s="47" t="str">
        <f>IF(BR100="","",IF(SEKOR!BR100&gt;=DATA!$J$12,1,0))</f>
        <v/>
      </c>
      <c r="BX100" s="47" t="str">
        <f>IF(BT100="","",IF(DATA!$J$14="",IF(SEKOR!BT100&gt;=DATA!$J$12,1,0),IF(SEKOR!BT100&gt;=DATA!$J$14,1,0)))</f>
        <v/>
      </c>
    </row>
    <row r="101" spans="1:76" x14ac:dyDescent="0.25">
      <c r="A101" s="20" t="s">
        <v>128</v>
      </c>
      <c r="B101" s="21" t="str">
        <f>IF(Ujian!B108="","",Ujian!B108)</f>
        <v/>
      </c>
      <c r="C101" s="57" t="str">
        <f>IF(Ujian!C108="","",Ujian!C108)</f>
        <v/>
      </c>
      <c r="D101" s="125" t="str">
        <f>IF(Ujian!D108="","",IF(LEFT(Ujian!D108,1)=SEKOR!D$2,1,0))</f>
        <v/>
      </c>
      <c r="E101" s="125" t="str">
        <f>IF(Ujian!E108="","",IF(LEFT(Ujian!E108,1)=SEKOR!E$2,1,0))</f>
        <v/>
      </c>
      <c r="F101" s="125" t="str">
        <f>IF(Ujian!F108="","",IF(LEFT(Ujian!F108,1)=SEKOR!F$2,1,0))</f>
        <v/>
      </c>
      <c r="G101" s="125" t="str">
        <f>IF(Ujian!G108="","",IF(LEFT(Ujian!G108,1)=SEKOR!G$2,1,0))</f>
        <v/>
      </c>
      <c r="H101" s="125" t="str">
        <f>IF(Ujian!H108="","",IF(LEFT(Ujian!H108,1)=SEKOR!H$2,1,0))</f>
        <v/>
      </c>
      <c r="I101" s="125" t="str">
        <f>IF(Ujian!I108="","",IF(LEFT(Ujian!I108,1)=SEKOR!I$2,1,0))</f>
        <v/>
      </c>
      <c r="J101" s="125" t="str">
        <f>IF(Ujian!J108="","",IF(LEFT(Ujian!J108,1)=SEKOR!J$2,1,0))</f>
        <v/>
      </c>
      <c r="K101" s="125" t="str">
        <f>IF(Ujian!K108="","",IF(LEFT(Ujian!K108,1)=SEKOR!K$2,1,0))</f>
        <v/>
      </c>
      <c r="L101" s="125" t="str">
        <f>IF(Ujian!L108="","",IF(LEFT(Ujian!L108,1)=SEKOR!L$2,1,0))</f>
        <v/>
      </c>
      <c r="M101" s="125" t="str">
        <f>IF(Ujian!M108="","",IF(LEFT(Ujian!M108,1)=SEKOR!M$2,1,0))</f>
        <v/>
      </c>
      <c r="N101" s="125" t="str">
        <f>IF(Ujian!N108="","",IF(LEFT(Ujian!N108,1)=SEKOR!N$2,1,0))</f>
        <v/>
      </c>
      <c r="O101" s="125" t="str">
        <f>IF(Ujian!O108="","",IF(LEFT(Ujian!O108,1)=SEKOR!O$2,1,0))</f>
        <v/>
      </c>
      <c r="P101" s="125" t="str">
        <f>IF(Ujian!P108="","",IF(LEFT(Ujian!P108,1)=SEKOR!P$2,1,0))</f>
        <v/>
      </c>
      <c r="Q101" s="125" t="str">
        <f>IF(Ujian!Q108="","",IF(LEFT(Ujian!Q108,1)=SEKOR!Q$2,1,0))</f>
        <v/>
      </c>
      <c r="R101" s="125" t="str">
        <f>IF(Ujian!R108="","",IF(LEFT(Ujian!R108,1)=SEKOR!R$2,1,0))</f>
        <v/>
      </c>
      <c r="S101" s="125" t="str">
        <f>IF(Ujian!S108="","",IF(LEFT(Ujian!S108,1)=SEKOR!S$2,1,0))</f>
        <v/>
      </c>
      <c r="T101" s="125" t="str">
        <f>IF(Ujian!T108="","",IF(LEFT(Ujian!T108,1)=SEKOR!T$2,1,0))</f>
        <v/>
      </c>
      <c r="U101" s="125" t="str">
        <f>IF(Ujian!U108="","",IF(LEFT(Ujian!U108,1)=SEKOR!U$2,1,0))</f>
        <v/>
      </c>
      <c r="V101" s="125" t="str">
        <f>IF(Ujian!V108="","",IF(LEFT(Ujian!V108,1)=SEKOR!V$2,1,0))</f>
        <v/>
      </c>
      <c r="W101" s="125" t="str">
        <f>IF(Ujian!W108="","",IF(LEFT(Ujian!W108,1)=SEKOR!W$2,1,0))</f>
        <v/>
      </c>
      <c r="X101" s="125" t="str">
        <f>IF(Ujian!X108="","",IF(LEFT(Ujian!X108,1)=SEKOR!X$2,1,0))</f>
        <v/>
      </c>
      <c r="Y101" s="125" t="str">
        <f>IF(Ujian!Y108="","",IF(LEFT(Ujian!Y108,1)=SEKOR!Y$2,1,0))</f>
        <v/>
      </c>
      <c r="Z101" s="125" t="str">
        <f>IF(Ujian!Z108="","",IF(LEFT(Ujian!Z108,1)=SEKOR!Z$2,1,0))</f>
        <v/>
      </c>
      <c r="AA101" s="125" t="str">
        <f>IF(Ujian!AA108="","",IF(LEFT(Ujian!AA108,1)=SEKOR!AA$2,1,0))</f>
        <v/>
      </c>
      <c r="AB101" s="125" t="str">
        <f>IF(Ujian!AB108="","",IF(LEFT(Ujian!AB108,1)=SEKOR!AB$2,1,0))</f>
        <v/>
      </c>
      <c r="AC101" s="125" t="str">
        <f>IF(Ujian!AC108="","",IF(LEFT(Ujian!AC108,1)=SEKOR!AC$2,1,0))</f>
        <v/>
      </c>
      <c r="AD101" s="125" t="str">
        <f>IF(Ujian!AD108="","",IF(LEFT(Ujian!AD108,1)=SEKOR!AD$2,1,0))</f>
        <v/>
      </c>
      <c r="AE101" s="125" t="str">
        <f>IF(Ujian!AE108="","",IF(LEFT(Ujian!AE108,1)=SEKOR!AE$2,1,0))</f>
        <v/>
      </c>
      <c r="AF101" s="125" t="str">
        <f>IF(Ujian!AF108="","",IF(LEFT(Ujian!AF108,1)=SEKOR!AF$2,1,0))</f>
        <v/>
      </c>
      <c r="AG101" s="125" t="str">
        <f>IF(Ujian!AG108="","",IF(LEFT(Ujian!AG108,1)=SEKOR!AG$2,1,0))</f>
        <v/>
      </c>
      <c r="AH101" s="125" t="str">
        <f>IF(Ujian!AH108="","",IF(LEFT(Ujian!AH108,1)=SEKOR!AH$2,1,0))</f>
        <v/>
      </c>
      <c r="AI101" s="125" t="str">
        <f>IF(Ujian!AI108="","",IF(LEFT(Ujian!AI108,1)=SEKOR!AI$2,1,0))</f>
        <v/>
      </c>
      <c r="AJ101" s="125" t="str">
        <f>IF(Ujian!AJ108="","",IF(LEFT(Ujian!AJ108,1)=SEKOR!AJ$2,1,0))</f>
        <v/>
      </c>
      <c r="AK101" s="125" t="str">
        <f>IF(Ujian!AK108="","",IF(LEFT(Ujian!AK108,1)=SEKOR!AK$2,1,0))</f>
        <v/>
      </c>
      <c r="AL101" s="125" t="str">
        <f>IF(Ujian!AL108="","",IF(LEFT(Ujian!AL108,1)=SEKOR!AL$2,1,0))</f>
        <v/>
      </c>
      <c r="AM101" s="125" t="str">
        <f>IF(Ujian!AM108="","",IF(LEFT(Ujian!AM108,1)=SEKOR!AM$2,1,0))</f>
        <v/>
      </c>
      <c r="AN101" s="125" t="str">
        <f>IF(Ujian!AN108="","",IF(LEFT(Ujian!AN108,1)=SEKOR!AN$2,1,0))</f>
        <v/>
      </c>
      <c r="AO101" s="125" t="str">
        <f>IF(Ujian!AO108="","",IF(LEFT(Ujian!AO108,1)=SEKOR!AO$2,1,0))</f>
        <v/>
      </c>
      <c r="AP101" s="125" t="str">
        <f>IF(Ujian!AP108="","",IF(LEFT(Ujian!AP108,1)=SEKOR!AP$2,1,0))</f>
        <v/>
      </c>
      <c r="AQ101" s="125" t="str">
        <f>IF(Ujian!AQ108="","",IF(LEFT(Ujian!AQ108,1)=SEKOR!AQ$2,1,0))</f>
        <v/>
      </c>
      <c r="AR101" s="125" t="str">
        <f>IF(Ujian!AR108="","",IF(LEFT(Ujian!AR108,1)=SEKOR!AR$2,1,0))</f>
        <v/>
      </c>
      <c r="AS101" s="125" t="str">
        <f>IF(Ujian!AS108="","",IF(LEFT(Ujian!AS108,1)=SEKOR!AS$2,1,0))</f>
        <v/>
      </c>
      <c r="AT101" s="125" t="str">
        <f>IF(Ujian!AT108="","",IF(LEFT(Ujian!AT108,1)=SEKOR!AT$2,1,0))</f>
        <v/>
      </c>
      <c r="AU101" s="125" t="str">
        <f>IF(Ujian!AU108="","",IF(LEFT(Ujian!AU108,1)=SEKOR!AU$2,1,0))</f>
        <v/>
      </c>
      <c r="AV101" s="125" t="str">
        <f>IF(Ujian!AV108="","",IF(LEFT(Ujian!AV108,1)=SEKOR!AV$2,1,0))</f>
        <v/>
      </c>
      <c r="AW101" s="125" t="str">
        <f>IF(Ujian!AW108="","",IF(LEFT(Ujian!AW108,1)=SEKOR!AW$2,1,0))</f>
        <v/>
      </c>
      <c r="AX101" s="125" t="str">
        <f>IF(Ujian!AX108="","",IF(LEFT(Ujian!AX108,1)=SEKOR!AX$2,1,0))</f>
        <v/>
      </c>
      <c r="AY101" s="125" t="str">
        <f>IF(Ujian!AY108="","",IF(LEFT(Ujian!AY108,1)=SEKOR!AY$2,1,0))</f>
        <v/>
      </c>
      <c r="AZ101" s="125" t="str">
        <f>IF(Ujian!AZ108="","",IF(LEFT(Ujian!AZ108,1)=SEKOR!AZ$2,1,0))</f>
        <v/>
      </c>
      <c r="BA101" s="125" t="str">
        <f>IF(Ujian!BA108="","",IF(LEFT(Ujian!BA108,1)=SEKOR!BA$2,1,0))</f>
        <v/>
      </c>
      <c r="BB101" s="125" t="str">
        <f>IF(Ujian!BB108="","",IF(LEFT(Ujian!BB108,1)=SEKOR!BB$2,1,0))</f>
        <v/>
      </c>
      <c r="BC101" s="125" t="str">
        <f>IF(Ujian!BC108="","",IF(LEFT(Ujian!BC108,1)=SEKOR!BC$2,1,0))</f>
        <v/>
      </c>
      <c r="BD101" s="125" t="str">
        <f>IF(Ujian!BD108="","",IF(LEFT(Ujian!BD108,1)=SEKOR!BD$2,1,0))</f>
        <v/>
      </c>
      <c r="BE101" s="125" t="str">
        <f>IF(Ujian!BE108="","",IF(LEFT(Ujian!BE108,1)=SEKOR!BE$2,1,0))</f>
        <v/>
      </c>
      <c r="BF101" s="125" t="str">
        <f>IF(Ujian!BF108="","",IF(LEFT(Ujian!BF108,1)=SEKOR!BF$2,1,0))</f>
        <v/>
      </c>
      <c r="BG101" s="125" t="str">
        <f>IF(Ujian!BG108="","",IF(LEFT(Ujian!BG108,1)=SEKOR!BG$2,1,0))</f>
        <v/>
      </c>
      <c r="BH101" s="125" t="str">
        <f>IF(Ujian!BH108="","",IF(LEFT(Ujian!BH108,1)=SEKOR!BH$2,1,0))</f>
        <v/>
      </c>
      <c r="BI101" s="125" t="str">
        <f>IF(Ujian!BI108="","",IF(LEFT(Ujian!BI108,1)=SEKOR!BI$2,1,0))</f>
        <v/>
      </c>
      <c r="BJ101" s="125" t="str">
        <f>IF(Ujian!BJ108="","",IF(LEFT(Ujian!BJ108,1)=SEKOR!BJ$2,1,0))</f>
        <v/>
      </c>
      <c r="BK101" s="125" t="str">
        <f>IF(Ujian!BK108="","",IF(LEFT(Ujian!BK108,1)=SEKOR!BK$2,1,0))</f>
        <v/>
      </c>
      <c r="BL101" s="18">
        <f t="shared" si="2"/>
        <v>0</v>
      </c>
      <c r="BM101" s="18">
        <f>COUNTIF($D101:$BK101,"")+DATA!$F$14-DATA!$F$12</f>
        <v>60</v>
      </c>
      <c r="BN101" s="17">
        <f>IF(COUNTIF($D101:$BK101,1)&gt;DATA!$F$14,DATA!$F$14,COUNTIF($D101:$BK101,1))</f>
        <v>0</v>
      </c>
      <c r="BO101" s="17">
        <f>IF((BN101+COUNTIF($D101:$BK101,0))&lt;=DATA!$F$14,COUNTIF($D101:$BK101,0),DATA!$F$14-SEKOR!BN101)</f>
        <v>0</v>
      </c>
      <c r="BP101" s="4" t="str">
        <f>IF(BL101=0,"",BN101/DATA!$F$14*100)</f>
        <v/>
      </c>
      <c r="BQ101" s="121" t="str">
        <f t="shared" si="3"/>
        <v/>
      </c>
      <c r="BR101" s="2" t="str">
        <f>IF(Praktik!$E101=0,"",Praktik!$E101)</f>
        <v/>
      </c>
      <c r="BS101" s="2" t="str">
        <f>IF(BR101="","",(BP101*DATAINFO!$O$4)+(SEKOR!BR101*DATAINFO!$O$5)/(DATAINFO!$O$4+DATAINFO!$O$5))</f>
        <v/>
      </c>
      <c r="BT101" s="2" t="str">
        <f>IF(BL101=0,"",IF(DATA!$F$18="TIDAK",ROUNDUP((IF!$L$8*SEKOR!$BP101)+IF!$L$9,0),IF($BR101="","",ROUNDUP((IF!$L$20*$BS101)+IF!$L$21,0))))</f>
        <v/>
      </c>
      <c r="BU101" s="47" t="str">
        <f>IF(BP101="","",IF(SEKOR!BP101&gt;=DATA!$J$12,1,0))</f>
        <v/>
      </c>
      <c r="BV101" s="47" t="str">
        <f>IF(BQ101="","",IF(SEKOR!BQ101&gt;=DATA!$J$12,1,0))</f>
        <v/>
      </c>
      <c r="BW101" s="47" t="str">
        <f>IF(BR101="","",IF(SEKOR!BR101&gt;=DATA!$J$12,1,0))</f>
        <v/>
      </c>
      <c r="BX101" s="47" t="str">
        <f>IF(BT101="","",IF(DATA!$J$14="",IF(SEKOR!BT101&gt;=DATA!$J$12,1,0),IF(SEKOR!BT101&gt;=DATA!$J$14,1,0)))</f>
        <v/>
      </c>
    </row>
    <row r="102" spans="1:76" x14ac:dyDescent="0.25">
      <c r="A102" s="20" t="s">
        <v>129</v>
      </c>
      <c r="B102" s="21" t="str">
        <f>IF(Ujian!B109="","",Ujian!B109)</f>
        <v/>
      </c>
      <c r="C102" s="57" t="str">
        <f>IF(Ujian!C109="","",Ujian!C109)</f>
        <v/>
      </c>
      <c r="D102" s="125" t="str">
        <f>IF(Ujian!D109="","",IF(LEFT(Ujian!D109,1)=SEKOR!D$2,1,0))</f>
        <v/>
      </c>
      <c r="E102" s="125" t="str">
        <f>IF(Ujian!E109="","",IF(LEFT(Ujian!E109,1)=SEKOR!E$2,1,0))</f>
        <v/>
      </c>
      <c r="F102" s="125" t="str">
        <f>IF(Ujian!F109="","",IF(LEFT(Ujian!F109,1)=SEKOR!F$2,1,0))</f>
        <v/>
      </c>
      <c r="G102" s="125" t="str">
        <f>IF(Ujian!G109="","",IF(LEFT(Ujian!G109,1)=SEKOR!G$2,1,0))</f>
        <v/>
      </c>
      <c r="H102" s="125" t="str">
        <f>IF(Ujian!H109="","",IF(LEFT(Ujian!H109,1)=SEKOR!H$2,1,0))</f>
        <v/>
      </c>
      <c r="I102" s="125" t="str">
        <f>IF(Ujian!I109="","",IF(LEFT(Ujian!I109,1)=SEKOR!I$2,1,0))</f>
        <v/>
      </c>
      <c r="J102" s="125" t="str">
        <f>IF(Ujian!J109="","",IF(LEFT(Ujian!J109,1)=SEKOR!J$2,1,0))</f>
        <v/>
      </c>
      <c r="K102" s="125" t="str">
        <f>IF(Ujian!K109="","",IF(LEFT(Ujian!K109,1)=SEKOR!K$2,1,0))</f>
        <v/>
      </c>
      <c r="L102" s="125" t="str">
        <f>IF(Ujian!L109="","",IF(LEFT(Ujian!L109,1)=SEKOR!L$2,1,0))</f>
        <v/>
      </c>
      <c r="M102" s="125" t="str">
        <f>IF(Ujian!M109="","",IF(LEFT(Ujian!M109,1)=SEKOR!M$2,1,0))</f>
        <v/>
      </c>
      <c r="N102" s="125" t="str">
        <f>IF(Ujian!N109="","",IF(LEFT(Ujian!N109,1)=SEKOR!N$2,1,0))</f>
        <v/>
      </c>
      <c r="O102" s="125" t="str">
        <f>IF(Ujian!O109="","",IF(LEFT(Ujian!O109,1)=SEKOR!O$2,1,0))</f>
        <v/>
      </c>
      <c r="P102" s="125" t="str">
        <f>IF(Ujian!P109="","",IF(LEFT(Ujian!P109,1)=SEKOR!P$2,1,0))</f>
        <v/>
      </c>
      <c r="Q102" s="125" t="str">
        <f>IF(Ujian!Q109="","",IF(LEFT(Ujian!Q109,1)=SEKOR!Q$2,1,0))</f>
        <v/>
      </c>
      <c r="R102" s="125" t="str">
        <f>IF(Ujian!R109="","",IF(LEFT(Ujian!R109,1)=SEKOR!R$2,1,0))</f>
        <v/>
      </c>
      <c r="S102" s="125" t="str">
        <f>IF(Ujian!S109="","",IF(LEFT(Ujian!S109,1)=SEKOR!S$2,1,0))</f>
        <v/>
      </c>
      <c r="T102" s="125" t="str">
        <f>IF(Ujian!T109="","",IF(LEFT(Ujian!T109,1)=SEKOR!T$2,1,0))</f>
        <v/>
      </c>
      <c r="U102" s="125" t="str">
        <f>IF(Ujian!U109="","",IF(LEFT(Ujian!U109,1)=SEKOR!U$2,1,0))</f>
        <v/>
      </c>
      <c r="V102" s="125" t="str">
        <f>IF(Ujian!V109="","",IF(LEFT(Ujian!V109,1)=SEKOR!V$2,1,0))</f>
        <v/>
      </c>
      <c r="W102" s="125" t="str">
        <f>IF(Ujian!W109="","",IF(LEFT(Ujian!W109,1)=SEKOR!W$2,1,0))</f>
        <v/>
      </c>
      <c r="X102" s="125" t="str">
        <f>IF(Ujian!X109="","",IF(LEFT(Ujian!X109,1)=SEKOR!X$2,1,0))</f>
        <v/>
      </c>
      <c r="Y102" s="125" t="str">
        <f>IF(Ujian!Y109="","",IF(LEFT(Ujian!Y109,1)=SEKOR!Y$2,1,0))</f>
        <v/>
      </c>
      <c r="Z102" s="125" t="str">
        <f>IF(Ujian!Z109="","",IF(LEFT(Ujian!Z109,1)=SEKOR!Z$2,1,0))</f>
        <v/>
      </c>
      <c r="AA102" s="125" t="str">
        <f>IF(Ujian!AA109="","",IF(LEFT(Ujian!AA109,1)=SEKOR!AA$2,1,0))</f>
        <v/>
      </c>
      <c r="AB102" s="125" t="str">
        <f>IF(Ujian!AB109="","",IF(LEFT(Ujian!AB109,1)=SEKOR!AB$2,1,0))</f>
        <v/>
      </c>
      <c r="AC102" s="125" t="str">
        <f>IF(Ujian!AC109="","",IF(LEFT(Ujian!AC109,1)=SEKOR!AC$2,1,0))</f>
        <v/>
      </c>
      <c r="AD102" s="125" t="str">
        <f>IF(Ujian!AD109="","",IF(LEFT(Ujian!AD109,1)=SEKOR!AD$2,1,0))</f>
        <v/>
      </c>
      <c r="AE102" s="125" t="str">
        <f>IF(Ujian!AE109="","",IF(LEFT(Ujian!AE109,1)=SEKOR!AE$2,1,0))</f>
        <v/>
      </c>
      <c r="AF102" s="125" t="str">
        <f>IF(Ujian!AF109="","",IF(LEFT(Ujian!AF109,1)=SEKOR!AF$2,1,0))</f>
        <v/>
      </c>
      <c r="AG102" s="125" t="str">
        <f>IF(Ujian!AG109="","",IF(LEFT(Ujian!AG109,1)=SEKOR!AG$2,1,0))</f>
        <v/>
      </c>
      <c r="AH102" s="125" t="str">
        <f>IF(Ujian!AH109="","",IF(LEFT(Ujian!AH109,1)=SEKOR!AH$2,1,0))</f>
        <v/>
      </c>
      <c r="AI102" s="125" t="str">
        <f>IF(Ujian!AI109="","",IF(LEFT(Ujian!AI109,1)=SEKOR!AI$2,1,0))</f>
        <v/>
      </c>
      <c r="AJ102" s="125" t="str">
        <f>IF(Ujian!AJ109="","",IF(LEFT(Ujian!AJ109,1)=SEKOR!AJ$2,1,0))</f>
        <v/>
      </c>
      <c r="AK102" s="125" t="str">
        <f>IF(Ujian!AK109="","",IF(LEFT(Ujian!AK109,1)=SEKOR!AK$2,1,0))</f>
        <v/>
      </c>
      <c r="AL102" s="125" t="str">
        <f>IF(Ujian!AL109="","",IF(LEFT(Ujian!AL109,1)=SEKOR!AL$2,1,0))</f>
        <v/>
      </c>
      <c r="AM102" s="125" t="str">
        <f>IF(Ujian!AM109="","",IF(LEFT(Ujian!AM109,1)=SEKOR!AM$2,1,0))</f>
        <v/>
      </c>
      <c r="AN102" s="125" t="str">
        <f>IF(Ujian!AN109="","",IF(LEFT(Ujian!AN109,1)=SEKOR!AN$2,1,0))</f>
        <v/>
      </c>
      <c r="AO102" s="125" t="str">
        <f>IF(Ujian!AO109="","",IF(LEFT(Ujian!AO109,1)=SEKOR!AO$2,1,0))</f>
        <v/>
      </c>
      <c r="AP102" s="125" t="str">
        <f>IF(Ujian!AP109="","",IF(LEFT(Ujian!AP109,1)=SEKOR!AP$2,1,0))</f>
        <v/>
      </c>
      <c r="AQ102" s="125" t="str">
        <f>IF(Ujian!AQ109="","",IF(LEFT(Ujian!AQ109,1)=SEKOR!AQ$2,1,0))</f>
        <v/>
      </c>
      <c r="AR102" s="125" t="str">
        <f>IF(Ujian!AR109="","",IF(LEFT(Ujian!AR109,1)=SEKOR!AR$2,1,0))</f>
        <v/>
      </c>
      <c r="AS102" s="125" t="str">
        <f>IF(Ujian!AS109="","",IF(LEFT(Ujian!AS109,1)=SEKOR!AS$2,1,0))</f>
        <v/>
      </c>
      <c r="AT102" s="125" t="str">
        <f>IF(Ujian!AT109="","",IF(LEFT(Ujian!AT109,1)=SEKOR!AT$2,1,0))</f>
        <v/>
      </c>
      <c r="AU102" s="125" t="str">
        <f>IF(Ujian!AU109="","",IF(LEFT(Ujian!AU109,1)=SEKOR!AU$2,1,0))</f>
        <v/>
      </c>
      <c r="AV102" s="125" t="str">
        <f>IF(Ujian!AV109="","",IF(LEFT(Ujian!AV109,1)=SEKOR!AV$2,1,0))</f>
        <v/>
      </c>
      <c r="AW102" s="125" t="str">
        <f>IF(Ujian!AW109="","",IF(LEFT(Ujian!AW109,1)=SEKOR!AW$2,1,0))</f>
        <v/>
      </c>
      <c r="AX102" s="125" t="str">
        <f>IF(Ujian!AX109="","",IF(LEFT(Ujian!AX109,1)=SEKOR!AX$2,1,0))</f>
        <v/>
      </c>
      <c r="AY102" s="125" t="str">
        <f>IF(Ujian!AY109="","",IF(LEFT(Ujian!AY109,1)=SEKOR!AY$2,1,0))</f>
        <v/>
      </c>
      <c r="AZ102" s="125" t="str">
        <f>IF(Ujian!AZ109="","",IF(LEFT(Ujian!AZ109,1)=SEKOR!AZ$2,1,0))</f>
        <v/>
      </c>
      <c r="BA102" s="125" t="str">
        <f>IF(Ujian!BA109="","",IF(LEFT(Ujian!BA109,1)=SEKOR!BA$2,1,0))</f>
        <v/>
      </c>
      <c r="BB102" s="125" t="str">
        <f>IF(Ujian!BB109="","",IF(LEFT(Ujian!BB109,1)=SEKOR!BB$2,1,0))</f>
        <v/>
      </c>
      <c r="BC102" s="125" t="str">
        <f>IF(Ujian!BC109="","",IF(LEFT(Ujian!BC109,1)=SEKOR!BC$2,1,0))</f>
        <v/>
      </c>
      <c r="BD102" s="125" t="str">
        <f>IF(Ujian!BD109="","",IF(LEFT(Ujian!BD109,1)=SEKOR!BD$2,1,0))</f>
        <v/>
      </c>
      <c r="BE102" s="125" t="str">
        <f>IF(Ujian!BE109="","",IF(LEFT(Ujian!BE109,1)=SEKOR!BE$2,1,0))</f>
        <v/>
      </c>
      <c r="BF102" s="125" t="str">
        <f>IF(Ujian!BF109="","",IF(LEFT(Ujian!BF109,1)=SEKOR!BF$2,1,0))</f>
        <v/>
      </c>
      <c r="BG102" s="125" t="str">
        <f>IF(Ujian!BG109="","",IF(LEFT(Ujian!BG109,1)=SEKOR!BG$2,1,0))</f>
        <v/>
      </c>
      <c r="BH102" s="125" t="str">
        <f>IF(Ujian!BH109="","",IF(LEFT(Ujian!BH109,1)=SEKOR!BH$2,1,0))</f>
        <v/>
      </c>
      <c r="BI102" s="125" t="str">
        <f>IF(Ujian!BI109="","",IF(LEFT(Ujian!BI109,1)=SEKOR!BI$2,1,0))</f>
        <v/>
      </c>
      <c r="BJ102" s="125" t="str">
        <f>IF(Ujian!BJ109="","",IF(LEFT(Ujian!BJ109,1)=SEKOR!BJ$2,1,0))</f>
        <v/>
      </c>
      <c r="BK102" s="125" t="str">
        <f>IF(Ujian!BK109="","",IF(LEFT(Ujian!BK109,1)=SEKOR!BK$2,1,0))</f>
        <v/>
      </c>
      <c r="BL102" s="18">
        <f t="shared" si="2"/>
        <v>0</v>
      </c>
      <c r="BM102" s="18">
        <f>COUNTIF($D102:$BK102,"")+DATA!$F$14-DATA!$F$12</f>
        <v>60</v>
      </c>
      <c r="BN102" s="17">
        <f>IF(COUNTIF($D102:$BK102,1)&gt;DATA!$F$14,DATA!$F$14,COUNTIF($D102:$BK102,1))</f>
        <v>0</v>
      </c>
      <c r="BO102" s="17">
        <f>IF((BN102+COUNTIF($D102:$BK102,0))&lt;=DATA!$F$14,COUNTIF($D102:$BK102,0),DATA!$F$14-SEKOR!BN102)</f>
        <v>0</v>
      </c>
      <c r="BP102" s="4" t="str">
        <f>IF(BL102=0,"",BN102/DATA!$F$14*100)</f>
        <v/>
      </c>
      <c r="BQ102" s="121" t="str">
        <f t="shared" si="3"/>
        <v/>
      </c>
      <c r="BR102" s="2" t="str">
        <f>IF(Praktik!$E102=0,"",Praktik!$E102)</f>
        <v/>
      </c>
      <c r="BS102" s="2" t="str">
        <f>IF(BR102="","",(BP102*DATAINFO!$O$4)+(SEKOR!BR102*DATAINFO!$O$5)/(DATAINFO!$O$4+DATAINFO!$O$5))</f>
        <v/>
      </c>
      <c r="BT102" s="2" t="str">
        <f>IF(BL102=0,"",IF(DATA!$F$18="TIDAK",ROUNDUP((IF!$L$8*SEKOR!$BP102)+IF!$L$9,0),IF($BR102="","",ROUNDUP((IF!$L$20*$BS102)+IF!$L$21,0))))</f>
        <v/>
      </c>
      <c r="BU102" s="47" t="str">
        <f>IF(BP102="","",IF(SEKOR!BP102&gt;=DATA!$J$12,1,0))</f>
        <v/>
      </c>
      <c r="BV102" s="47" t="str">
        <f>IF(BQ102="","",IF(SEKOR!BQ102&gt;=DATA!$J$12,1,0))</f>
        <v/>
      </c>
      <c r="BW102" s="47" t="str">
        <f>IF(BR102="","",IF(SEKOR!BR102&gt;=DATA!$J$12,1,0))</f>
        <v/>
      </c>
      <c r="BX102" s="47" t="str">
        <f>IF(BT102="","",IF(DATA!$J$14="",IF(SEKOR!BT102&gt;=DATA!$J$12,1,0),IF(SEKOR!BT102&gt;=DATA!$J$14,1,0)))</f>
        <v/>
      </c>
    </row>
    <row r="103" spans="1:76" x14ac:dyDescent="0.25">
      <c r="A103" s="20" t="s">
        <v>130</v>
      </c>
      <c r="B103" s="21" t="str">
        <f>IF(Ujian!B110="","",Ujian!B110)</f>
        <v/>
      </c>
      <c r="C103" s="57" t="str">
        <f>IF(Ujian!C110="","",Ujian!C110)</f>
        <v/>
      </c>
      <c r="D103" s="125" t="str">
        <f>IF(Ujian!D110="","",IF(LEFT(Ujian!D110,1)=SEKOR!D$2,1,0))</f>
        <v/>
      </c>
      <c r="E103" s="125" t="str">
        <f>IF(Ujian!E110="","",IF(LEFT(Ujian!E110,1)=SEKOR!E$2,1,0))</f>
        <v/>
      </c>
      <c r="F103" s="125" t="str">
        <f>IF(Ujian!F110="","",IF(LEFT(Ujian!F110,1)=SEKOR!F$2,1,0))</f>
        <v/>
      </c>
      <c r="G103" s="125" t="str">
        <f>IF(Ujian!G110="","",IF(LEFT(Ujian!G110,1)=SEKOR!G$2,1,0))</f>
        <v/>
      </c>
      <c r="H103" s="125" t="str">
        <f>IF(Ujian!H110="","",IF(LEFT(Ujian!H110,1)=SEKOR!H$2,1,0))</f>
        <v/>
      </c>
      <c r="I103" s="125" t="str">
        <f>IF(Ujian!I110="","",IF(LEFT(Ujian!I110,1)=SEKOR!I$2,1,0))</f>
        <v/>
      </c>
      <c r="J103" s="125" t="str">
        <f>IF(Ujian!J110="","",IF(LEFT(Ujian!J110,1)=SEKOR!J$2,1,0))</f>
        <v/>
      </c>
      <c r="K103" s="125" t="str">
        <f>IF(Ujian!K110="","",IF(LEFT(Ujian!K110,1)=SEKOR!K$2,1,0))</f>
        <v/>
      </c>
      <c r="L103" s="125" t="str">
        <f>IF(Ujian!L110="","",IF(LEFT(Ujian!L110,1)=SEKOR!L$2,1,0))</f>
        <v/>
      </c>
      <c r="M103" s="125" t="str">
        <f>IF(Ujian!M110="","",IF(LEFT(Ujian!M110,1)=SEKOR!M$2,1,0))</f>
        <v/>
      </c>
      <c r="N103" s="125" t="str">
        <f>IF(Ujian!N110="","",IF(LEFT(Ujian!N110,1)=SEKOR!N$2,1,0))</f>
        <v/>
      </c>
      <c r="O103" s="125" t="str">
        <f>IF(Ujian!O110="","",IF(LEFT(Ujian!O110,1)=SEKOR!O$2,1,0))</f>
        <v/>
      </c>
      <c r="P103" s="125" t="str">
        <f>IF(Ujian!P110="","",IF(LEFT(Ujian!P110,1)=SEKOR!P$2,1,0))</f>
        <v/>
      </c>
      <c r="Q103" s="125" t="str">
        <f>IF(Ujian!Q110="","",IF(LEFT(Ujian!Q110,1)=SEKOR!Q$2,1,0))</f>
        <v/>
      </c>
      <c r="R103" s="125" t="str">
        <f>IF(Ujian!R110="","",IF(LEFT(Ujian!R110,1)=SEKOR!R$2,1,0))</f>
        <v/>
      </c>
      <c r="S103" s="125" t="str">
        <f>IF(Ujian!S110="","",IF(LEFT(Ujian!S110,1)=SEKOR!S$2,1,0))</f>
        <v/>
      </c>
      <c r="T103" s="125" t="str">
        <f>IF(Ujian!T110="","",IF(LEFT(Ujian!T110,1)=SEKOR!T$2,1,0))</f>
        <v/>
      </c>
      <c r="U103" s="125" t="str">
        <f>IF(Ujian!U110="","",IF(LEFT(Ujian!U110,1)=SEKOR!U$2,1,0))</f>
        <v/>
      </c>
      <c r="V103" s="125" t="str">
        <f>IF(Ujian!V110="","",IF(LEFT(Ujian!V110,1)=SEKOR!V$2,1,0))</f>
        <v/>
      </c>
      <c r="W103" s="125" t="str">
        <f>IF(Ujian!W110="","",IF(LEFT(Ujian!W110,1)=SEKOR!W$2,1,0))</f>
        <v/>
      </c>
      <c r="X103" s="125" t="str">
        <f>IF(Ujian!X110="","",IF(LEFT(Ujian!X110,1)=SEKOR!X$2,1,0))</f>
        <v/>
      </c>
      <c r="Y103" s="125" t="str">
        <f>IF(Ujian!Y110="","",IF(LEFT(Ujian!Y110,1)=SEKOR!Y$2,1,0))</f>
        <v/>
      </c>
      <c r="Z103" s="125" t="str">
        <f>IF(Ujian!Z110="","",IF(LEFT(Ujian!Z110,1)=SEKOR!Z$2,1,0))</f>
        <v/>
      </c>
      <c r="AA103" s="125" t="str">
        <f>IF(Ujian!AA110="","",IF(LEFT(Ujian!AA110,1)=SEKOR!AA$2,1,0))</f>
        <v/>
      </c>
      <c r="AB103" s="125" t="str">
        <f>IF(Ujian!AB110="","",IF(LEFT(Ujian!AB110,1)=SEKOR!AB$2,1,0))</f>
        <v/>
      </c>
      <c r="AC103" s="125" t="str">
        <f>IF(Ujian!AC110="","",IF(LEFT(Ujian!AC110,1)=SEKOR!AC$2,1,0))</f>
        <v/>
      </c>
      <c r="AD103" s="125" t="str">
        <f>IF(Ujian!AD110="","",IF(LEFT(Ujian!AD110,1)=SEKOR!AD$2,1,0))</f>
        <v/>
      </c>
      <c r="AE103" s="125" t="str">
        <f>IF(Ujian!AE110="","",IF(LEFT(Ujian!AE110,1)=SEKOR!AE$2,1,0))</f>
        <v/>
      </c>
      <c r="AF103" s="125" t="str">
        <f>IF(Ujian!AF110="","",IF(LEFT(Ujian!AF110,1)=SEKOR!AF$2,1,0))</f>
        <v/>
      </c>
      <c r="AG103" s="125" t="str">
        <f>IF(Ujian!AG110="","",IF(LEFT(Ujian!AG110,1)=SEKOR!AG$2,1,0))</f>
        <v/>
      </c>
      <c r="AH103" s="125" t="str">
        <f>IF(Ujian!AH110="","",IF(LEFT(Ujian!AH110,1)=SEKOR!AH$2,1,0))</f>
        <v/>
      </c>
      <c r="AI103" s="125" t="str">
        <f>IF(Ujian!AI110="","",IF(LEFT(Ujian!AI110,1)=SEKOR!AI$2,1,0))</f>
        <v/>
      </c>
      <c r="AJ103" s="125" t="str">
        <f>IF(Ujian!AJ110="","",IF(LEFT(Ujian!AJ110,1)=SEKOR!AJ$2,1,0))</f>
        <v/>
      </c>
      <c r="AK103" s="125" t="str">
        <f>IF(Ujian!AK110="","",IF(LEFT(Ujian!AK110,1)=SEKOR!AK$2,1,0))</f>
        <v/>
      </c>
      <c r="AL103" s="125" t="str">
        <f>IF(Ujian!AL110="","",IF(LEFT(Ujian!AL110,1)=SEKOR!AL$2,1,0))</f>
        <v/>
      </c>
      <c r="AM103" s="125" t="str">
        <f>IF(Ujian!AM110="","",IF(LEFT(Ujian!AM110,1)=SEKOR!AM$2,1,0))</f>
        <v/>
      </c>
      <c r="AN103" s="125" t="str">
        <f>IF(Ujian!AN110="","",IF(LEFT(Ujian!AN110,1)=SEKOR!AN$2,1,0))</f>
        <v/>
      </c>
      <c r="AO103" s="125" t="str">
        <f>IF(Ujian!AO110="","",IF(LEFT(Ujian!AO110,1)=SEKOR!AO$2,1,0))</f>
        <v/>
      </c>
      <c r="AP103" s="125" t="str">
        <f>IF(Ujian!AP110="","",IF(LEFT(Ujian!AP110,1)=SEKOR!AP$2,1,0))</f>
        <v/>
      </c>
      <c r="AQ103" s="125" t="str">
        <f>IF(Ujian!AQ110="","",IF(LEFT(Ujian!AQ110,1)=SEKOR!AQ$2,1,0))</f>
        <v/>
      </c>
      <c r="AR103" s="125" t="str">
        <f>IF(Ujian!AR110="","",IF(LEFT(Ujian!AR110,1)=SEKOR!AR$2,1,0))</f>
        <v/>
      </c>
      <c r="AS103" s="125" t="str">
        <f>IF(Ujian!AS110="","",IF(LEFT(Ujian!AS110,1)=SEKOR!AS$2,1,0))</f>
        <v/>
      </c>
      <c r="AT103" s="125" t="str">
        <f>IF(Ujian!AT110="","",IF(LEFT(Ujian!AT110,1)=SEKOR!AT$2,1,0))</f>
        <v/>
      </c>
      <c r="AU103" s="125" t="str">
        <f>IF(Ujian!AU110="","",IF(LEFT(Ujian!AU110,1)=SEKOR!AU$2,1,0))</f>
        <v/>
      </c>
      <c r="AV103" s="125" t="str">
        <f>IF(Ujian!AV110="","",IF(LEFT(Ujian!AV110,1)=SEKOR!AV$2,1,0))</f>
        <v/>
      </c>
      <c r="AW103" s="125" t="str">
        <f>IF(Ujian!AW110="","",IF(LEFT(Ujian!AW110,1)=SEKOR!AW$2,1,0))</f>
        <v/>
      </c>
      <c r="AX103" s="125" t="str">
        <f>IF(Ujian!AX110="","",IF(LEFT(Ujian!AX110,1)=SEKOR!AX$2,1,0))</f>
        <v/>
      </c>
      <c r="AY103" s="125" t="str">
        <f>IF(Ujian!AY110="","",IF(LEFT(Ujian!AY110,1)=SEKOR!AY$2,1,0))</f>
        <v/>
      </c>
      <c r="AZ103" s="125" t="str">
        <f>IF(Ujian!AZ110="","",IF(LEFT(Ujian!AZ110,1)=SEKOR!AZ$2,1,0))</f>
        <v/>
      </c>
      <c r="BA103" s="125" t="str">
        <f>IF(Ujian!BA110="","",IF(LEFT(Ujian!BA110,1)=SEKOR!BA$2,1,0))</f>
        <v/>
      </c>
      <c r="BB103" s="125" t="str">
        <f>IF(Ujian!BB110="","",IF(LEFT(Ujian!BB110,1)=SEKOR!BB$2,1,0))</f>
        <v/>
      </c>
      <c r="BC103" s="125" t="str">
        <f>IF(Ujian!BC110="","",IF(LEFT(Ujian!BC110,1)=SEKOR!BC$2,1,0))</f>
        <v/>
      </c>
      <c r="BD103" s="125" t="str">
        <f>IF(Ujian!BD110="","",IF(LEFT(Ujian!BD110,1)=SEKOR!BD$2,1,0))</f>
        <v/>
      </c>
      <c r="BE103" s="125" t="str">
        <f>IF(Ujian!BE110="","",IF(LEFT(Ujian!BE110,1)=SEKOR!BE$2,1,0))</f>
        <v/>
      </c>
      <c r="BF103" s="125" t="str">
        <f>IF(Ujian!BF110="","",IF(LEFT(Ujian!BF110,1)=SEKOR!BF$2,1,0))</f>
        <v/>
      </c>
      <c r="BG103" s="125" t="str">
        <f>IF(Ujian!BG110="","",IF(LEFT(Ujian!BG110,1)=SEKOR!BG$2,1,0))</f>
        <v/>
      </c>
      <c r="BH103" s="125" t="str">
        <f>IF(Ujian!BH110="","",IF(LEFT(Ujian!BH110,1)=SEKOR!BH$2,1,0))</f>
        <v/>
      </c>
      <c r="BI103" s="125" t="str">
        <f>IF(Ujian!BI110="","",IF(LEFT(Ujian!BI110,1)=SEKOR!BI$2,1,0))</f>
        <v/>
      </c>
      <c r="BJ103" s="125" t="str">
        <f>IF(Ujian!BJ110="","",IF(LEFT(Ujian!BJ110,1)=SEKOR!BJ$2,1,0))</f>
        <v/>
      </c>
      <c r="BK103" s="125" t="str">
        <f>IF(Ujian!BK110="","",IF(LEFT(Ujian!BK110,1)=SEKOR!BK$2,1,0))</f>
        <v/>
      </c>
      <c r="BL103" s="18">
        <f t="shared" si="2"/>
        <v>0</v>
      </c>
      <c r="BM103" s="18">
        <f>COUNTIF($D103:$BK103,"")+DATA!$F$14-DATA!$F$12</f>
        <v>60</v>
      </c>
      <c r="BN103" s="17">
        <f>IF(COUNTIF($D103:$BK103,1)&gt;DATA!$F$14,DATA!$F$14,COUNTIF($D103:$BK103,1))</f>
        <v>0</v>
      </c>
      <c r="BO103" s="17">
        <f>IF((BN103+COUNTIF($D103:$BK103,0))&lt;=DATA!$F$14,COUNTIF($D103:$BK103,0),DATA!$F$14-SEKOR!BN103)</f>
        <v>0</v>
      </c>
      <c r="BP103" s="4" t="str">
        <f>IF(BL103=0,"",BN103/DATA!$F$14*100)</f>
        <v/>
      </c>
      <c r="BQ103" s="121" t="str">
        <f t="shared" si="3"/>
        <v/>
      </c>
      <c r="BR103" s="2" t="str">
        <f>IF(Praktik!$E103=0,"",Praktik!$E103)</f>
        <v/>
      </c>
      <c r="BS103" s="2" t="str">
        <f>IF(BR103="","",(BP103*DATAINFO!$O$4)+(SEKOR!BR103*DATAINFO!$O$5)/(DATAINFO!$O$4+DATAINFO!$O$5))</f>
        <v/>
      </c>
      <c r="BT103" s="2" t="str">
        <f>IF(BL103=0,"",IF(DATA!$F$18="TIDAK",ROUNDUP((IF!$L$8*SEKOR!$BP103)+IF!$L$9,0),IF($BR103="","",ROUNDUP((IF!$L$20*$BS103)+IF!$L$21,0))))</f>
        <v/>
      </c>
      <c r="BU103" s="47" t="str">
        <f>IF(BP103="","",IF(SEKOR!BP103&gt;=DATA!$J$12,1,0))</f>
        <v/>
      </c>
      <c r="BV103" s="47" t="str">
        <f>IF(BQ103="","",IF(SEKOR!BQ103&gt;=DATA!$J$12,1,0))</f>
        <v/>
      </c>
      <c r="BW103" s="47" t="str">
        <f>IF(BR103="","",IF(SEKOR!BR103&gt;=DATA!$J$12,1,0))</f>
        <v/>
      </c>
      <c r="BX103" s="47" t="str">
        <f>IF(BT103="","",IF(DATA!$J$14="",IF(SEKOR!BT103&gt;=DATA!$J$12,1,0),IF(SEKOR!BT103&gt;=DATA!$J$14,1,0)))</f>
        <v/>
      </c>
    </row>
    <row r="104" spans="1:76" x14ac:dyDescent="0.25">
      <c r="A104" s="20" t="s">
        <v>131</v>
      </c>
      <c r="B104" s="21" t="str">
        <f>IF(Ujian!B111="","",Ujian!B111)</f>
        <v/>
      </c>
      <c r="C104" s="57" t="str">
        <f>IF(Ujian!C111="","",Ujian!C111)</f>
        <v/>
      </c>
      <c r="D104" s="125" t="str">
        <f>IF(Ujian!D111="","",IF(LEFT(Ujian!D111,1)=SEKOR!D$2,1,0))</f>
        <v/>
      </c>
      <c r="E104" s="125" t="str">
        <f>IF(Ujian!E111="","",IF(LEFT(Ujian!E111,1)=SEKOR!E$2,1,0))</f>
        <v/>
      </c>
      <c r="F104" s="125" t="str">
        <f>IF(Ujian!F111="","",IF(LEFT(Ujian!F111,1)=SEKOR!F$2,1,0))</f>
        <v/>
      </c>
      <c r="G104" s="125" t="str">
        <f>IF(Ujian!G111="","",IF(LEFT(Ujian!G111,1)=SEKOR!G$2,1,0))</f>
        <v/>
      </c>
      <c r="H104" s="125" t="str">
        <f>IF(Ujian!H111="","",IF(LEFT(Ujian!H111,1)=SEKOR!H$2,1,0))</f>
        <v/>
      </c>
      <c r="I104" s="125" t="str">
        <f>IF(Ujian!I111="","",IF(LEFT(Ujian!I111,1)=SEKOR!I$2,1,0))</f>
        <v/>
      </c>
      <c r="J104" s="125" t="str">
        <f>IF(Ujian!J111="","",IF(LEFT(Ujian!J111,1)=SEKOR!J$2,1,0))</f>
        <v/>
      </c>
      <c r="K104" s="125" t="str">
        <f>IF(Ujian!K111="","",IF(LEFT(Ujian!K111,1)=SEKOR!K$2,1,0))</f>
        <v/>
      </c>
      <c r="L104" s="125" t="str">
        <f>IF(Ujian!L111="","",IF(LEFT(Ujian!L111,1)=SEKOR!L$2,1,0))</f>
        <v/>
      </c>
      <c r="M104" s="125" t="str">
        <f>IF(Ujian!M111="","",IF(LEFT(Ujian!M111,1)=SEKOR!M$2,1,0))</f>
        <v/>
      </c>
      <c r="N104" s="125" t="str">
        <f>IF(Ujian!N111="","",IF(LEFT(Ujian!N111,1)=SEKOR!N$2,1,0))</f>
        <v/>
      </c>
      <c r="O104" s="125" t="str">
        <f>IF(Ujian!O111="","",IF(LEFT(Ujian!O111,1)=SEKOR!O$2,1,0))</f>
        <v/>
      </c>
      <c r="P104" s="125" t="str">
        <f>IF(Ujian!P111="","",IF(LEFT(Ujian!P111,1)=SEKOR!P$2,1,0))</f>
        <v/>
      </c>
      <c r="Q104" s="125" t="str">
        <f>IF(Ujian!Q111="","",IF(LEFT(Ujian!Q111,1)=SEKOR!Q$2,1,0))</f>
        <v/>
      </c>
      <c r="R104" s="125" t="str">
        <f>IF(Ujian!R111="","",IF(LEFT(Ujian!R111,1)=SEKOR!R$2,1,0))</f>
        <v/>
      </c>
      <c r="S104" s="125" t="str">
        <f>IF(Ujian!S111="","",IF(LEFT(Ujian!S111,1)=SEKOR!S$2,1,0))</f>
        <v/>
      </c>
      <c r="T104" s="125" t="str">
        <f>IF(Ujian!T111="","",IF(LEFT(Ujian!T111,1)=SEKOR!T$2,1,0))</f>
        <v/>
      </c>
      <c r="U104" s="125" t="str">
        <f>IF(Ujian!U111="","",IF(LEFT(Ujian!U111,1)=SEKOR!U$2,1,0))</f>
        <v/>
      </c>
      <c r="V104" s="125" t="str">
        <f>IF(Ujian!V111="","",IF(LEFT(Ujian!V111,1)=SEKOR!V$2,1,0))</f>
        <v/>
      </c>
      <c r="W104" s="125" t="str">
        <f>IF(Ujian!W111="","",IF(LEFT(Ujian!W111,1)=SEKOR!W$2,1,0))</f>
        <v/>
      </c>
      <c r="X104" s="125" t="str">
        <f>IF(Ujian!X111="","",IF(LEFT(Ujian!X111,1)=SEKOR!X$2,1,0))</f>
        <v/>
      </c>
      <c r="Y104" s="125" t="str">
        <f>IF(Ujian!Y111="","",IF(LEFT(Ujian!Y111,1)=SEKOR!Y$2,1,0))</f>
        <v/>
      </c>
      <c r="Z104" s="125" t="str">
        <f>IF(Ujian!Z111="","",IF(LEFT(Ujian!Z111,1)=SEKOR!Z$2,1,0))</f>
        <v/>
      </c>
      <c r="AA104" s="125" t="str">
        <f>IF(Ujian!AA111="","",IF(LEFT(Ujian!AA111,1)=SEKOR!AA$2,1,0))</f>
        <v/>
      </c>
      <c r="AB104" s="125" t="str">
        <f>IF(Ujian!AB111="","",IF(LEFT(Ujian!AB111,1)=SEKOR!AB$2,1,0))</f>
        <v/>
      </c>
      <c r="AC104" s="125" t="str">
        <f>IF(Ujian!AC111="","",IF(LEFT(Ujian!AC111,1)=SEKOR!AC$2,1,0))</f>
        <v/>
      </c>
      <c r="AD104" s="125" t="str">
        <f>IF(Ujian!AD111="","",IF(LEFT(Ujian!AD111,1)=SEKOR!AD$2,1,0))</f>
        <v/>
      </c>
      <c r="AE104" s="125" t="str">
        <f>IF(Ujian!AE111="","",IF(LEFT(Ujian!AE111,1)=SEKOR!AE$2,1,0))</f>
        <v/>
      </c>
      <c r="AF104" s="125" t="str">
        <f>IF(Ujian!AF111="","",IF(LEFT(Ujian!AF111,1)=SEKOR!AF$2,1,0))</f>
        <v/>
      </c>
      <c r="AG104" s="125" t="str">
        <f>IF(Ujian!AG111="","",IF(LEFT(Ujian!AG111,1)=SEKOR!AG$2,1,0))</f>
        <v/>
      </c>
      <c r="AH104" s="125" t="str">
        <f>IF(Ujian!AH111="","",IF(LEFT(Ujian!AH111,1)=SEKOR!AH$2,1,0))</f>
        <v/>
      </c>
      <c r="AI104" s="125" t="str">
        <f>IF(Ujian!AI111="","",IF(LEFT(Ujian!AI111,1)=SEKOR!AI$2,1,0))</f>
        <v/>
      </c>
      <c r="AJ104" s="125" t="str">
        <f>IF(Ujian!AJ111="","",IF(LEFT(Ujian!AJ111,1)=SEKOR!AJ$2,1,0))</f>
        <v/>
      </c>
      <c r="AK104" s="125" t="str">
        <f>IF(Ujian!AK111="","",IF(LEFT(Ujian!AK111,1)=SEKOR!AK$2,1,0))</f>
        <v/>
      </c>
      <c r="AL104" s="125" t="str">
        <f>IF(Ujian!AL111="","",IF(LEFT(Ujian!AL111,1)=SEKOR!AL$2,1,0))</f>
        <v/>
      </c>
      <c r="AM104" s="125" t="str">
        <f>IF(Ujian!AM111="","",IF(LEFT(Ujian!AM111,1)=SEKOR!AM$2,1,0))</f>
        <v/>
      </c>
      <c r="AN104" s="125" t="str">
        <f>IF(Ujian!AN111="","",IF(LEFT(Ujian!AN111,1)=SEKOR!AN$2,1,0))</f>
        <v/>
      </c>
      <c r="AO104" s="125" t="str">
        <f>IF(Ujian!AO111="","",IF(LEFT(Ujian!AO111,1)=SEKOR!AO$2,1,0))</f>
        <v/>
      </c>
      <c r="AP104" s="125" t="str">
        <f>IF(Ujian!AP111="","",IF(LEFT(Ujian!AP111,1)=SEKOR!AP$2,1,0))</f>
        <v/>
      </c>
      <c r="AQ104" s="125" t="str">
        <f>IF(Ujian!AQ111="","",IF(LEFT(Ujian!AQ111,1)=SEKOR!AQ$2,1,0))</f>
        <v/>
      </c>
      <c r="AR104" s="125" t="str">
        <f>IF(Ujian!AR111="","",IF(LEFT(Ujian!AR111,1)=SEKOR!AR$2,1,0))</f>
        <v/>
      </c>
      <c r="AS104" s="125" t="str">
        <f>IF(Ujian!AS111="","",IF(LEFT(Ujian!AS111,1)=SEKOR!AS$2,1,0))</f>
        <v/>
      </c>
      <c r="AT104" s="125" t="str">
        <f>IF(Ujian!AT111="","",IF(LEFT(Ujian!AT111,1)=SEKOR!AT$2,1,0))</f>
        <v/>
      </c>
      <c r="AU104" s="125" t="str">
        <f>IF(Ujian!AU111="","",IF(LEFT(Ujian!AU111,1)=SEKOR!AU$2,1,0))</f>
        <v/>
      </c>
      <c r="AV104" s="125" t="str">
        <f>IF(Ujian!AV111="","",IF(LEFT(Ujian!AV111,1)=SEKOR!AV$2,1,0))</f>
        <v/>
      </c>
      <c r="AW104" s="125" t="str">
        <f>IF(Ujian!AW111="","",IF(LEFT(Ujian!AW111,1)=SEKOR!AW$2,1,0))</f>
        <v/>
      </c>
      <c r="AX104" s="125" t="str">
        <f>IF(Ujian!AX111="","",IF(LEFT(Ujian!AX111,1)=SEKOR!AX$2,1,0))</f>
        <v/>
      </c>
      <c r="AY104" s="125" t="str">
        <f>IF(Ujian!AY111="","",IF(LEFT(Ujian!AY111,1)=SEKOR!AY$2,1,0))</f>
        <v/>
      </c>
      <c r="AZ104" s="125" t="str">
        <f>IF(Ujian!AZ111="","",IF(LEFT(Ujian!AZ111,1)=SEKOR!AZ$2,1,0))</f>
        <v/>
      </c>
      <c r="BA104" s="125" t="str">
        <f>IF(Ujian!BA111="","",IF(LEFT(Ujian!BA111,1)=SEKOR!BA$2,1,0))</f>
        <v/>
      </c>
      <c r="BB104" s="125" t="str">
        <f>IF(Ujian!BB111="","",IF(LEFT(Ujian!BB111,1)=SEKOR!BB$2,1,0))</f>
        <v/>
      </c>
      <c r="BC104" s="125" t="str">
        <f>IF(Ujian!BC111="","",IF(LEFT(Ujian!BC111,1)=SEKOR!BC$2,1,0))</f>
        <v/>
      </c>
      <c r="BD104" s="125" t="str">
        <f>IF(Ujian!BD111="","",IF(LEFT(Ujian!BD111,1)=SEKOR!BD$2,1,0))</f>
        <v/>
      </c>
      <c r="BE104" s="125" t="str">
        <f>IF(Ujian!BE111="","",IF(LEFT(Ujian!BE111,1)=SEKOR!BE$2,1,0))</f>
        <v/>
      </c>
      <c r="BF104" s="125" t="str">
        <f>IF(Ujian!BF111="","",IF(LEFT(Ujian!BF111,1)=SEKOR!BF$2,1,0))</f>
        <v/>
      </c>
      <c r="BG104" s="125" t="str">
        <f>IF(Ujian!BG111="","",IF(LEFT(Ujian!BG111,1)=SEKOR!BG$2,1,0))</f>
        <v/>
      </c>
      <c r="BH104" s="125" t="str">
        <f>IF(Ujian!BH111="","",IF(LEFT(Ujian!BH111,1)=SEKOR!BH$2,1,0))</f>
        <v/>
      </c>
      <c r="BI104" s="125" t="str">
        <f>IF(Ujian!BI111="","",IF(LEFT(Ujian!BI111,1)=SEKOR!BI$2,1,0))</f>
        <v/>
      </c>
      <c r="BJ104" s="125" t="str">
        <f>IF(Ujian!BJ111="","",IF(LEFT(Ujian!BJ111,1)=SEKOR!BJ$2,1,0))</f>
        <v/>
      </c>
      <c r="BK104" s="125" t="str">
        <f>IF(Ujian!BK111="","",IF(LEFT(Ujian!BK111,1)=SEKOR!BK$2,1,0))</f>
        <v/>
      </c>
      <c r="BL104" s="18">
        <f t="shared" si="2"/>
        <v>0</v>
      </c>
      <c r="BM104" s="18">
        <f>COUNTIF($D104:$BK104,"")+DATA!$F$14-DATA!$F$12</f>
        <v>60</v>
      </c>
      <c r="BN104" s="17">
        <f>IF(COUNTIF($D104:$BK104,1)&gt;DATA!$F$14,DATA!$F$14,COUNTIF($D104:$BK104,1))</f>
        <v>0</v>
      </c>
      <c r="BO104" s="17">
        <f>IF((BN104+COUNTIF($D104:$BK104,0))&lt;=DATA!$F$14,COUNTIF($D104:$BK104,0),DATA!$F$14-SEKOR!BN104)</f>
        <v>0</v>
      </c>
      <c r="BP104" s="4" t="str">
        <f>IF(BL104=0,"",BN104/DATA!$F$14*100)</f>
        <v/>
      </c>
      <c r="BQ104" s="121" t="str">
        <f t="shared" si="3"/>
        <v/>
      </c>
      <c r="BR104" s="2" t="str">
        <f>IF(Praktik!$E104=0,"",Praktik!$E104)</f>
        <v/>
      </c>
      <c r="BS104" s="2" t="str">
        <f>IF(BR104="","",(BP104*DATAINFO!$O$4)+(SEKOR!BR104*DATAINFO!$O$5)/(DATAINFO!$O$4+DATAINFO!$O$5))</f>
        <v/>
      </c>
      <c r="BT104" s="2" t="str">
        <f>IF(BL104=0,"",IF(DATA!$F$18="TIDAK",ROUNDUP((IF!$L$8*SEKOR!$BP104)+IF!$L$9,0),IF($BR104="","",ROUNDUP((IF!$L$20*$BS104)+IF!$L$21,0))))</f>
        <v/>
      </c>
      <c r="BU104" s="47" t="str">
        <f>IF(BP104="","",IF(SEKOR!BP104&gt;=DATA!$J$12,1,0))</f>
        <v/>
      </c>
      <c r="BV104" s="47" t="str">
        <f>IF(BQ104="","",IF(SEKOR!BQ104&gt;=DATA!$J$12,1,0))</f>
        <v/>
      </c>
      <c r="BW104" s="47" t="str">
        <f>IF(BR104="","",IF(SEKOR!BR104&gt;=DATA!$J$12,1,0))</f>
        <v/>
      </c>
      <c r="BX104" s="47" t="str">
        <f>IF(BT104="","",IF(DATA!$J$14="",IF(SEKOR!BT104&gt;=DATA!$J$12,1,0),IF(SEKOR!BT104&gt;=DATA!$J$14,1,0)))</f>
        <v/>
      </c>
    </row>
    <row r="105" spans="1:76" x14ac:dyDescent="0.25">
      <c r="A105" s="20" t="s">
        <v>132</v>
      </c>
      <c r="B105" s="21" t="str">
        <f>IF(Ujian!B112="","",Ujian!B112)</f>
        <v/>
      </c>
      <c r="C105" s="57" t="str">
        <f>IF(Ujian!C112="","",Ujian!C112)</f>
        <v/>
      </c>
      <c r="D105" s="125" t="str">
        <f>IF(Ujian!D112="","",IF(LEFT(Ujian!D112,1)=SEKOR!D$2,1,0))</f>
        <v/>
      </c>
      <c r="E105" s="125" t="str">
        <f>IF(Ujian!E112="","",IF(LEFT(Ujian!E112,1)=SEKOR!E$2,1,0))</f>
        <v/>
      </c>
      <c r="F105" s="125" t="str">
        <f>IF(Ujian!F112="","",IF(LEFT(Ujian!F112,1)=SEKOR!F$2,1,0))</f>
        <v/>
      </c>
      <c r="G105" s="125" t="str">
        <f>IF(Ujian!G112="","",IF(LEFT(Ujian!G112,1)=SEKOR!G$2,1,0))</f>
        <v/>
      </c>
      <c r="H105" s="125" t="str">
        <f>IF(Ujian!H112="","",IF(LEFT(Ujian!H112,1)=SEKOR!H$2,1,0))</f>
        <v/>
      </c>
      <c r="I105" s="125" t="str">
        <f>IF(Ujian!I112="","",IF(LEFT(Ujian!I112,1)=SEKOR!I$2,1,0))</f>
        <v/>
      </c>
      <c r="J105" s="125" t="str">
        <f>IF(Ujian!J112="","",IF(LEFT(Ujian!J112,1)=SEKOR!J$2,1,0))</f>
        <v/>
      </c>
      <c r="K105" s="125" t="str">
        <f>IF(Ujian!K112="","",IF(LEFT(Ujian!K112,1)=SEKOR!K$2,1,0))</f>
        <v/>
      </c>
      <c r="L105" s="125" t="str">
        <f>IF(Ujian!L112="","",IF(LEFT(Ujian!L112,1)=SEKOR!L$2,1,0))</f>
        <v/>
      </c>
      <c r="M105" s="125" t="str">
        <f>IF(Ujian!M112="","",IF(LEFT(Ujian!M112,1)=SEKOR!M$2,1,0))</f>
        <v/>
      </c>
      <c r="N105" s="125" t="str">
        <f>IF(Ujian!N112="","",IF(LEFT(Ujian!N112,1)=SEKOR!N$2,1,0))</f>
        <v/>
      </c>
      <c r="O105" s="125" t="str">
        <f>IF(Ujian!O112="","",IF(LEFT(Ujian!O112,1)=SEKOR!O$2,1,0))</f>
        <v/>
      </c>
      <c r="P105" s="125" t="str">
        <f>IF(Ujian!P112="","",IF(LEFT(Ujian!P112,1)=SEKOR!P$2,1,0))</f>
        <v/>
      </c>
      <c r="Q105" s="125" t="str">
        <f>IF(Ujian!Q112="","",IF(LEFT(Ujian!Q112,1)=SEKOR!Q$2,1,0))</f>
        <v/>
      </c>
      <c r="R105" s="125" t="str">
        <f>IF(Ujian!R112="","",IF(LEFT(Ujian!R112,1)=SEKOR!R$2,1,0))</f>
        <v/>
      </c>
      <c r="S105" s="125" t="str">
        <f>IF(Ujian!S112="","",IF(LEFT(Ujian!S112,1)=SEKOR!S$2,1,0))</f>
        <v/>
      </c>
      <c r="T105" s="125" t="str">
        <f>IF(Ujian!T112="","",IF(LEFT(Ujian!T112,1)=SEKOR!T$2,1,0))</f>
        <v/>
      </c>
      <c r="U105" s="125" t="str">
        <f>IF(Ujian!U112="","",IF(LEFT(Ujian!U112,1)=SEKOR!U$2,1,0))</f>
        <v/>
      </c>
      <c r="V105" s="125" t="str">
        <f>IF(Ujian!V112="","",IF(LEFT(Ujian!V112,1)=SEKOR!V$2,1,0))</f>
        <v/>
      </c>
      <c r="W105" s="125" t="str">
        <f>IF(Ujian!W112="","",IF(LEFT(Ujian!W112,1)=SEKOR!W$2,1,0))</f>
        <v/>
      </c>
      <c r="X105" s="125" t="str">
        <f>IF(Ujian!X112="","",IF(LEFT(Ujian!X112,1)=SEKOR!X$2,1,0))</f>
        <v/>
      </c>
      <c r="Y105" s="125" t="str">
        <f>IF(Ujian!Y112="","",IF(LEFT(Ujian!Y112,1)=SEKOR!Y$2,1,0))</f>
        <v/>
      </c>
      <c r="Z105" s="125" t="str">
        <f>IF(Ujian!Z112="","",IF(LEFT(Ujian!Z112,1)=SEKOR!Z$2,1,0))</f>
        <v/>
      </c>
      <c r="AA105" s="125" t="str">
        <f>IF(Ujian!AA112="","",IF(LEFT(Ujian!AA112,1)=SEKOR!AA$2,1,0))</f>
        <v/>
      </c>
      <c r="AB105" s="125" t="str">
        <f>IF(Ujian!AB112="","",IF(LEFT(Ujian!AB112,1)=SEKOR!AB$2,1,0))</f>
        <v/>
      </c>
      <c r="AC105" s="125" t="str">
        <f>IF(Ujian!AC112="","",IF(LEFT(Ujian!AC112,1)=SEKOR!AC$2,1,0))</f>
        <v/>
      </c>
      <c r="AD105" s="125" t="str">
        <f>IF(Ujian!AD112="","",IF(LEFT(Ujian!AD112,1)=SEKOR!AD$2,1,0))</f>
        <v/>
      </c>
      <c r="AE105" s="125" t="str">
        <f>IF(Ujian!AE112="","",IF(LEFT(Ujian!AE112,1)=SEKOR!AE$2,1,0))</f>
        <v/>
      </c>
      <c r="AF105" s="125" t="str">
        <f>IF(Ujian!AF112="","",IF(LEFT(Ujian!AF112,1)=SEKOR!AF$2,1,0))</f>
        <v/>
      </c>
      <c r="AG105" s="125" t="str">
        <f>IF(Ujian!AG112="","",IF(LEFT(Ujian!AG112,1)=SEKOR!AG$2,1,0))</f>
        <v/>
      </c>
      <c r="AH105" s="125" t="str">
        <f>IF(Ujian!AH112="","",IF(LEFT(Ujian!AH112,1)=SEKOR!AH$2,1,0))</f>
        <v/>
      </c>
      <c r="AI105" s="125" t="str">
        <f>IF(Ujian!AI112="","",IF(LEFT(Ujian!AI112,1)=SEKOR!AI$2,1,0))</f>
        <v/>
      </c>
      <c r="AJ105" s="125" t="str">
        <f>IF(Ujian!AJ112="","",IF(LEFT(Ujian!AJ112,1)=SEKOR!AJ$2,1,0))</f>
        <v/>
      </c>
      <c r="AK105" s="125" t="str">
        <f>IF(Ujian!AK112="","",IF(LEFT(Ujian!AK112,1)=SEKOR!AK$2,1,0))</f>
        <v/>
      </c>
      <c r="AL105" s="125" t="str">
        <f>IF(Ujian!AL112="","",IF(LEFT(Ujian!AL112,1)=SEKOR!AL$2,1,0))</f>
        <v/>
      </c>
      <c r="AM105" s="125" t="str">
        <f>IF(Ujian!AM112="","",IF(LEFT(Ujian!AM112,1)=SEKOR!AM$2,1,0))</f>
        <v/>
      </c>
      <c r="AN105" s="125" t="str">
        <f>IF(Ujian!AN112="","",IF(LEFT(Ujian!AN112,1)=SEKOR!AN$2,1,0))</f>
        <v/>
      </c>
      <c r="AO105" s="125" t="str">
        <f>IF(Ujian!AO112="","",IF(LEFT(Ujian!AO112,1)=SEKOR!AO$2,1,0))</f>
        <v/>
      </c>
      <c r="AP105" s="125" t="str">
        <f>IF(Ujian!AP112="","",IF(LEFT(Ujian!AP112,1)=SEKOR!AP$2,1,0))</f>
        <v/>
      </c>
      <c r="AQ105" s="125" t="str">
        <f>IF(Ujian!AQ112="","",IF(LEFT(Ujian!AQ112,1)=SEKOR!AQ$2,1,0))</f>
        <v/>
      </c>
      <c r="AR105" s="125" t="str">
        <f>IF(Ujian!AR112="","",IF(LEFT(Ujian!AR112,1)=SEKOR!AR$2,1,0))</f>
        <v/>
      </c>
      <c r="AS105" s="125" t="str">
        <f>IF(Ujian!AS112="","",IF(LEFT(Ujian!AS112,1)=SEKOR!AS$2,1,0))</f>
        <v/>
      </c>
      <c r="AT105" s="125" t="str">
        <f>IF(Ujian!AT112="","",IF(LEFT(Ujian!AT112,1)=SEKOR!AT$2,1,0))</f>
        <v/>
      </c>
      <c r="AU105" s="125" t="str">
        <f>IF(Ujian!AU112="","",IF(LEFT(Ujian!AU112,1)=SEKOR!AU$2,1,0))</f>
        <v/>
      </c>
      <c r="AV105" s="125" t="str">
        <f>IF(Ujian!AV112="","",IF(LEFT(Ujian!AV112,1)=SEKOR!AV$2,1,0))</f>
        <v/>
      </c>
      <c r="AW105" s="125" t="str">
        <f>IF(Ujian!AW112="","",IF(LEFT(Ujian!AW112,1)=SEKOR!AW$2,1,0))</f>
        <v/>
      </c>
      <c r="AX105" s="125" t="str">
        <f>IF(Ujian!AX112="","",IF(LEFT(Ujian!AX112,1)=SEKOR!AX$2,1,0))</f>
        <v/>
      </c>
      <c r="AY105" s="125" t="str">
        <f>IF(Ujian!AY112="","",IF(LEFT(Ujian!AY112,1)=SEKOR!AY$2,1,0))</f>
        <v/>
      </c>
      <c r="AZ105" s="125" t="str">
        <f>IF(Ujian!AZ112="","",IF(LEFT(Ujian!AZ112,1)=SEKOR!AZ$2,1,0))</f>
        <v/>
      </c>
      <c r="BA105" s="125" t="str">
        <f>IF(Ujian!BA112="","",IF(LEFT(Ujian!BA112,1)=SEKOR!BA$2,1,0))</f>
        <v/>
      </c>
      <c r="BB105" s="125" t="str">
        <f>IF(Ujian!BB112="","",IF(LEFT(Ujian!BB112,1)=SEKOR!BB$2,1,0))</f>
        <v/>
      </c>
      <c r="BC105" s="125" t="str">
        <f>IF(Ujian!BC112="","",IF(LEFT(Ujian!BC112,1)=SEKOR!BC$2,1,0))</f>
        <v/>
      </c>
      <c r="BD105" s="125" t="str">
        <f>IF(Ujian!BD112="","",IF(LEFT(Ujian!BD112,1)=SEKOR!BD$2,1,0))</f>
        <v/>
      </c>
      <c r="BE105" s="125" t="str">
        <f>IF(Ujian!BE112="","",IF(LEFT(Ujian!BE112,1)=SEKOR!BE$2,1,0))</f>
        <v/>
      </c>
      <c r="BF105" s="125" t="str">
        <f>IF(Ujian!BF112="","",IF(LEFT(Ujian!BF112,1)=SEKOR!BF$2,1,0))</f>
        <v/>
      </c>
      <c r="BG105" s="125" t="str">
        <f>IF(Ujian!BG112="","",IF(LEFT(Ujian!BG112,1)=SEKOR!BG$2,1,0))</f>
        <v/>
      </c>
      <c r="BH105" s="125" t="str">
        <f>IF(Ujian!BH112="","",IF(LEFT(Ujian!BH112,1)=SEKOR!BH$2,1,0))</f>
        <v/>
      </c>
      <c r="BI105" s="125" t="str">
        <f>IF(Ujian!BI112="","",IF(LEFT(Ujian!BI112,1)=SEKOR!BI$2,1,0))</f>
        <v/>
      </c>
      <c r="BJ105" s="125" t="str">
        <f>IF(Ujian!BJ112="","",IF(LEFT(Ujian!BJ112,1)=SEKOR!BJ$2,1,0))</f>
        <v/>
      </c>
      <c r="BK105" s="125" t="str">
        <f>IF(Ujian!BK112="","",IF(LEFT(Ujian!BK112,1)=SEKOR!BK$2,1,0))</f>
        <v/>
      </c>
      <c r="BL105" s="18">
        <f t="shared" si="2"/>
        <v>0</v>
      </c>
      <c r="BM105" s="18">
        <f>COUNTIF($D105:$BK105,"")+DATA!$F$14-DATA!$F$12</f>
        <v>60</v>
      </c>
      <c r="BN105" s="17">
        <f>IF(COUNTIF($D105:$BK105,1)&gt;DATA!$F$14,DATA!$F$14,COUNTIF($D105:$BK105,1))</f>
        <v>0</v>
      </c>
      <c r="BO105" s="17">
        <f>IF((BN105+COUNTIF($D105:$BK105,0))&lt;=DATA!$F$14,COUNTIF($D105:$BK105,0),DATA!$F$14-SEKOR!BN105)</f>
        <v>0</v>
      </c>
      <c r="BP105" s="4" t="str">
        <f>IF(BL105=0,"",BN105/DATA!$F$14*100)</f>
        <v/>
      </c>
      <c r="BQ105" s="121" t="str">
        <f t="shared" si="3"/>
        <v/>
      </c>
      <c r="BR105" s="2" t="str">
        <f>IF(Praktik!$E105=0,"",Praktik!$E105)</f>
        <v/>
      </c>
      <c r="BS105" s="2" t="str">
        <f>IF(BR105="","",(BP105*DATAINFO!$O$4)+(SEKOR!BR105*DATAINFO!$O$5)/(DATAINFO!$O$4+DATAINFO!$O$5))</f>
        <v/>
      </c>
      <c r="BT105" s="2" t="str">
        <f>IF(BL105=0,"",IF(DATA!$F$18="TIDAK",ROUNDUP((IF!$L$8*SEKOR!$BP105)+IF!$L$9,0),IF($BR105="","",ROUNDUP((IF!$L$20*$BS105)+IF!$L$21,0))))</f>
        <v/>
      </c>
      <c r="BU105" s="47" t="str">
        <f>IF(BP105="","",IF(SEKOR!BP105&gt;=DATA!$J$12,1,0))</f>
        <v/>
      </c>
      <c r="BV105" s="47" t="str">
        <f>IF(BQ105="","",IF(SEKOR!BQ105&gt;=DATA!$J$12,1,0))</f>
        <v/>
      </c>
      <c r="BW105" s="47" t="str">
        <f>IF(BR105="","",IF(SEKOR!BR105&gt;=DATA!$J$12,1,0))</f>
        <v/>
      </c>
      <c r="BX105" s="47" t="str">
        <f>IF(BT105="","",IF(DATA!$J$14="",IF(SEKOR!BT105&gt;=DATA!$J$12,1,0),IF(SEKOR!BT105&gt;=DATA!$J$14,1,0)))</f>
        <v/>
      </c>
    </row>
    <row r="106" spans="1:76" x14ac:dyDescent="0.25">
      <c r="A106" s="20" t="s">
        <v>133</v>
      </c>
      <c r="B106" s="21" t="str">
        <f>IF(Ujian!B113="","",Ujian!B113)</f>
        <v/>
      </c>
      <c r="C106" s="57" t="str">
        <f>IF(Ujian!C113="","",Ujian!C113)</f>
        <v/>
      </c>
      <c r="D106" s="125" t="str">
        <f>IF(Ujian!D113="","",IF(LEFT(Ujian!D113,1)=SEKOR!D$2,1,0))</f>
        <v/>
      </c>
      <c r="E106" s="125" t="str">
        <f>IF(Ujian!E113="","",IF(LEFT(Ujian!E113,1)=SEKOR!E$2,1,0))</f>
        <v/>
      </c>
      <c r="F106" s="125" t="str">
        <f>IF(Ujian!F113="","",IF(LEFT(Ujian!F113,1)=SEKOR!F$2,1,0))</f>
        <v/>
      </c>
      <c r="G106" s="125" t="str">
        <f>IF(Ujian!G113="","",IF(LEFT(Ujian!G113,1)=SEKOR!G$2,1,0))</f>
        <v/>
      </c>
      <c r="H106" s="125" t="str">
        <f>IF(Ujian!H113="","",IF(LEFT(Ujian!H113,1)=SEKOR!H$2,1,0))</f>
        <v/>
      </c>
      <c r="I106" s="125" t="str">
        <f>IF(Ujian!I113="","",IF(LEFT(Ujian!I113,1)=SEKOR!I$2,1,0))</f>
        <v/>
      </c>
      <c r="J106" s="125" t="str">
        <f>IF(Ujian!J113="","",IF(LEFT(Ujian!J113,1)=SEKOR!J$2,1,0))</f>
        <v/>
      </c>
      <c r="K106" s="125" t="str">
        <f>IF(Ujian!K113="","",IF(LEFT(Ujian!K113,1)=SEKOR!K$2,1,0))</f>
        <v/>
      </c>
      <c r="L106" s="125" t="str">
        <f>IF(Ujian!L113="","",IF(LEFT(Ujian!L113,1)=SEKOR!L$2,1,0))</f>
        <v/>
      </c>
      <c r="M106" s="125" t="str">
        <f>IF(Ujian!M113="","",IF(LEFT(Ujian!M113,1)=SEKOR!M$2,1,0))</f>
        <v/>
      </c>
      <c r="N106" s="125" t="str">
        <f>IF(Ujian!N113="","",IF(LEFT(Ujian!N113,1)=SEKOR!N$2,1,0))</f>
        <v/>
      </c>
      <c r="O106" s="125" t="str">
        <f>IF(Ujian!O113="","",IF(LEFT(Ujian!O113,1)=SEKOR!O$2,1,0))</f>
        <v/>
      </c>
      <c r="P106" s="125" t="str">
        <f>IF(Ujian!P113="","",IF(LEFT(Ujian!P113,1)=SEKOR!P$2,1,0))</f>
        <v/>
      </c>
      <c r="Q106" s="125" t="str">
        <f>IF(Ujian!Q113="","",IF(LEFT(Ujian!Q113,1)=SEKOR!Q$2,1,0))</f>
        <v/>
      </c>
      <c r="R106" s="125" t="str">
        <f>IF(Ujian!R113="","",IF(LEFT(Ujian!R113,1)=SEKOR!R$2,1,0))</f>
        <v/>
      </c>
      <c r="S106" s="125" t="str">
        <f>IF(Ujian!S113="","",IF(LEFT(Ujian!S113,1)=SEKOR!S$2,1,0))</f>
        <v/>
      </c>
      <c r="T106" s="125" t="str">
        <f>IF(Ujian!T113="","",IF(LEFT(Ujian!T113,1)=SEKOR!T$2,1,0))</f>
        <v/>
      </c>
      <c r="U106" s="125" t="str">
        <f>IF(Ujian!U113="","",IF(LEFT(Ujian!U113,1)=SEKOR!U$2,1,0))</f>
        <v/>
      </c>
      <c r="V106" s="125" t="str">
        <f>IF(Ujian!V113="","",IF(LEFT(Ujian!V113,1)=SEKOR!V$2,1,0))</f>
        <v/>
      </c>
      <c r="W106" s="125" t="str">
        <f>IF(Ujian!W113="","",IF(LEFT(Ujian!W113,1)=SEKOR!W$2,1,0))</f>
        <v/>
      </c>
      <c r="X106" s="125" t="str">
        <f>IF(Ujian!X113="","",IF(LEFT(Ujian!X113,1)=SEKOR!X$2,1,0))</f>
        <v/>
      </c>
      <c r="Y106" s="125" t="str">
        <f>IF(Ujian!Y113="","",IF(LEFT(Ujian!Y113,1)=SEKOR!Y$2,1,0))</f>
        <v/>
      </c>
      <c r="Z106" s="125" t="str">
        <f>IF(Ujian!Z113="","",IF(LEFT(Ujian!Z113,1)=SEKOR!Z$2,1,0))</f>
        <v/>
      </c>
      <c r="AA106" s="125" t="str">
        <f>IF(Ujian!AA113="","",IF(LEFT(Ujian!AA113,1)=SEKOR!AA$2,1,0))</f>
        <v/>
      </c>
      <c r="AB106" s="125" t="str">
        <f>IF(Ujian!AB113="","",IF(LEFT(Ujian!AB113,1)=SEKOR!AB$2,1,0))</f>
        <v/>
      </c>
      <c r="AC106" s="125" t="str">
        <f>IF(Ujian!AC113="","",IF(LEFT(Ujian!AC113,1)=SEKOR!AC$2,1,0))</f>
        <v/>
      </c>
      <c r="AD106" s="125" t="str">
        <f>IF(Ujian!AD113="","",IF(LEFT(Ujian!AD113,1)=SEKOR!AD$2,1,0))</f>
        <v/>
      </c>
      <c r="AE106" s="125" t="str">
        <f>IF(Ujian!AE113="","",IF(LEFT(Ujian!AE113,1)=SEKOR!AE$2,1,0))</f>
        <v/>
      </c>
      <c r="AF106" s="125" t="str">
        <f>IF(Ujian!AF113="","",IF(LEFT(Ujian!AF113,1)=SEKOR!AF$2,1,0))</f>
        <v/>
      </c>
      <c r="AG106" s="125" t="str">
        <f>IF(Ujian!AG113="","",IF(LEFT(Ujian!AG113,1)=SEKOR!AG$2,1,0))</f>
        <v/>
      </c>
      <c r="AH106" s="125" t="str">
        <f>IF(Ujian!AH113="","",IF(LEFT(Ujian!AH113,1)=SEKOR!AH$2,1,0))</f>
        <v/>
      </c>
      <c r="AI106" s="125" t="str">
        <f>IF(Ujian!AI113="","",IF(LEFT(Ujian!AI113,1)=SEKOR!AI$2,1,0))</f>
        <v/>
      </c>
      <c r="AJ106" s="125" t="str">
        <f>IF(Ujian!AJ113="","",IF(LEFT(Ujian!AJ113,1)=SEKOR!AJ$2,1,0))</f>
        <v/>
      </c>
      <c r="AK106" s="125" t="str">
        <f>IF(Ujian!AK113="","",IF(LEFT(Ujian!AK113,1)=SEKOR!AK$2,1,0))</f>
        <v/>
      </c>
      <c r="AL106" s="125" t="str">
        <f>IF(Ujian!AL113="","",IF(LEFT(Ujian!AL113,1)=SEKOR!AL$2,1,0))</f>
        <v/>
      </c>
      <c r="AM106" s="125" t="str">
        <f>IF(Ujian!AM113="","",IF(LEFT(Ujian!AM113,1)=SEKOR!AM$2,1,0))</f>
        <v/>
      </c>
      <c r="AN106" s="125" t="str">
        <f>IF(Ujian!AN113="","",IF(LEFT(Ujian!AN113,1)=SEKOR!AN$2,1,0))</f>
        <v/>
      </c>
      <c r="AO106" s="125" t="str">
        <f>IF(Ujian!AO113="","",IF(LEFT(Ujian!AO113,1)=SEKOR!AO$2,1,0))</f>
        <v/>
      </c>
      <c r="AP106" s="125" t="str">
        <f>IF(Ujian!AP113="","",IF(LEFT(Ujian!AP113,1)=SEKOR!AP$2,1,0))</f>
        <v/>
      </c>
      <c r="AQ106" s="125" t="str">
        <f>IF(Ujian!AQ113="","",IF(LEFT(Ujian!AQ113,1)=SEKOR!AQ$2,1,0))</f>
        <v/>
      </c>
      <c r="AR106" s="125" t="str">
        <f>IF(Ujian!AR113="","",IF(LEFT(Ujian!AR113,1)=SEKOR!AR$2,1,0))</f>
        <v/>
      </c>
      <c r="AS106" s="125" t="str">
        <f>IF(Ujian!AS113="","",IF(LEFT(Ujian!AS113,1)=SEKOR!AS$2,1,0))</f>
        <v/>
      </c>
      <c r="AT106" s="125" t="str">
        <f>IF(Ujian!AT113="","",IF(LEFT(Ujian!AT113,1)=SEKOR!AT$2,1,0))</f>
        <v/>
      </c>
      <c r="AU106" s="125" t="str">
        <f>IF(Ujian!AU113="","",IF(LEFT(Ujian!AU113,1)=SEKOR!AU$2,1,0))</f>
        <v/>
      </c>
      <c r="AV106" s="125" t="str">
        <f>IF(Ujian!AV113="","",IF(LEFT(Ujian!AV113,1)=SEKOR!AV$2,1,0))</f>
        <v/>
      </c>
      <c r="AW106" s="125" t="str">
        <f>IF(Ujian!AW113="","",IF(LEFT(Ujian!AW113,1)=SEKOR!AW$2,1,0))</f>
        <v/>
      </c>
      <c r="AX106" s="125" t="str">
        <f>IF(Ujian!AX113="","",IF(LEFT(Ujian!AX113,1)=SEKOR!AX$2,1,0))</f>
        <v/>
      </c>
      <c r="AY106" s="125" t="str">
        <f>IF(Ujian!AY113="","",IF(LEFT(Ujian!AY113,1)=SEKOR!AY$2,1,0))</f>
        <v/>
      </c>
      <c r="AZ106" s="125" t="str">
        <f>IF(Ujian!AZ113="","",IF(LEFT(Ujian!AZ113,1)=SEKOR!AZ$2,1,0))</f>
        <v/>
      </c>
      <c r="BA106" s="125" t="str">
        <f>IF(Ujian!BA113="","",IF(LEFT(Ujian!BA113,1)=SEKOR!BA$2,1,0))</f>
        <v/>
      </c>
      <c r="BB106" s="125" t="str">
        <f>IF(Ujian!BB113="","",IF(LEFT(Ujian!BB113,1)=SEKOR!BB$2,1,0))</f>
        <v/>
      </c>
      <c r="BC106" s="125" t="str">
        <f>IF(Ujian!BC113="","",IF(LEFT(Ujian!BC113,1)=SEKOR!BC$2,1,0))</f>
        <v/>
      </c>
      <c r="BD106" s="125" t="str">
        <f>IF(Ujian!BD113="","",IF(LEFT(Ujian!BD113,1)=SEKOR!BD$2,1,0))</f>
        <v/>
      </c>
      <c r="BE106" s="125" t="str">
        <f>IF(Ujian!BE113="","",IF(LEFT(Ujian!BE113,1)=SEKOR!BE$2,1,0))</f>
        <v/>
      </c>
      <c r="BF106" s="125" t="str">
        <f>IF(Ujian!BF113="","",IF(LEFT(Ujian!BF113,1)=SEKOR!BF$2,1,0))</f>
        <v/>
      </c>
      <c r="BG106" s="125" t="str">
        <f>IF(Ujian!BG113="","",IF(LEFT(Ujian!BG113,1)=SEKOR!BG$2,1,0))</f>
        <v/>
      </c>
      <c r="BH106" s="125" t="str">
        <f>IF(Ujian!BH113="","",IF(LEFT(Ujian!BH113,1)=SEKOR!BH$2,1,0))</f>
        <v/>
      </c>
      <c r="BI106" s="125" t="str">
        <f>IF(Ujian!BI113="","",IF(LEFT(Ujian!BI113,1)=SEKOR!BI$2,1,0))</f>
        <v/>
      </c>
      <c r="BJ106" s="125" t="str">
        <f>IF(Ujian!BJ113="","",IF(LEFT(Ujian!BJ113,1)=SEKOR!BJ$2,1,0))</f>
        <v/>
      </c>
      <c r="BK106" s="125" t="str">
        <f>IF(Ujian!BK113="","",IF(LEFT(Ujian!BK113,1)=SEKOR!BK$2,1,0))</f>
        <v/>
      </c>
      <c r="BL106" s="18">
        <f t="shared" si="2"/>
        <v>0</v>
      </c>
      <c r="BM106" s="18">
        <f>COUNTIF($D106:$BK106,"")+DATA!$F$14-DATA!$F$12</f>
        <v>60</v>
      </c>
      <c r="BN106" s="17">
        <f>IF(COUNTIF($D106:$BK106,1)&gt;DATA!$F$14,DATA!$F$14,COUNTIF($D106:$BK106,1))</f>
        <v>0</v>
      </c>
      <c r="BO106" s="17">
        <f>IF((BN106+COUNTIF($D106:$BK106,0))&lt;=DATA!$F$14,COUNTIF($D106:$BK106,0),DATA!$F$14-SEKOR!BN106)</f>
        <v>0</v>
      </c>
      <c r="BP106" s="4" t="str">
        <f>IF(BL106=0,"",BN106/DATA!$F$14*100)</f>
        <v/>
      </c>
      <c r="BQ106" s="121" t="str">
        <f t="shared" si="3"/>
        <v/>
      </c>
      <c r="BR106" s="2" t="str">
        <f>IF(Praktik!$E106=0,"",Praktik!$E106)</f>
        <v/>
      </c>
      <c r="BS106" s="2" t="str">
        <f>IF(BR106="","",(BP106*DATAINFO!$O$4)+(SEKOR!BR106*DATAINFO!$O$5)/(DATAINFO!$O$4+DATAINFO!$O$5))</f>
        <v/>
      </c>
      <c r="BT106" s="2" t="str">
        <f>IF(BL106=0,"",IF(DATA!$F$18="TIDAK",ROUNDUP((IF!$L$8*SEKOR!$BP106)+IF!$L$9,0),IF($BR106="","",ROUNDUP((IF!$L$20*$BS106)+IF!$L$21,0))))</f>
        <v/>
      </c>
      <c r="BU106" s="47" t="str">
        <f>IF(BP106="","",IF(SEKOR!BP106&gt;=DATA!$J$12,1,0))</f>
        <v/>
      </c>
      <c r="BV106" s="47" t="str">
        <f>IF(BQ106="","",IF(SEKOR!BQ106&gt;=DATA!$J$12,1,0))</f>
        <v/>
      </c>
      <c r="BW106" s="47" t="str">
        <f>IF(BR106="","",IF(SEKOR!BR106&gt;=DATA!$J$12,1,0))</f>
        <v/>
      </c>
      <c r="BX106" s="47" t="str">
        <f>IF(BT106="","",IF(DATA!$J$14="",IF(SEKOR!BT106&gt;=DATA!$J$12,1,0),IF(SEKOR!BT106&gt;=DATA!$J$14,1,0)))</f>
        <v/>
      </c>
    </row>
    <row r="107" spans="1:76" x14ac:dyDescent="0.25">
      <c r="A107" s="20" t="s">
        <v>134</v>
      </c>
      <c r="B107" s="21" t="str">
        <f>IF(Ujian!B114="","",Ujian!B114)</f>
        <v/>
      </c>
      <c r="C107" s="57" t="str">
        <f>IF(Ujian!C114="","",Ujian!C114)</f>
        <v/>
      </c>
      <c r="D107" s="125" t="str">
        <f>IF(Ujian!D114="","",IF(LEFT(Ujian!D114,1)=SEKOR!D$2,1,0))</f>
        <v/>
      </c>
      <c r="E107" s="125" t="str">
        <f>IF(Ujian!E114="","",IF(LEFT(Ujian!E114,1)=SEKOR!E$2,1,0))</f>
        <v/>
      </c>
      <c r="F107" s="125" t="str">
        <f>IF(Ujian!F114="","",IF(LEFT(Ujian!F114,1)=SEKOR!F$2,1,0))</f>
        <v/>
      </c>
      <c r="G107" s="125" t="str">
        <f>IF(Ujian!G114="","",IF(LEFT(Ujian!G114,1)=SEKOR!G$2,1,0))</f>
        <v/>
      </c>
      <c r="H107" s="125" t="str">
        <f>IF(Ujian!H114="","",IF(LEFT(Ujian!H114,1)=SEKOR!H$2,1,0))</f>
        <v/>
      </c>
      <c r="I107" s="125" t="str">
        <f>IF(Ujian!I114="","",IF(LEFT(Ujian!I114,1)=SEKOR!I$2,1,0))</f>
        <v/>
      </c>
      <c r="J107" s="125" t="str">
        <f>IF(Ujian!J114="","",IF(LEFT(Ujian!J114,1)=SEKOR!J$2,1,0))</f>
        <v/>
      </c>
      <c r="K107" s="125" t="str">
        <f>IF(Ujian!K114="","",IF(LEFT(Ujian!K114,1)=SEKOR!K$2,1,0))</f>
        <v/>
      </c>
      <c r="L107" s="125" t="str">
        <f>IF(Ujian!L114="","",IF(LEFT(Ujian!L114,1)=SEKOR!L$2,1,0))</f>
        <v/>
      </c>
      <c r="M107" s="125" t="str">
        <f>IF(Ujian!M114="","",IF(LEFT(Ujian!M114,1)=SEKOR!M$2,1,0))</f>
        <v/>
      </c>
      <c r="N107" s="125" t="str">
        <f>IF(Ujian!N114="","",IF(LEFT(Ujian!N114,1)=SEKOR!N$2,1,0))</f>
        <v/>
      </c>
      <c r="O107" s="125" t="str">
        <f>IF(Ujian!O114="","",IF(LEFT(Ujian!O114,1)=SEKOR!O$2,1,0))</f>
        <v/>
      </c>
      <c r="P107" s="125" t="str">
        <f>IF(Ujian!P114="","",IF(LEFT(Ujian!P114,1)=SEKOR!P$2,1,0))</f>
        <v/>
      </c>
      <c r="Q107" s="125" t="str">
        <f>IF(Ujian!Q114="","",IF(LEFT(Ujian!Q114,1)=SEKOR!Q$2,1,0))</f>
        <v/>
      </c>
      <c r="R107" s="125" t="str">
        <f>IF(Ujian!R114="","",IF(LEFT(Ujian!R114,1)=SEKOR!R$2,1,0))</f>
        <v/>
      </c>
      <c r="S107" s="125" t="str">
        <f>IF(Ujian!S114="","",IF(LEFT(Ujian!S114,1)=SEKOR!S$2,1,0))</f>
        <v/>
      </c>
      <c r="T107" s="125" t="str">
        <f>IF(Ujian!T114="","",IF(LEFT(Ujian!T114,1)=SEKOR!T$2,1,0))</f>
        <v/>
      </c>
      <c r="U107" s="125" t="str">
        <f>IF(Ujian!U114="","",IF(LEFT(Ujian!U114,1)=SEKOR!U$2,1,0))</f>
        <v/>
      </c>
      <c r="V107" s="125" t="str">
        <f>IF(Ujian!V114="","",IF(LEFT(Ujian!V114,1)=SEKOR!V$2,1,0))</f>
        <v/>
      </c>
      <c r="W107" s="125" t="str">
        <f>IF(Ujian!W114="","",IF(LEFT(Ujian!W114,1)=SEKOR!W$2,1,0))</f>
        <v/>
      </c>
      <c r="X107" s="125" t="str">
        <f>IF(Ujian!X114="","",IF(LEFT(Ujian!X114,1)=SEKOR!X$2,1,0))</f>
        <v/>
      </c>
      <c r="Y107" s="125" t="str">
        <f>IF(Ujian!Y114="","",IF(LEFT(Ujian!Y114,1)=SEKOR!Y$2,1,0))</f>
        <v/>
      </c>
      <c r="Z107" s="125" t="str">
        <f>IF(Ujian!Z114="","",IF(LEFT(Ujian!Z114,1)=SEKOR!Z$2,1,0))</f>
        <v/>
      </c>
      <c r="AA107" s="125" t="str">
        <f>IF(Ujian!AA114="","",IF(LEFT(Ujian!AA114,1)=SEKOR!AA$2,1,0))</f>
        <v/>
      </c>
      <c r="AB107" s="125" t="str">
        <f>IF(Ujian!AB114="","",IF(LEFT(Ujian!AB114,1)=SEKOR!AB$2,1,0))</f>
        <v/>
      </c>
      <c r="AC107" s="125" t="str">
        <f>IF(Ujian!AC114="","",IF(LEFT(Ujian!AC114,1)=SEKOR!AC$2,1,0))</f>
        <v/>
      </c>
      <c r="AD107" s="125" t="str">
        <f>IF(Ujian!AD114="","",IF(LEFT(Ujian!AD114,1)=SEKOR!AD$2,1,0))</f>
        <v/>
      </c>
      <c r="AE107" s="125" t="str">
        <f>IF(Ujian!AE114="","",IF(LEFT(Ujian!AE114,1)=SEKOR!AE$2,1,0))</f>
        <v/>
      </c>
      <c r="AF107" s="125" t="str">
        <f>IF(Ujian!AF114="","",IF(LEFT(Ujian!AF114,1)=SEKOR!AF$2,1,0))</f>
        <v/>
      </c>
      <c r="AG107" s="125" t="str">
        <f>IF(Ujian!AG114="","",IF(LEFT(Ujian!AG114,1)=SEKOR!AG$2,1,0))</f>
        <v/>
      </c>
      <c r="AH107" s="125" t="str">
        <f>IF(Ujian!AH114="","",IF(LEFT(Ujian!AH114,1)=SEKOR!AH$2,1,0))</f>
        <v/>
      </c>
      <c r="AI107" s="125" t="str">
        <f>IF(Ujian!AI114="","",IF(LEFT(Ujian!AI114,1)=SEKOR!AI$2,1,0))</f>
        <v/>
      </c>
      <c r="AJ107" s="125" t="str">
        <f>IF(Ujian!AJ114="","",IF(LEFT(Ujian!AJ114,1)=SEKOR!AJ$2,1,0))</f>
        <v/>
      </c>
      <c r="AK107" s="125" t="str">
        <f>IF(Ujian!AK114="","",IF(LEFT(Ujian!AK114,1)=SEKOR!AK$2,1,0))</f>
        <v/>
      </c>
      <c r="AL107" s="125" t="str">
        <f>IF(Ujian!AL114="","",IF(LEFT(Ujian!AL114,1)=SEKOR!AL$2,1,0))</f>
        <v/>
      </c>
      <c r="AM107" s="125" t="str">
        <f>IF(Ujian!AM114="","",IF(LEFT(Ujian!AM114,1)=SEKOR!AM$2,1,0))</f>
        <v/>
      </c>
      <c r="AN107" s="125" t="str">
        <f>IF(Ujian!AN114="","",IF(LEFT(Ujian!AN114,1)=SEKOR!AN$2,1,0))</f>
        <v/>
      </c>
      <c r="AO107" s="125" t="str">
        <f>IF(Ujian!AO114="","",IF(LEFT(Ujian!AO114,1)=SEKOR!AO$2,1,0))</f>
        <v/>
      </c>
      <c r="AP107" s="125" t="str">
        <f>IF(Ujian!AP114="","",IF(LEFT(Ujian!AP114,1)=SEKOR!AP$2,1,0))</f>
        <v/>
      </c>
      <c r="AQ107" s="125" t="str">
        <f>IF(Ujian!AQ114="","",IF(LEFT(Ujian!AQ114,1)=SEKOR!AQ$2,1,0))</f>
        <v/>
      </c>
      <c r="AR107" s="125" t="str">
        <f>IF(Ujian!AR114="","",IF(LEFT(Ujian!AR114,1)=SEKOR!AR$2,1,0))</f>
        <v/>
      </c>
      <c r="AS107" s="125" t="str">
        <f>IF(Ujian!AS114="","",IF(LEFT(Ujian!AS114,1)=SEKOR!AS$2,1,0))</f>
        <v/>
      </c>
      <c r="AT107" s="125" t="str">
        <f>IF(Ujian!AT114="","",IF(LEFT(Ujian!AT114,1)=SEKOR!AT$2,1,0))</f>
        <v/>
      </c>
      <c r="AU107" s="125" t="str">
        <f>IF(Ujian!AU114="","",IF(LEFT(Ujian!AU114,1)=SEKOR!AU$2,1,0))</f>
        <v/>
      </c>
      <c r="AV107" s="125" t="str">
        <f>IF(Ujian!AV114="","",IF(LEFT(Ujian!AV114,1)=SEKOR!AV$2,1,0))</f>
        <v/>
      </c>
      <c r="AW107" s="125" t="str">
        <f>IF(Ujian!AW114="","",IF(LEFT(Ujian!AW114,1)=SEKOR!AW$2,1,0))</f>
        <v/>
      </c>
      <c r="AX107" s="125" t="str">
        <f>IF(Ujian!AX114="","",IF(LEFT(Ujian!AX114,1)=SEKOR!AX$2,1,0))</f>
        <v/>
      </c>
      <c r="AY107" s="125" t="str">
        <f>IF(Ujian!AY114="","",IF(LEFT(Ujian!AY114,1)=SEKOR!AY$2,1,0))</f>
        <v/>
      </c>
      <c r="AZ107" s="125" t="str">
        <f>IF(Ujian!AZ114="","",IF(LEFT(Ujian!AZ114,1)=SEKOR!AZ$2,1,0))</f>
        <v/>
      </c>
      <c r="BA107" s="125" t="str">
        <f>IF(Ujian!BA114="","",IF(LEFT(Ujian!BA114,1)=SEKOR!BA$2,1,0))</f>
        <v/>
      </c>
      <c r="BB107" s="125" t="str">
        <f>IF(Ujian!BB114="","",IF(LEFT(Ujian!BB114,1)=SEKOR!BB$2,1,0))</f>
        <v/>
      </c>
      <c r="BC107" s="125" t="str">
        <f>IF(Ujian!BC114="","",IF(LEFT(Ujian!BC114,1)=SEKOR!BC$2,1,0))</f>
        <v/>
      </c>
      <c r="BD107" s="125" t="str">
        <f>IF(Ujian!BD114="","",IF(LEFT(Ujian!BD114,1)=SEKOR!BD$2,1,0))</f>
        <v/>
      </c>
      <c r="BE107" s="125" t="str">
        <f>IF(Ujian!BE114="","",IF(LEFT(Ujian!BE114,1)=SEKOR!BE$2,1,0))</f>
        <v/>
      </c>
      <c r="BF107" s="125" t="str">
        <f>IF(Ujian!BF114="","",IF(LEFT(Ujian!BF114,1)=SEKOR!BF$2,1,0))</f>
        <v/>
      </c>
      <c r="BG107" s="125" t="str">
        <f>IF(Ujian!BG114="","",IF(LEFT(Ujian!BG114,1)=SEKOR!BG$2,1,0))</f>
        <v/>
      </c>
      <c r="BH107" s="125" t="str">
        <f>IF(Ujian!BH114="","",IF(LEFT(Ujian!BH114,1)=SEKOR!BH$2,1,0))</f>
        <v/>
      </c>
      <c r="BI107" s="125" t="str">
        <f>IF(Ujian!BI114="","",IF(LEFT(Ujian!BI114,1)=SEKOR!BI$2,1,0))</f>
        <v/>
      </c>
      <c r="BJ107" s="125" t="str">
        <f>IF(Ujian!BJ114="","",IF(LEFT(Ujian!BJ114,1)=SEKOR!BJ$2,1,0))</f>
        <v/>
      </c>
      <c r="BK107" s="125" t="str">
        <f>IF(Ujian!BK114="","",IF(LEFT(Ujian!BK114,1)=SEKOR!BK$2,1,0))</f>
        <v/>
      </c>
      <c r="BL107" s="18">
        <f t="shared" si="2"/>
        <v>0</v>
      </c>
      <c r="BM107" s="18">
        <f>COUNTIF($D107:$BK107,"")+DATA!$F$14-DATA!$F$12</f>
        <v>60</v>
      </c>
      <c r="BN107" s="17">
        <f>IF(COUNTIF($D107:$BK107,1)&gt;DATA!$F$14,DATA!$F$14,COUNTIF($D107:$BK107,1))</f>
        <v>0</v>
      </c>
      <c r="BO107" s="17">
        <f>IF((BN107+COUNTIF($D107:$BK107,0))&lt;=DATA!$F$14,COUNTIF($D107:$BK107,0),DATA!$F$14-SEKOR!BN107)</f>
        <v>0</v>
      </c>
      <c r="BP107" s="4" t="str">
        <f>IF(BL107=0,"",BN107/DATA!$F$14*100)</f>
        <v/>
      </c>
      <c r="BQ107" s="121" t="str">
        <f t="shared" si="3"/>
        <v/>
      </c>
      <c r="BR107" s="2" t="str">
        <f>IF(Praktik!$E107=0,"",Praktik!$E107)</f>
        <v/>
      </c>
      <c r="BS107" s="2" t="str">
        <f>IF(BR107="","",(BP107*DATAINFO!$O$4)+(SEKOR!BR107*DATAINFO!$O$5)/(DATAINFO!$O$4+DATAINFO!$O$5))</f>
        <v/>
      </c>
      <c r="BT107" s="2" t="str">
        <f>IF(BL107=0,"",IF(DATA!$F$18="TIDAK",ROUNDUP((IF!$L$8*SEKOR!$BP107)+IF!$L$9,0),IF($BR107="","",ROUNDUP((IF!$L$20*$BS107)+IF!$L$21,0))))</f>
        <v/>
      </c>
      <c r="BU107" s="47" t="str">
        <f>IF(BP107="","",IF(SEKOR!BP107&gt;=DATA!$J$12,1,0))</f>
        <v/>
      </c>
      <c r="BV107" s="47" t="str">
        <f>IF(BQ107="","",IF(SEKOR!BQ107&gt;=DATA!$J$12,1,0))</f>
        <v/>
      </c>
      <c r="BW107" s="47" t="str">
        <f>IF(BR107="","",IF(SEKOR!BR107&gt;=DATA!$J$12,1,0))</f>
        <v/>
      </c>
      <c r="BX107" s="47" t="str">
        <f>IF(BT107="","",IF(DATA!$J$14="",IF(SEKOR!BT107&gt;=DATA!$J$12,1,0),IF(SEKOR!BT107&gt;=DATA!$J$14,1,0)))</f>
        <v/>
      </c>
    </row>
    <row r="108" spans="1:76" x14ac:dyDescent="0.25">
      <c r="A108" s="20" t="s">
        <v>135</v>
      </c>
      <c r="B108" s="21" t="str">
        <f>IF(Ujian!B115="","",Ujian!B115)</f>
        <v/>
      </c>
      <c r="C108" s="57" t="str">
        <f>IF(Ujian!C115="","",Ujian!C115)</f>
        <v/>
      </c>
      <c r="D108" s="125" t="str">
        <f>IF(Ujian!D115="","",IF(LEFT(Ujian!D115,1)=SEKOR!D$2,1,0))</f>
        <v/>
      </c>
      <c r="E108" s="125" t="str">
        <f>IF(Ujian!E115="","",IF(LEFT(Ujian!E115,1)=SEKOR!E$2,1,0))</f>
        <v/>
      </c>
      <c r="F108" s="125" t="str">
        <f>IF(Ujian!F115="","",IF(LEFT(Ujian!F115,1)=SEKOR!F$2,1,0))</f>
        <v/>
      </c>
      <c r="G108" s="125" t="str">
        <f>IF(Ujian!G115="","",IF(LEFT(Ujian!G115,1)=SEKOR!G$2,1,0))</f>
        <v/>
      </c>
      <c r="H108" s="125" t="str">
        <f>IF(Ujian!H115="","",IF(LEFT(Ujian!H115,1)=SEKOR!H$2,1,0))</f>
        <v/>
      </c>
      <c r="I108" s="125" t="str">
        <f>IF(Ujian!I115="","",IF(LEFT(Ujian!I115,1)=SEKOR!I$2,1,0))</f>
        <v/>
      </c>
      <c r="J108" s="125" t="str">
        <f>IF(Ujian!J115="","",IF(LEFT(Ujian!J115,1)=SEKOR!J$2,1,0))</f>
        <v/>
      </c>
      <c r="K108" s="125" t="str">
        <f>IF(Ujian!K115="","",IF(LEFT(Ujian!K115,1)=SEKOR!K$2,1,0))</f>
        <v/>
      </c>
      <c r="L108" s="125" t="str">
        <f>IF(Ujian!L115="","",IF(LEFT(Ujian!L115,1)=SEKOR!L$2,1,0))</f>
        <v/>
      </c>
      <c r="M108" s="125" t="str">
        <f>IF(Ujian!M115="","",IF(LEFT(Ujian!M115,1)=SEKOR!M$2,1,0))</f>
        <v/>
      </c>
      <c r="N108" s="125" t="str">
        <f>IF(Ujian!N115="","",IF(LEFT(Ujian!N115,1)=SEKOR!N$2,1,0))</f>
        <v/>
      </c>
      <c r="O108" s="125" t="str">
        <f>IF(Ujian!O115="","",IF(LEFT(Ujian!O115,1)=SEKOR!O$2,1,0))</f>
        <v/>
      </c>
      <c r="P108" s="125" t="str">
        <f>IF(Ujian!P115="","",IF(LEFT(Ujian!P115,1)=SEKOR!P$2,1,0))</f>
        <v/>
      </c>
      <c r="Q108" s="125" t="str">
        <f>IF(Ujian!Q115="","",IF(LEFT(Ujian!Q115,1)=SEKOR!Q$2,1,0))</f>
        <v/>
      </c>
      <c r="R108" s="125" t="str">
        <f>IF(Ujian!R115="","",IF(LEFT(Ujian!R115,1)=SEKOR!R$2,1,0))</f>
        <v/>
      </c>
      <c r="S108" s="125" t="str">
        <f>IF(Ujian!S115="","",IF(LEFT(Ujian!S115,1)=SEKOR!S$2,1,0))</f>
        <v/>
      </c>
      <c r="T108" s="125" t="str">
        <f>IF(Ujian!T115="","",IF(LEFT(Ujian!T115,1)=SEKOR!T$2,1,0))</f>
        <v/>
      </c>
      <c r="U108" s="125" t="str">
        <f>IF(Ujian!U115="","",IF(LEFT(Ujian!U115,1)=SEKOR!U$2,1,0))</f>
        <v/>
      </c>
      <c r="V108" s="125" t="str">
        <f>IF(Ujian!V115="","",IF(LEFT(Ujian!V115,1)=SEKOR!V$2,1,0))</f>
        <v/>
      </c>
      <c r="W108" s="125" t="str">
        <f>IF(Ujian!W115="","",IF(LEFT(Ujian!W115,1)=SEKOR!W$2,1,0))</f>
        <v/>
      </c>
      <c r="X108" s="125" t="str">
        <f>IF(Ujian!X115="","",IF(LEFT(Ujian!X115,1)=SEKOR!X$2,1,0))</f>
        <v/>
      </c>
      <c r="Y108" s="125" t="str">
        <f>IF(Ujian!Y115="","",IF(LEFT(Ujian!Y115,1)=SEKOR!Y$2,1,0))</f>
        <v/>
      </c>
      <c r="Z108" s="125" t="str">
        <f>IF(Ujian!Z115="","",IF(LEFT(Ujian!Z115,1)=SEKOR!Z$2,1,0))</f>
        <v/>
      </c>
      <c r="AA108" s="125" t="str">
        <f>IF(Ujian!AA115="","",IF(LEFT(Ujian!AA115,1)=SEKOR!AA$2,1,0))</f>
        <v/>
      </c>
      <c r="AB108" s="125" t="str">
        <f>IF(Ujian!AB115="","",IF(LEFT(Ujian!AB115,1)=SEKOR!AB$2,1,0))</f>
        <v/>
      </c>
      <c r="AC108" s="125" t="str">
        <f>IF(Ujian!AC115="","",IF(LEFT(Ujian!AC115,1)=SEKOR!AC$2,1,0))</f>
        <v/>
      </c>
      <c r="AD108" s="125" t="str">
        <f>IF(Ujian!AD115="","",IF(LEFT(Ujian!AD115,1)=SEKOR!AD$2,1,0))</f>
        <v/>
      </c>
      <c r="AE108" s="125" t="str">
        <f>IF(Ujian!AE115="","",IF(LEFT(Ujian!AE115,1)=SEKOR!AE$2,1,0))</f>
        <v/>
      </c>
      <c r="AF108" s="125" t="str">
        <f>IF(Ujian!AF115="","",IF(LEFT(Ujian!AF115,1)=SEKOR!AF$2,1,0))</f>
        <v/>
      </c>
      <c r="AG108" s="125" t="str">
        <f>IF(Ujian!AG115="","",IF(LEFT(Ujian!AG115,1)=SEKOR!AG$2,1,0))</f>
        <v/>
      </c>
      <c r="AH108" s="125" t="str">
        <f>IF(Ujian!AH115="","",IF(LEFT(Ujian!AH115,1)=SEKOR!AH$2,1,0))</f>
        <v/>
      </c>
      <c r="AI108" s="125" t="str">
        <f>IF(Ujian!AI115="","",IF(LEFT(Ujian!AI115,1)=SEKOR!AI$2,1,0))</f>
        <v/>
      </c>
      <c r="AJ108" s="125" t="str">
        <f>IF(Ujian!AJ115="","",IF(LEFT(Ujian!AJ115,1)=SEKOR!AJ$2,1,0))</f>
        <v/>
      </c>
      <c r="AK108" s="125" t="str">
        <f>IF(Ujian!AK115="","",IF(LEFT(Ujian!AK115,1)=SEKOR!AK$2,1,0))</f>
        <v/>
      </c>
      <c r="AL108" s="125" t="str">
        <f>IF(Ujian!AL115="","",IF(LEFT(Ujian!AL115,1)=SEKOR!AL$2,1,0))</f>
        <v/>
      </c>
      <c r="AM108" s="125" t="str">
        <f>IF(Ujian!AM115="","",IF(LEFT(Ujian!AM115,1)=SEKOR!AM$2,1,0))</f>
        <v/>
      </c>
      <c r="AN108" s="125" t="str">
        <f>IF(Ujian!AN115="","",IF(LEFT(Ujian!AN115,1)=SEKOR!AN$2,1,0))</f>
        <v/>
      </c>
      <c r="AO108" s="125" t="str">
        <f>IF(Ujian!AO115="","",IF(LEFT(Ujian!AO115,1)=SEKOR!AO$2,1,0))</f>
        <v/>
      </c>
      <c r="AP108" s="125" t="str">
        <f>IF(Ujian!AP115="","",IF(LEFT(Ujian!AP115,1)=SEKOR!AP$2,1,0))</f>
        <v/>
      </c>
      <c r="AQ108" s="125" t="str">
        <f>IF(Ujian!AQ115="","",IF(LEFT(Ujian!AQ115,1)=SEKOR!AQ$2,1,0))</f>
        <v/>
      </c>
      <c r="AR108" s="125" t="str">
        <f>IF(Ujian!AR115="","",IF(LEFT(Ujian!AR115,1)=SEKOR!AR$2,1,0))</f>
        <v/>
      </c>
      <c r="AS108" s="125" t="str">
        <f>IF(Ujian!AS115="","",IF(LEFT(Ujian!AS115,1)=SEKOR!AS$2,1,0))</f>
        <v/>
      </c>
      <c r="AT108" s="125" t="str">
        <f>IF(Ujian!AT115="","",IF(LEFT(Ujian!AT115,1)=SEKOR!AT$2,1,0))</f>
        <v/>
      </c>
      <c r="AU108" s="125" t="str">
        <f>IF(Ujian!AU115="","",IF(LEFT(Ujian!AU115,1)=SEKOR!AU$2,1,0))</f>
        <v/>
      </c>
      <c r="AV108" s="125" t="str">
        <f>IF(Ujian!AV115="","",IF(LEFT(Ujian!AV115,1)=SEKOR!AV$2,1,0))</f>
        <v/>
      </c>
      <c r="AW108" s="125" t="str">
        <f>IF(Ujian!AW115="","",IF(LEFT(Ujian!AW115,1)=SEKOR!AW$2,1,0))</f>
        <v/>
      </c>
      <c r="AX108" s="125" t="str">
        <f>IF(Ujian!AX115="","",IF(LEFT(Ujian!AX115,1)=SEKOR!AX$2,1,0))</f>
        <v/>
      </c>
      <c r="AY108" s="125" t="str">
        <f>IF(Ujian!AY115="","",IF(LEFT(Ujian!AY115,1)=SEKOR!AY$2,1,0))</f>
        <v/>
      </c>
      <c r="AZ108" s="125" t="str">
        <f>IF(Ujian!AZ115="","",IF(LEFT(Ujian!AZ115,1)=SEKOR!AZ$2,1,0))</f>
        <v/>
      </c>
      <c r="BA108" s="125" t="str">
        <f>IF(Ujian!BA115="","",IF(LEFT(Ujian!BA115,1)=SEKOR!BA$2,1,0))</f>
        <v/>
      </c>
      <c r="BB108" s="125" t="str">
        <f>IF(Ujian!BB115="","",IF(LEFT(Ujian!BB115,1)=SEKOR!BB$2,1,0))</f>
        <v/>
      </c>
      <c r="BC108" s="125" t="str">
        <f>IF(Ujian!BC115="","",IF(LEFT(Ujian!BC115,1)=SEKOR!BC$2,1,0))</f>
        <v/>
      </c>
      <c r="BD108" s="125" t="str">
        <f>IF(Ujian!BD115="","",IF(LEFT(Ujian!BD115,1)=SEKOR!BD$2,1,0))</f>
        <v/>
      </c>
      <c r="BE108" s="125" t="str">
        <f>IF(Ujian!BE115="","",IF(LEFT(Ujian!BE115,1)=SEKOR!BE$2,1,0))</f>
        <v/>
      </c>
      <c r="BF108" s="125" t="str">
        <f>IF(Ujian!BF115="","",IF(LEFT(Ujian!BF115,1)=SEKOR!BF$2,1,0))</f>
        <v/>
      </c>
      <c r="BG108" s="125" t="str">
        <f>IF(Ujian!BG115="","",IF(LEFT(Ujian!BG115,1)=SEKOR!BG$2,1,0))</f>
        <v/>
      </c>
      <c r="BH108" s="125" t="str">
        <f>IF(Ujian!BH115="","",IF(LEFT(Ujian!BH115,1)=SEKOR!BH$2,1,0))</f>
        <v/>
      </c>
      <c r="BI108" s="125" t="str">
        <f>IF(Ujian!BI115="","",IF(LEFT(Ujian!BI115,1)=SEKOR!BI$2,1,0))</f>
        <v/>
      </c>
      <c r="BJ108" s="125" t="str">
        <f>IF(Ujian!BJ115="","",IF(LEFT(Ujian!BJ115,1)=SEKOR!BJ$2,1,0))</f>
        <v/>
      </c>
      <c r="BK108" s="125" t="str">
        <f>IF(Ujian!BK115="","",IF(LEFT(Ujian!BK115,1)=SEKOR!BK$2,1,0))</f>
        <v/>
      </c>
      <c r="BL108" s="18">
        <f t="shared" si="2"/>
        <v>0</v>
      </c>
      <c r="BM108" s="18">
        <f>COUNTIF($D108:$BK108,"")+DATA!$F$14-DATA!$F$12</f>
        <v>60</v>
      </c>
      <c r="BN108" s="17">
        <f>IF(COUNTIF($D108:$BK108,1)&gt;DATA!$F$14,DATA!$F$14,COUNTIF($D108:$BK108,1))</f>
        <v>0</v>
      </c>
      <c r="BO108" s="17">
        <f>IF((BN108+COUNTIF($D108:$BK108,0))&lt;=DATA!$F$14,COUNTIF($D108:$BK108,0),DATA!$F$14-SEKOR!BN108)</f>
        <v>0</v>
      </c>
      <c r="BP108" s="4" t="str">
        <f>IF(BL108=0,"",BN108/DATA!$F$14*100)</f>
        <v/>
      </c>
      <c r="BQ108" s="121" t="str">
        <f t="shared" si="3"/>
        <v/>
      </c>
      <c r="BR108" s="2" t="str">
        <f>IF(Praktik!$E108=0,"",Praktik!$E108)</f>
        <v/>
      </c>
      <c r="BS108" s="2" t="str">
        <f>IF(BR108="","",(BP108*DATAINFO!$O$4)+(SEKOR!BR108*DATAINFO!$O$5)/(DATAINFO!$O$4+DATAINFO!$O$5))</f>
        <v/>
      </c>
      <c r="BT108" s="2" t="str">
        <f>IF(BL108=0,"",IF(DATA!$F$18="TIDAK",ROUNDUP((IF!$L$8*SEKOR!$BP108)+IF!$L$9,0),IF($BR108="","",ROUNDUP((IF!$L$20*$BS108)+IF!$L$21,0))))</f>
        <v/>
      </c>
      <c r="BU108" s="47" t="str">
        <f>IF(BP108="","",IF(SEKOR!BP108&gt;=DATA!$J$12,1,0))</f>
        <v/>
      </c>
      <c r="BV108" s="47" t="str">
        <f>IF(BQ108="","",IF(SEKOR!BQ108&gt;=DATA!$J$12,1,0))</f>
        <v/>
      </c>
      <c r="BW108" s="47" t="str">
        <f>IF(BR108="","",IF(SEKOR!BR108&gt;=DATA!$J$12,1,0))</f>
        <v/>
      </c>
      <c r="BX108" s="47" t="str">
        <f>IF(BT108="","",IF(DATA!$J$14="",IF(SEKOR!BT108&gt;=DATA!$J$12,1,0),IF(SEKOR!BT108&gt;=DATA!$J$14,1,0)))</f>
        <v/>
      </c>
    </row>
    <row r="109" spans="1:76" x14ac:dyDescent="0.25">
      <c r="A109" s="20" t="s">
        <v>136</v>
      </c>
      <c r="B109" s="21" t="str">
        <f>IF(Ujian!B116="","",Ujian!B116)</f>
        <v/>
      </c>
      <c r="C109" s="57" t="str">
        <f>IF(Ujian!C116="","",Ujian!C116)</f>
        <v/>
      </c>
      <c r="D109" s="125" t="str">
        <f>IF(Ujian!D116="","",IF(LEFT(Ujian!D116,1)=SEKOR!D$2,1,0))</f>
        <v/>
      </c>
      <c r="E109" s="125" t="str">
        <f>IF(Ujian!E116="","",IF(LEFT(Ujian!E116,1)=SEKOR!E$2,1,0))</f>
        <v/>
      </c>
      <c r="F109" s="125" t="str">
        <f>IF(Ujian!F116="","",IF(LEFT(Ujian!F116,1)=SEKOR!F$2,1,0))</f>
        <v/>
      </c>
      <c r="G109" s="125" t="str">
        <f>IF(Ujian!G116="","",IF(LEFT(Ujian!G116,1)=SEKOR!G$2,1,0))</f>
        <v/>
      </c>
      <c r="H109" s="125" t="str">
        <f>IF(Ujian!H116="","",IF(LEFT(Ujian!H116,1)=SEKOR!H$2,1,0))</f>
        <v/>
      </c>
      <c r="I109" s="125" t="str">
        <f>IF(Ujian!I116="","",IF(LEFT(Ujian!I116,1)=SEKOR!I$2,1,0))</f>
        <v/>
      </c>
      <c r="J109" s="125" t="str">
        <f>IF(Ujian!J116="","",IF(LEFT(Ujian!J116,1)=SEKOR!J$2,1,0))</f>
        <v/>
      </c>
      <c r="K109" s="125" t="str">
        <f>IF(Ujian!K116="","",IF(LEFT(Ujian!K116,1)=SEKOR!K$2,1,0))</f>
        <v/>
      </c>
      <c r="L109" s="125" t="str">
        <f>IF(Ujian!L116="","",IF(LEFT(Ujian!L116,1)=SEKOR!L$2,1,0))</f>
        <v/>
      </c>
      <c r="M109" s="125" t="str">
        <f>IF(Ujian!M116="","",IF(LEFT(Ujian!M116,1)=SEKOR!M$2,1,0))</f>
        <v/>
      </c>
      <c r="N109" s="125" t="str">
        <f>IF(Ujian!N116="","",IF(LEFT(Ujian!N116,1)=SEKOR!N$2,1,0))</f>
        <v/>
      </c>
      <c r="O109" s="125" t="str">
        <f>IF(Ujian!O116="","",IF(LEFT(Ujian!O116,1)=SEKOR!O$2,1,0))</f>
        <v/>
      </c>
      <c r="P109" s="125" t="str">
        <f>IF(Ujian!P116="","",IF(LEFT(Ujian!P116,1)=SEKOR!P$2,1,0))</f>
        <v/>
      </c>
      <c r="Q109" s="125" t="str">
        <f>IF(Ujian!Q116="","",IF(LEFT(Ujian!Q116,1)=SEKOR!Q$2,1,0))</f>
        <v/>
      </c>
      <c r="R109" s="125" t="str">
        <f>IF(Ujian!R116="","",IF(LEFT(Ujian!R116,1)=SEKOR!R$2,1,0))</f>
        <v/>
      </c>
      <c r="S109" s="125" t="str">
        <f>IF(Ujian!S116="","",IF(LEFT(Ujian!S116,1)=SEKOR!S$2,1,0))</f>
        <v/>
      </c>
      <c r="T109" s="125" t="str">
        <f>IF(Ujian!T116="","",IF(LEFT(Ujian!T116,1)=SEKOR!T$2,1,0))</f>
        <v/>
      </c>
      <c r="U109" s="125" t="str">
        <f>IF(Ujian!U116="","",IF(LEFT(Ujian!U116,1)=SEKOR!U$2,1,0))</f>
        <v/>
      </c>
      <c r="V109" s="125" t="str">
        <f>IF(Ujian!V116="","",IF(LEFT(Ujian!V116,1)=SEKOR!V$2,1,0))</f>
        <v/>
      </c>
      <c r="W109" s="125" t="str">
        <f>IF(Ujian!W116="","",IF(LEFT(Ujian!W116,1)=SEKOR!W$2,1,0))</f>
        <v/>
      </c>
      <c r="X109" s="125" t="str">
        <f>IF(Ujian!X116="","",IF(LEFT(Ujian!X116,1)=SEKOR!X$2,1,0))</f>
        <v/>
      </c>
      <c r="Y109" s="125" t="str">
        <f>IF(Ujian!Y116="","",IF(LEFT(Ujian!Y116,1)=SEKOR!Y$2,1,0))</f>
        <v/>
      </c>
      <c r="Z109" s="125" t="str">
        <f>IF(Ujian!Z116="","",IF(LEFT(Ujian!Z116,1)=SEKOR!Z$2,1,0))</f>
        <v/>
      </c>
      <c r="AA109" s="125" t="str">
        <f>IF(Ujian!AA116="","",IF(LEFT(Ujian!AA116,1)=SEKOR!AA$2,1,0))</f>
        <v/>
      </c>
      <c r="AB109" s="125" t="str">
        <f>IF(Ujian!AB116="","",IF(LEFT(Ujian!AB116,1)=SEKOR!AB$2,1,0))</f>
        <v/>
      </c>
      <c r="AC109" s="125" t="str">
        <f>IF(Ujian!AC116="","",IF(LEFT(Ujian!AC116,1)=SEKOR!AC$2,1,0))</f>
        <v/>
      </c>
      <c r="AD109" s="125" t="str">
        <f>IF(Ujian!AD116="","",IF(LEFT(Ujian!AD116,1)=SEKOR!AD$2,1,0))</f>
        <v/>
      </c>
      <c r="AE109" s="125" t="str">
        <f>IF(Ujian!AE116="","",IF(LEFT(Ujian!AE116,1)=SEKOR!AE$2,1,0))</f>
        <v/>
      </c>
      <c r="AF109" s="125" t="str">
        <f>IF(Ujian!AF116="","",IF(LEFT(Ujian!AF116,1)=SEKOR!AF$2,1,0))</f>
        <v/>
      </c>
      <c r="AG109" s="125" t="str">
        <f>IF(Ujian!AG116="","",IF(LEFT(Ujian!AG116,1)=SEKOR!AG$2,1,0))</f>
        <v/>
      </c>
      <c r="AH109" s="125" t="str">
        <f>IF(Ujian!AH116="","",IF(LEFT(Ujian!AH116,1)=SEKOR!AH$2,1,0))</f>
        <v/>
      </c>
      <c r="AI109" s="125" t="str">
        <f>IF(Ujian!AI116="","",IF(LEFT(Ujian!AI116,1)=SEKOR!AI$2,1,0))</f>
        <v/>
      </c>
      <c r="AJ109" s="125" t="str">
        <f>IF(Ujian!AJ116="","",IF(LEFT(Ujian!AJ116,1)=SEKOR!AJ$2,1,0))</f>
        <v/>
      </c>
      <c r="AK109" s="125" t="str">
        <f>IF(Ujian!AK116="","",IF(LEFT(Ujian!AK116,1)=SEKOR!AK$2,1,0))</f>
        <v/>
      </c>
      <c r="AL109" s="125" t="str">
        <f>IF(Ujian!AL116="","",IF(LEFT(Ujian!AL116,1)=SEKOR!AL$2,1,0))</f>
        <v/>
      </c>
      <c r="AM109" s="125" t="str">
        <f>IF(Ujian!AM116="","",IF(LEFT(Ujian!AM116,1)=SEKOR!AM$2,1,0))</f>
        <v/>
      </c>
      <c r="AN109" s="125" t="str">
        <f>IF(Ujian!AN116="","",IF(LEFT(Ujian!AN116,1)=SEKOR!AN$2,1,0))</f>
        <v/>
      </c>
      <c r="AO109" s="125" t="str">
        <f>IF(Ujian!AO116="","",IF(LEFT(Ujian!AO116,1)=SEKOR!AO$2,1,0))</f>
        <v/>
      </c>
      <c r="AP109" s="125" t="str">
        <f>IF(Ujian!AP116="","",IF(LEFT(Ujian!AP116,1)=SEKOR!AP$2,1,0))</f>
        <v/>
      </c>
      <c r="AQ109" s="125" t="str">
        <f>IF(Ujian!AQ116="","",IF(LEFT(Ujian!AQ116,1)=SEKOR!AQ$2,1,0))</f>
        <v/>
      </c>
      <c r="AR109" s="125" t="str">
        <f>IF(Ujian!AR116="","",IF(LEFT(Ujian!AR116,1)=SEKOR!AR$2,1,0))</f>
        <v/>
      </c>
      <c r="AS109" s="125" t="str">
        <f>IF(Ujian!AS116="","",IF(LEFT(Ujian!AS116,1)=SEKOR!AS$2,1,0))</f>
        <v/>
      </c>
      <c r="AT109" s="125" t="str">
        <f>IF(Ujian!AT116="","",IF(LEFT(Ujian!AT116,1)=SEKOR!AT$2,1,0))</f>
        <v/>
      </c>
      <c r="AU109" s="125" t="str">
        <f>IF(Ujian!AU116="","",IF(LEFT(Ujian!AU116,1)=SEKOR!AU$2,1,0))</f>
        <v/>
      </c>
      <c r="AV109" s="125" t="str">
        <f>IF(Ujian!AV116="","",IF(LEFT(Ujian!AV116,1)=SEKOR!AV$2,1,0))</f>
        <v/>
      </c>
      <c r="AW109" s="125" t="str">
        <f>IF(Ujian!AW116="","",IF(LEFT(Ujian!AW116,1)=SEKOR!AW$2,1,0))</f>
        <v/>
      </c>
      <c r="AX109" s="125" t="str">
        <f>IF(Ujian!AX116="","",IF(LEFT(Ujian!AX116,1)=SEKOR!AX$2,1,0))</f>
        <v/>
      </c>
      <c r="AY109" s="125" t="str">
        <f>IF(Ujian!AY116="","",IF(LEFT(Ujian!AY116,1)=SEKOR!AY$2,1,0))</f>
        <v/>
      </c>
      <c r="AZ109" s="125" t="str">
        <f>IF(Ujian!AZ116="","",IF(LEFT(Ujian!AZ116,1)=SEKOR!AZ$2,1,0))</f>
        <v/>
      </c>
      <c r="BA109" s="125" t="str">
        <f>IF(Ujian!BA116="","",IF(LEFT(Ujian!BA116,1)=SEKOR!BA$2,1,0))</f>
        <v/>
      </c>
      <c r="BB109" s="125" t="str">
        <f>IF(Ujian!BB116="","",IF(LEFT(Ujian!BB116,1)=SEKOR!BB$2,1,0))</f>
        <v/>
      </c>
      <c r="BC109" s="125" t="str">
        <f>IF(Ujian!BC116="","",IF(LEFT(Ujian!BC116,1)=SEKOR!BC$2,1,0))</f>
        <v/>
      </c>
      <c r="BD109" s="125" t="str">
        <f>IF(Ujian!BD116="","",IF(LEFT(Ujian!BD116,1)=SEKOR!BD$2,1,0))</f>
        <v/>
      </c>
      <c r="BE109" s="125" t="str">
        <f>IF(Ujian!BE116="","",IF(LEFT(Ujian!BE116,1)=SEKOR!BE$2,1,0))</f>
        <v/>
      </c>
      <c r="BF109" s="125" t="str">
        <f>IF(Ujian!BF116="","",IF(LEFT(Ujian!BF116,1)=SEKOR!BF$2,1,0))</f>
        <v/>
      </c>
      <c r="BG109" s="125" t="str">
        <f>IF(Ujian!BG116="","",IF(LEFT(Ujian!BG116,1)=SEKOR!BG$2,1,0))</f>
        <v/>
      </c>
      <c r="BH109" s="125" t="str">
        <f>IF(Ujian!BH116="","",IF(LEFT(Ujian!BH116,1)=SEKOR!BH$2,1,0))</f>
        <v/>
      </c>
      <c r="BI109" s="125" t="str">
        <f>IF(Ujian!BI116="","",IF(LEFT(Ujian!BI116,1)=SEKOR!BI$2,1,0))</f>
        <v/>
      </c>
      <c r="BJ109" s="125" t="str">
        <f>IF(Ujian!BJ116="","",IF(LEFT(Ujian!BJ116,1)=SEKOR!BJ$2,1,0))</f>
        <v/>
      </c>
      <c r="BK109" s="125" t="str">
        <f>IF(Ujian!BK116="","",IF(LEFT(Ujian!BK116,1)=SEKOR!BK$2,1,0))</f>
        <v/>
      </c>
      <c r="BL109" s="18">
        <f t="shared" si="2"/>
        <v>0</v>
      </c>
      <c r="BM109" s="18">
        <f>COUNTIF($D109:$BK109,"")+DATA!$F$14-DATA!$F$12</f>
        <v>60</v>
      </c>
      <c r="BN109" s="17">
        <f>IF(COUNTIF($D109:$BK109,1)&gt;DATA!$F$14,DATA!$F$14,COUNTIF($D109:$BK109,1))</f>
        <v>0</v>
      </c>
      <c r="BO109" s="17">
        <f>IF((BN109+COUNTIF($D109:$BK109,0))&lt;=DATA!$F$14,COUNTIF($D109:$BK109,0),DATA!$F$14-SEKOR!BN109)</f>
        <v>0</v>
      </c>
      <c r="BP109" s="4" t="str">
        <f>IF(BL109=0,"",BN109/DATA!$F$14*100)</f>
        <v/>
      </c>
      <c r="BQ109" s="121" t="str">
        <f t="shared" si="3"/>
        <v/>
      </c>
      <c r="BR109" s="2" t="str">
        <f>IF(Praktik!$E109=0,"",Praktik!$E109)</f>
        <v/>
      </c>
      <c r="BS109" s="2" t="str">
        <f>IF(BR109="","",(BP109*DATAINFO!$O$4)+(SEKOR!BR109*DATAINFO!$O$5)/(DATAINFO!$O$4+DATAINFO!$O$5))</f>
        <v/>
      </c>
      <c r="BT109" s="2" t="str">
        <f>IF(BL109=0,"",IF(DATA!$F$18="TIDAK",ROUNDUP((IF!$L$8*SEKOR!$BP109)+IF!$L$9,0),IF($BR109="","",ROUNDUP((IF!$L$20*$BS109)+IF!$L$21,0))))</f>
        <v/>
      </c>
      <c r="BU109" s="47" t="str">
        <f>IF(BP109="","",IF(SEKOR!BP109&gt;=DATA!$J$12,1,0))</f>
        <v/>
      </c>
      <c r="BV109" s="47" t="str">
        <f>IF(BQ109="","",IF(SEKOR!BQ109&gt;=DATA!$J$12,1,0))</f>
        <v/>
      </c>
      <c r="BW109" s="47" t="str">
        <f>IF(BR109="","",IF(SEKOR!BR109&gt;=DATA!$J$12,1,0))</f>
        <v/>
      </c>
      <c r="BX109" s="47" t="str">
        <f>IF(BT109="","",IF(DATA!$J$14="",IF(SEKOR!BT109&gt;=DATA!$J$12,1,0),IF(SEKOR!BT109&gt;=DATA!$J$14,1,0)))</f>
        <v/>
      </c>
    </row>
    <row r="110" spans="1:76" x14ac:dyDescent="0.25">
      <c r="A110" s="20" t="s">
        <v>137</v>
      </c>
      <c r="B110" s="21" t="str">
        <f>IF(Ujian!B117="","",Ujian!B117)</f>
        <v/>
      </c>
      <c r="C110" s="57" t="str">
        <f>IF(Ujian!C117="","",Ujian!C117)</f>
        <v/>
      </c>
      <c r="D110" s="125" t="str">
        <f>IF(Ujian!D117="","",IF(LEFT(Ujian!D117,1)=SEKOR!D$2,1,0))</f>
        <v/>
      </c>
      <c r="E110" s="125" t="str">
        <f>IF(Ujian!E117="","",IF(LEFT(Ujian!E117,1)=SEKOR!E$2,1,0))</f>
        <v/>
      </c>
      <c r="F110" s="125" t="str">
        <f>IF(Ujian!F117="","",IF(LEFT(Ujian!F117,1)=SEKOR!F$2,1,0))</f>
        <v/>
      </c>
      <c r="G110" s="125" t="str">
        <f>IF(Ujian!G117="","",IF(LEFT(Ujian!G117,1)=SEKOR!G$2,1,0))</f>
        <v/>
      </c>
      <c r="H110" s="125" t="str">
        <f>IF(Ujian!H117="","",IF(LEFT(Ujian!H117,1)=SEKOR!H$2,1,0))</f>
        <v/>
      </c>
      <c r="I110" s="125" t="str">
        <f>IF(Ujian!I117="","",IF(LEFT(Ujian!I117,1)=SEKOR!I$2,1,0))</f>
        <v/>
      </c>
      <c r="J110" s="125" t="str">
        <f>IF(Ujian!J117="","",IF(LEFT(Ujian!J117,1)=SEKOR!J$2,1,0))</f>
        <v/>
      </c>
      <c r="K110" s="125" t="str">
        <f>IF(Ujian!K117="","",IF(LEFT(Ujian!K117,1)=SEKOR!K$2,1,0))</f>
        <v/>
      </c>
      <c r="L110" s="125" t="str">
        <f>IF(Ujian!L117="","",IF(LEFT(Ujian!L117,1)=SEKOR!L$2,1,0))</f>
        <v/>
      </c>
      <c r="M110" s="125" t="str">
        <f>IF(Ujian!M117="","",IF(LEFT(Ujian!M117,1)=SEKOR!M$2,1,0))</f>
        <v/>
      </c>
      <c r="N110" s="125" t="str">
        <f>IF(Ujian!N117="","",IF(LEFT(Ujian!N117,1)=SEKOR!N$2,1,0))</f>
        <v/>
      </c>
      <c r="O110" s="125" t="str">
        <f>IF(Ujian!O117="","",IF(LEFT(Ujian!O117,1)=SEKOR!O$2,1,0))</f>
        <v/>
      </c>
      <c r="P110" s="125" t="str">
        <f>IF(Ujian!P117="","",IF(LEFT(Ujian!P117,1)=SEKOR!P$2,1,0))</f>
        <v/>
      </c>
      <c r="Q110" s="125" t="str">
        <f>IF(Ujian!Q117="","",IF(LEFT(Ujian!Q117,1)=SEKOR!Q$2,1,0))</f>
        <v/>
      </c>
      <c r="R110" s="125" t="str">
        <f>IF(Ujian!R117="","",IF(LEFT(Ujian!R117,1)=SEKOR!R$2,1,0))</f>
        <v/>
      </c>
      <c r="S110" s="125" t="str">
        <f>IF(Ujian!S117="","",IF(LEFT(Ujian!S117,1)=SEKOR!S$2,1,0))</f>
        <v/>
      </c>
      <c r="T110" s="125" t="str">
        <f>IF(Ujian!T117="","",IF(LEFT(Ujian!T117,1)=SEKOR!T$2,1,0))</f>
        <v/>
      </c>
      <c r="U110" s="125" t="str">
        <f>IF(Ujian!U117="","",IF(LEFT(Ujian!U117,1)=SEKOR!U$2,1,0))</f>
        <v/>
      </c>
      <c r="V110" s="125" t="str">
        <f>IF(Ujian!V117="","",IF(LEFT(Ujian!V117,1)=SEKOR!V$2,1,0))</f>
        <v/>
      </c>
      <c r="W110" s="125" t="str">
        <f>IF(Ujian!W117="","",IF(LEFT(Ujian!W117,1)=SEKOR!W$2,1,0))</f>
        <v/>
      </c>
      <c r="X110" s="125" t="str">
        <f>IF(Ujian!X117="","",IF(LEFT(Ujian!X117,1)=SEKOR!X$2,1,0))</f>
        <v/>
      </c>
      <c r="Y110" s="125" t="str">
        <f>IF(Ujian!Y117="","",IF(LEFT(Ujian!Y117,1)=SEKOR!Y$2,1,0))</f>
        <v/>
      </c>
      <c r="Z110" s="125" t="str">
        <f>IF(Ujian!Z117="","",IF(LEFT(Ujian!Z117,1)=SEKOR!Z$2,1,0))</f>
        <v/>
      </c>
      <c r="AA110" s="125" t="str">
        <f>IF(Ujian!AA117="","",IF(LEFT(Ujian!AA117,1)=SEKOR!AA$2,1,0))</f>
        <v/>
      </c>
      <c r="AB110" s="125" t="str">
        <f>IF(Ujian!AB117="","",IF(LEFT(Ujian!AB117,1)=SEKOR!AB$2,1,0))</f>
        <v/>
      </c>
      <c r="AC110" s="125" t="str">
        <f>IF(Ujian!AC117="","",IF(LEFT(Ujian!AC117,1)=SEKOR!AC$2,1,0))</f>
        <v/>
      </c>
      <c r="AD110" s="125" t="str">
        <f>IF(Ujian!AD117="","",IF(LEFT(Ujian!AD117,1)=SEKOR!AD$2,1,0))</f>
        <v/>
      </c>
      <c r="AE110" s="125" t="str">
        <f>IF(Ujian!AE117="","",IF(LEFT(Ujian!AE117,1)=SEKOR!AE$2,1,0))</f>
        <v/>
      </c>
      <c r="AF110" s="125" t="str">
        <f>IF(Ujian!AF117="","",IF(LEFT(Ujian!AF117,1)=SEKOR!AF$2,1,0))</f>
        <v/>
      </c>
      <c r="AG110" s="125" t="str">
        <f>IF(Ujian!AG117="","",IF(LEFT(Ujian!AG117,1)=SEKOR!AG$2,1,0))</f>
        <v/>
      </c>
      <c r="AH110" s="125" t="str">
        <f>IF(Ujian!AH117="","",IF(LEFT(Ujian!AH117,1)=SEKOR!AH$2,1,0))</f>
        <v/>
      </c>
      <c r="AI110" s="125" t="str">
        <f>IF(Ujian!AI117="","",IF(LEFT(Ujian!AI117,1)=SEKOR!AI$2,1,0))</f>
        <v/>
      </c>
      <c r="AJ110" s="125" t="str">
        <f>IF(Ujian!AJ117="","",IF(LEFT(Ujian!AJ117,1)=SEKOR!AJ$2,1,0))</f>
        <v/>
      </c>
      <c r="AK110" s="125" t="str">
        <f>IF(Ujian!AK117="","",IF(LEFT(Ujian!AK117,1)=SEKOR!AK$2,1,0))</f>
        <v/>
      </c>
      <c r="AL110" s="125" t="str">
        <f>IF(Ujian!AL117="","",IF(LEFT(Ujian!AL117,1)=SEKOR!AL$2,1,0))</f>
        <v/>
      </c>
      <c r="AM110" s="125" t="str">
        <f>IF(Ujian!AM117="","",IF(LEFT(Ujian!AM117,1)=SEKOR!AM$2,1,0))</f>
        <v/>
      </c>
      <c r="AN110" s="125" t="str">
        <f>IF(Ujian!AN117="","",IF(LEFT(Ujian!AN117,1)=SEKOR!AN$2,1,0))</f>
        <v/>
      </c>
      <c r="AO110" s="125" t="str">
        <f>IF(Ujian!AO117="","",IF(LEFT(Ujian!AO117,1)=SEKOR!AO$2,1,0))</f>
        <v/>
      </c>
      <c r="AP110" s="125" t="str">
        <f>IF(Ujian!AP117="","",IF(LEFT(Ujian!AP117,1)=SEKOR!AP$2,1,0))</f>
        <v/>
      </c>
      <c r="AQ110" s="125" t="str">
        <f>IF(Ujian!AQ117="","",IF(LEFT(Ujian!AQ117,1)=SEKOR!AQ$2,1,0))</f>
        <v/>
      </c>
      <c r="AR110" s="125" t="str">
        <f>IF(Ujian!AR117="","",IF(LEFT(Ujian!AR117,1)=SEKOR!AR$2,1,0))</f>
        <v/>
      </c>
      <c r="AS110" s="125" t="str">
        <f>IF(Ujian!AS117="","",IF(LEFT(Ujian!AS117,1)=SEKOR!AS$2,1,0))</f>
        <v/>
      </c>
      <c r="AT110" s="125" t="str">
        <f>IF(Ujian!AT117="","",IF(LEFT(Ujian!AT117,1)=SEKOR!AT$2,1,0))</f>
        <v/>
      </c>
      <c r="AU110" s="125" t="str">
        <f>IF(Ujian!AU117="","",IF(LEFT(Ujian!AU117,1)=SEKOR!AU$2,1,0))</f>
        <v/>
      </c>
      <c r="AV110" s="125" t="str">
        <f>IF(Ujian!AV117="","",IF(LEFT(Ujian!AV117,1)=SEKOR!AV$2,1,0))</f>
        <v/>
      </c>
      <c r="AW110" s="125" t="str">
        <f>IF(Ujian!AW117="","",IF(LEFT(Ujian!AW117,1)=SEKOR!AW$2,1,0))</f>
        <v/>
      </c>
      <c r="AX110" s="125" t="str">
        <f>IF(Ujian!AX117="","",IF(LEFT(Ujian!AX117,1)=SEKOR!AX$2,1,0))</f>
        <v/>
      </c>
      <c r="AY110" s="125" t="str">
        <f>IF(Ujian!AY117="","",IF(LEFT(Ujian!AY117,1)=SEKOR!AY$2,1,0))</f>
        <v/>
      </c>
      <c r="AZ110" s="125" t="str">
        <f>IF(Ujian!AZ117="","",IF(LEFT(Ujian!AZ117,1)=SEKOR!AZ$2,1,0))</f>
        <v/>
      </c>
      <c r="BA110" s="125" t="str">
        <f>IF(Ujian!BA117="","",IF(LEFT(Ujian!BA117,1)=SEKOR!BA$2,1,0))</f>
        <v/>
      </c>
      <c r="BB110" s="125" t="str">
        <f>IF(Ujian!BB117="","",IF(LEFT(Ujian!BB117,1)=SEKOR!BB$2,1,0))</f>
        <v/>
      </c>
      <c r="BC110" s="125" t="str">
        <f>IF(Ujian!BC117="","",IF(LEFT(Ujian!BC117,1)=SEKOR!BC$2,1,0))</f>
        <v/>
      </c>
      <c r="BD110" s="125" t="str">
        <f>IF(Ujian!BD117="","",IF(LEFT(Ujian!BD117,1)=SEKOR!BD$2,1,0))</f>
        <v/>
      </c>
      <c r="BE110" s="125" t="str">
        <f>IF(Ujian!BE117="","",IF(LEFT(Ujian!BE117,1)=SEKOR!BE$2,1,0))</f>
        <v/>
      </c>
      <c r="BF110" s="125" t="str">
        <f>IF(Ujian!BF117="","",IF(LEFT(Ujian!BF117,1)=SEKOR!BF$2,1,0))</f>
        <v/>
      </c>
      <c r="BG110" s="125" t="str">
        <f>IF(Ujian!BG117="","",IF(LEFT(Ujian!BG117,1)=SEKOR!BG$2,1,0))</f>
        <v/>
      </c>
      <c r="BH110" s="125" t="str">
        <f>IF(Ujian!BH117="","",IF(LEFT(Ujian!BH117,1)=SEKOR!BH$2,1,0))</f>
        <v/>
      </c>
      <c r="BI110" s="125" t="str">
        <f>IF(Ujian!BI117="","",IF(LEFT(Ujian!BI117,1)=SEKOR!BI$2,1,0))</f>
        <v/>
      </c>
      <c r="BJ110" s="125" t="str">
        <f>IF(Ujian!BJ117="","",IF(LEFT(Ujian!BJ117,1)=SEKOR!BJ$2,1,0))</f>
        <v/>
      </c>
      <c r="BK110" s="125" t="str">
        <f>IF(Ujian!BK117="","",IF(LEFT(Ujian!BK117,1)=SEKOR!BK$2,1,0))</f>
        <v/>
      </c>
      <c r="BL110" s="18">
        <f t="shared" si="2"/>
        <v>0</v>
      </c>
      <c r="BM110" s="18">
        <f>COUNTIF($D110:$BK110,"")+DATA!$F$14-DATA!$F$12</f>
        <v>60</v>
      </c>
      <c r="BN110" s="17">
        <f>IF(COUNTIF($D110:$BK110,1)&gt;DATA!$F$14,DATA!$F$14,COUNTIF($D110:$BK110,1))</f>
        <v>0</v>
      </c>
      <c r="BO110" s="17">
        <f>IF((BN110+COUNTIF($D110:$BK110,0))&lt;=DATA!$F$14,COUNTIF($D110:$BK110,0),DATA!$F$14-SEKOR!BN110)</f>
        <v>0</v>
      </c>
      <c r="BP110" s="4" t="str">
        <f>IF(BL110=0,"",BN110/DATA!$F$14*100)</f>
        <v/>
      </c>
      <c r="BQ110" s="121" t="str">
        <f t="shared" si="3"/>
        <v/>
      </c>
      <c r="BR110" s="2" t="str">
        <f>IF(Praktik!$E110=0,"",Praktik!$E110)</f>
        <v/>
      </c>
      <c r="BS110" s="2" t="str">
        <f>IF(BR110="","",(BP110*DATAINFO!$O$4)+(SEKOR!BR110*DATAINFO!$O$5)/(DATAINFO!$O$4+DATAINFO!$O$5))</f>
        <v/>
      </c>
      <c r="BT110" s="2" t="str">
        <f>IF(BL110=0,"",IF(DATA!$F$18="TIDAK",ROUNDUP((IF!$L$8*SEKOR!$BP110)+IF!$L$9,0),IF($BR110="","",ROUNDUP((IF!$L$20*$BS110)+IF!$L$21,0))))</f>
        <v/>
      </c>
      <c r="BU110" s="47" t="str">
        <f>IF(BP110="","",IF(SEKOR!BP110&gt;=DATA!$J$12,1,0))</f>
        <v/>
      </c>
      <c r="BV110" s="47" t="str">
        <f>IF(BQ110="","",IF(SEKOR!BQ110&gt;=DATA!$J$12,1,0))</f>
        <v/>
      </c>
      <c r="BW110" s="47" t="str">
        <f>IF(BR110="","",IF(SEKOR!BR110&gt;=DATA!$J$12,1,0))</f>
        <v/>
      </c>
      <c r="BX110" s="47" t="str">
        <f>IF(BT110="","",IF(DATA!$J$14="",IF(SEKOR!BT110&gt;=DATA!$J$12,1,0),IF(SEKOR!BT110&gt;=DATA!$J$14,1,0)))</f>
        <v/>
      </c>
    </row>
    <row r="111" spans="1:76" x14ac:dyDescent="0.25">
      <c r="A111" s="20" t="s">
        <v>138</v>
      </c>
      <c r="B111" s="21" t="str">
        <f>IF(Ujian!B118="","",Ujian!B118)</f>
        <v/>
      </c>
      <c r="C111" s="57" t="str">
        <f>IF(Ujian!C118="","",Ujian!C118)</f>
        <v/>
      </c>
      <c r="D111" s="125" t="str">
        <f>IF(Ujian!D118="","",IF(LEFT(Ujian!D118,1)=SEKOR!D$2,1,0))</f>
        <v/>
      </c>
      <c r="E111" s="125" t="str">
        <f>IF(Ujian!E118="","",IF(LEFT(Ujian!E118,1)=SEKOR!E$2,1,0))</f>
        <v/>
      </c>
      <c r="F111" s="125" t="str">
        <f>IF(Ujian!F118="","",IF(LEFT(Ujian!F118,1)=SEKOR!F$2,1,0))</f>
        <v/>
      </c>
      <c r="G111" s="125" t="str">
        <f>IF(Ujian!G118="","",IF(LEFT(Ujian!G118,1)=SEKOR!G$2,1,0))</f>
        <v/>
      </c>
      <c r="H111" s="125" t="str">
        <f>IF(Ujian!H118="","",IF(LEFT(Ujian!H118,1)=SEKOR!H$2,1,0))</f>
        <v/>
      </c>
      <c r="I111" s="125" t="str">
        <f>IF(Ujian!I118="","",IF(LEFT(Ujian!I118,1)=SEKOR!I$2,1,0))</f>
        <v/>
      </c>
      <c r="J111" s="125" t="str">
        <f>IF(Ujian!J118="","",IF(LEFT(Ujian!J118,1)=SEKOR!J$2,1,0))</f>
        <v/>
      </c>
      <c r="K111" s="125" t="str">
        <f>IF(Ujian!K118="","",IF(LEFT(Ujian!K118,1)=SEKOR!K$2,1,0))</f>
        <v/>
      </c>
      <c r="L111" s="125" t="str">
        <f>IF(Ujian!L118="","",IF(LEFT(Ujian!L118,1)=SEKOR!L$2,1,0))</f>
        <v/>
      </c>
      <c r="M111" s="125" t="str">
        <f>IF(Ujian!M118="","",IF(LEFT(Ujian!M118,1)=SEKOR!M$2,1,0))</f>
        <v/>
      </c>
      <c r="N111" s="125" t="str">
        <f>IF(Ujian!N118="","",IF(LEFT(Ujian!N118,1)=SEKOR!N$2,1,0))</f>
        <v/>
      </c>
      <c r="O111" s="125" t="str">
        <f>IF(Ujian!O118="","",IF(LEFT(Ujian!O118,1)=SEKOR!O$2,1,0))</f>
        <v/>
      </c>
      <c r="P111" s="125" t="str">
        <f>IF(Ujian!P118="","",IF(LEFT(Ujian!P118,1)=SEKOR!P$2,1,0))</f>
        <v/>
      </c>
      <c r="Q111" s="125" t="str">
        <f>IF(Ujian!Q118="","",IF(LEFT(Ujian!Q118,1)=SEKOR!Q$2,1,0))</f>
        <v/>
      </c>
      <c r="R111" s="125" t="str">
        <f>IF(Ujian!R118="","",IF(LEFT(Ujian!R118,1)=SEKOR!R$2,1,0))</f>
        <v/>
      </c>
      <c r="S111" s="125" t="str">
        <f>IF(Ujian!S118="","",IF(LEFT(Ujian!S118,1)=SEKOR!S$2,1,0))</f>
        <v/>
      </c>
      <c r="T111" s="125" t="str">
        <f>IF(Ujian!T118="","",IF(LEFT(Ujian!T118,1)=SEKOR!T$2,1,0))</f>
        <v/>
      </c>
      <c r="U111" s="125" t="str">
        <f>IF(Ujian!U118="","",IF(LEFT(Ujian!U118,1)=SEKOR!U$2,1,0))</f>
        <v/>
      </c>
      <c r="V111" s="125" t="str">
        <f>IF(Ujian!V118="","",IF(LEFT(Ujian!V118,1)=SEKOR!V$2,1,0))</f>
        <v/>
      </c>
      <c r="W111" s="125" t="str">
        <f>IF(Ujian!W118="","",IF(LEFT(Ujian!W118,1)=SEKOR!W$2,1,0))</f>
        <v/>
      </c>
      <c r="X111" s="125" t="str">
        <f>IF(Ujian!X118="","",IF(LEFT(Ujian!X118,1)=SEKOR!X$2,1,0))</f>
        <v/>
      </c>
      <c r="Y111" s="125" t="str">
        <f>IF(Ujian!Y118="","",IF(LEFT(Ujian!Y118,1)=SEKOR!Y$2,1,0))</f>
        <v/>
      </c>
      <c r="Z111" s="125" t="str">
        <f>IF(Ujian!Z118="","",IF(LEFT(Ujian!Z118,1)=SEKOR!Z$2,1,0))</f>
        <v/>
      </c>
      <c r="AA111" s="125" t="str">
        <f>IF(Ujian!AA118="","",IF(LEFT(Ujian!AA118,1)=SEKOR!AA$2,1,0))</f>
        <v/>
      </c>
      <c r="AB111" s="125" t="str">
        <f>IF(Ujian!AB118="","",IF(LEFT(Ujian!AB118,1)=SEKOR!AB$2,1,0))</f>
        <v/>
      </c>
      <c r="AC111" s="125" t="str">
        <f>IF(Ujian!AC118="","",IF(LEFT(Ujian!AC118,1)=SEKOR!AC$2,1,0))</f>
        <v/>
      </c>
      <c r="AD111" s="125" t="str">
        <f>IF(Ujian!AD118="","",IF(LEFT(Ujian!AD118,1)=SEKOR!AD$2,1,0))</f>
        <v/>
      </c>
      <c r="AE111" s="125" t="str">
        <f>IF(Ujian!AE118="","",IF(LEFT(Ujian!AE118,1)=SEKOR!AE$2,1,0))</f>
        <v/>
      </c>
      <c r="AF111" s="125" t="str">
        <f>IF(Ujian!AF118="","",IF(LEFT(Ujian!AF118,1)=SEKOR!AF$2,1,0))</f>
        <v/>
      </c>
      <c r="AG111" s="125" t="str">
        <f>IF(Ujian!AG118="","",IF(LEFT(Ujian!AG118,1)=SEKOR!AG$2,1,0))</f>
        <v/>
      </c>
      <c r="AH111" s="125" t="str">
        <f>IF(Ujian!AH118="","",IF(LEFT(Ujian!AH118,1)=SEKOR!AH$2,1,0))</f>
        <v/>
      </c>
      <c r="AI111" s="125" t="str">
        <f>IF(Ujian!AI118="","",IF(LEFT(Ujian!AI118,1)=SEKOR!AI$2,1,0))</f>
        <v/>
      </c>
      <c r="AJ111" s="125" t="str">
        <f>IF(Ujian!AJ118="","",IF(LEFT(Ujian!AJ118,1)=SEKOR!AJ$2,1,0))</f>
        <v/>
      </c>
      <c r="AK111" s="125" t="str">
        <f>IF(Ujian!AK118="","",IF(LEFT(Ujian!AK118,1)=SEKOR!AK$2,1,0))</f>
        <v/>
      </c>
      <c r="AL111" s="125" t="str">
        <f>IF(Ujian!AL118="","",IF(LEFT(Ujian!AL118,1)=SEKOR!AL$2,1,0))</f>
        <v/>
      </c>
      <c r="AM111" s="125" t="str">
        <f>IF(Ujian!AM118="","",IF(LEFT(Ujian!AM118,1)=SEKOR!AM$2,1,0))</f>
        <v/>
      </c>
      <c r="AN111" s="125" t="str">
        <f>IF(Ujian!AN118="","",IF(LEFT(Ujian!AN118,1)=SEKOR!AN$2,1,0))</f>
        <v/>
      </c>
      <c r="AO111" s="125" t="str">
        <f>IF(Ujian!AO118="","",IF(LEFT(Ujian!AO118,1)=SEKOR!AO$2,1,0))</f>
        <v/>
      </c>
      <c r="AP111" s="125" t="str">
        <f>IF(Ujian!AP118="","",IF(LEFT(Ujian!AP118,1)=SEKOR!AP$2,1,0))</f>
        <v/>
      </c>
      <c r="AQ111" s="125" t="str">
        <f>IF(Ujian!AQ118="","",IF(LEFT(Ujian!AQ118,1)=SEKOR!AQ$2,1,0))</f>
        <v/>
      </c>
      <c r="AR111" s="125" t="str">
        <f>IF(Ujian!AR118="","",IF(LEFT(Ujian!AR118,1)=SEKOR!AR$2,1,0))</f>
        <v/>
      </c>
      <c r="AS111" s="125" t="str">
        <f>IF(Ujian!AS118="","",IF(LEFT(Ujian!AS118,1)=SEKOR!AS$2,1,0))</f>
        <v/>
      </c>
      <c r="AT111" s="125" t="str">
        <f>IF(Ujian!AT118="","",IF(LEFT(Ujian!AT118,1)=SEKOR!AT$2,1,0))</f>
        <v/>
      </c>
      <c r="AU111" s="125" t="str">
        <f>IF(Ujian!AU118="","",IF(LEFT(Ujian!AU118,1)=SEKOR!AU$2,1,0))</f>
        <v/>
      </c>
      <c r="AV111" s="125" t="str">
        <f>IF(Ujian!AV118="","",IF(LEFT(Ujian!AV118,1)=SEKOR!AV$2,1,0))</f>
        <v/>
      </c>
      <c r="AW111" s="125" t="str">
        <f>IF(Ujian!AW118="","",IF(LEFT(Ujian!AW118,1)=SEKOR!AW$2,1,0))</f>
        <v/>
      </c>
      <c r="AX111" s="125" t="str">
        <f>IF(Ujian!AX118="","",IF(LEFT(Ujian!AX118,1)=SEKOR!AX$2,1,0))</f>
        <v/>
      </c>
      <c r="AY111" s="125" t="str">
        <f>IF(Ujian!AY118="","",IF(LEFT(Ujian!AY118,1)=SEKOR!AY$2,1,0))</f>
        <v/>
      </c>
      <c r="AZ111" s="125" t="str">
        <f>IF(Ujian!AZ118="","",IF(LEFT(Ujian!AZ118,1)=SEKOR!AZ$2,1,0))</f>
        <v/>
      </c>
      <c r="BA111" s="125" t="str">
        <f>IF(Ujian!BA118="","",IF(LEFT(Ujian!BA118,1)=SEKOR!BA$2,1,0))</f>
        <v/>
      </c>
      <c r="BB111" s="125" t="str">
        <f>IF(Ujian!BB118="","",IF(LEFT(Ujian!BB118,1)=SEKOR!BB$2,1,0))</f>
        <v/>
      </c>
      <c r="BC111" s="125" t="str">
        <f>IF(Ujian!BC118="","",IF(LEFT(Ujian!BC118,1)=SEKOR!BC$2,1,0))</f>
        <v/>
      </c>
      <c r="BD111" s="125" t="str">
        <f>IF(Ujian!BD118="","",IF(LEFT(Ujian!BD118,1)=SEKOR!BD$2,1,0))</f>
        <v/>
      </c>
      <c r="BE111" s="125" t="str">
        <f>IF(Ujian!BE118="","",IF(LEFT(Ujian!BE118,1)=SEKOR!BE$2,1,0))</f>
        <v/>
      </c>
      <c r="BF111" s="125" t="str">
        <f>IF(Ujian!BF118="","",IF(LEFT(Ujian!BF118,1)=SEKOR!BF$2,1,0))</f>
        <v/>
      </c>
      <c r="BG111" s="125" t="str">
        <f>IF(Ujian!BG118="","",IF(LEFT(Ujian!BG118,1)=SEKOR!BG$2,1,0))</f>
        <v/>
      </c>
      <c r="BH111" s="125" t="str">
        <f>IF(Ujian!BH118="","",IF(LEFT(Ujian!BH118,1)=SEKOR!BH$2,1,0))</f>
        <v/>
      </c>
      <c r="BI111" s="125" t="str">
        <f>IF(Ujian!BI118="","",IF(LEFT(Ujian!BI118,1)=SEKOR!BI$2,1,0))</f>
        <v/>
      </c>
      <c r="BJ111" s="125" t="str">
        <f>IF(Ujian!BJ118="","",IF(LEFT(Ujian!BJ118,1)=SEKOR!BJ$2,1,0))</f>
        <v/>
      </c>
      <c r="BK111" s="125" t="str">
        <f>IF(Ujian!BK118="","",IF(LEFT(Ujian!BK118,1)=SEKOR!BK$2,1,0))</f>
        <v/>
      </c>
      <c r="BL111" s="18">
        <f t="shared" si="2"/>
        <v>0</v>
      </c>
      <c r="BM111" s="18">
        <f>COUNTIF($D111:$BK111,"")+DATA!$F$14-DATA!$F$12</f>
        <v>60</v>
      </c>
      <c r="BN111" s="17">
        <f>IF(COUNTIF($D111:$BK111,1)&gt;DATA!$F$14,DATA!$F$14,COUNTIF($D111:$BK111,1))</f>
        <v>0</v>
      </c>
      <c r="BO111" s="17">
        <f>IF((BN111+COUNTIF($D111:$BK111,0))&lt;=DATA!$F$14,COUNTIF($D111:$BK111,0),DATA!$F$14-SEKOR!BN111)</f>
        <v>0</v>
      </c>
      <c r="BP111" s="4" t="str">
        <f>IF(BL111=0,"",BN111/DATA!$F$14*100)</f>
        <v/>
      </c>
      <c r="BQ111" s="121" t="str">
        <f t="shared" si="3"/>
        <v/>
      </c>
      <c r="BR111" s="2" t="str">
        <f>IF(Praktik!$E111=0,"",Praktik!$E111)</f>
        <v/>
      </c>
      <c r="BS111" s="2" t="str">
        <f>IF(BR111="","",(BP111*DATAINFO!$O$4)+(SEKOR!BR111*DATAINFO!$O$5)/(DATAINFO!$O$4+DATAINFO!$O$5))</f>
        <v/>
      </c>
      <c r="BT111" s="2" t="str">
        <f>IF(BL111=0,"",IF(DATA!$F$18="TIDAK",ROUNDUP((IF!$L$8*SEKOR!$BP111)+IF!$L$9,0),IF($BR111="","",ROUNDUP((IF!$L$20*$BS111)+IF!$L$21,0))))</f>
        <v/>
      </c>
      <c r="BU111" s="47" t="str">
        <f>IF(BP111="","",IF(SEKOR!BP111&gt;=DATA!$J$12,1,0))</f>
        <v/>
      </c>
      <c r="BV111" s="47" t="str">
        <f>IF(BQ111="","",IF(SEKOR!BQ111&gt;=DATA!$J$12,1,0))</f>
        <v/>
      </c>
      <c r="BW111" s="47" t="str">
        <f>IF(BR111="","",IF(SEKOR!BR111&gt;=DATA!$J$12,1,0))</f>
        <v/>
      </c>
      <c r="BX111" s="47" t="str">
        <f>IF(BT111="","",IF(DATA!$J$14="",IF(SEKOR!BT111&gt;=DATA!$J$12,1,0),IF(SEKOR!BT111&gt;=DATA!$J$14,1,0)))</f>
        <v/>
      </c>
    </row>
    <row r="112" spans="1:76" x14ac:dyDescent="0.25">
      <c r="A112" s="20" t="s">
        <v>139</v>
      </c>
      <c r="B112" s="21" t="str">
        <f>IF(Ujian!B119="","",Ujian!B119)</f>
        <v/>
      </c>
      <c r="C112" s="57" t="str">
        <f>IF(Ujian!C119="","",Ujian!C119)</f>
        <v/>
      </c>
      <c r="D112" s="125" t="str">
        <f>IF(Ujian!D119="","",IF(LEFT(Ujian!D119,1)=SEKOR!D$2,1,0))</f>
        <v/>
      </c>
      <c r="E112" s="125" t="str">
        <f>IF(Ujian!E119="","",IF(LEFT(Ujian!E119,1)=SEKOR!E$2,1,0))</f>
        <v/>
      </c>
      <c r="F112" s="125" t="str">
        <f>IF(Ujian!F119="","",IF(LEFT(Ujian!F119,1)=SEKOR!F$2,1,0))</f>
        <v/>
      </c>
      <c r="G112" s="125" t="str">
        <f>IF(Ujian!G119="","",IF(LEFT(Ujian!G119,1)=SEKOR!G$2,1,0))</f>
        <v/>
      </c>
      <c r="H112" s="125" t="str">
        <f>IF(Ujian!H119="","",IF(LEFT(Ujian!H119,1)=SEKOR!H$2,1,0))</f>
        <v/>
      </c>
      <c r="I112" s="125" t="str">
        <f>IF(Ujian!I119="","",IF(LEFT(Ujian!I119,1)=SEKOR!I$2,1,0))</f>
        <v/>
      </c>
      <c r="J112" s="125" t="str">
        <f>IF(Ujian!J119="","",IF(LEFT(Ujian!J119,1)=SEKOR!J$2,1,0))</f>
        <v/>
      </c>
      <c r="K112" s="125" t="str">
        <f>IF(Ujian!K119="","",IF(LEFT(Ujian!K119,1)=SEKOR!K$2,1,0))</f>
        <v/>
      </c>
      <c r="L112" s="125" t="str">
        <f>IF(Ujian!L119="","",IF(LEFT(Ujian!L119,1)=SEKOR!L$2,1,0))</f>
        <v/>
      </c>
      <c r="M112" s="125" t="str">
        <f>IF(Ujian!M119="","",IF(LEFT(Ujian!M119,1)=SEKOR!M$2,1,0))</f>
        <v/>
      </c>
      <c r="N112" s="125" t="str">
        <f>IF(Ujian!N119="","",IF(LEFT(Ujian!N119,1)=SEKOR!N$2,1,0))</f>
        <v/>
      </c>
      <c r="O112" s="125" t="str">
        <f>IF(Ujian!O119="","",IF(LEFT(Ujian!O119,1)=SEKOR!O$2,1,0))</f>
        <v/>
      </c>
      <c r="P112" s="125" t="str">
        <f>IF(Ujian!P119="","",IF(LEFT(Ujian!P119,1)=SEKOR!P$2,1,0))</f>
        <v/>
      </c>
      <c r="Q112" s="125" t="str">
        <f>IF(Ujian!Q119="","",IF(LEFT(Ujian!Q119,1)=SEKOR!Q$2,1,0))</f>
        <v/>
      </c>
      <c r="R112" s="125" t="str">
        <f>IF(Ujian!R119="","",IF(LEFT(Ujian!R119,1)=SEKOR!R$2,1,0))</f>
        <v/>
      </c>
      <c r="S112" s="125" t="str">
        <f>IF(Ujian!S119="","",IF(LEFT(Ujian!S119,1)=SEKOR!S$2,1,0))</f>
        <v/>
      </c>
      <c r="T112" s="125" t="str">
        <f>IF(Ujian!T119="","",IF(LEFT(Ujian!T119,1)=SEKOR!T$2,1,0))</f>
        <v/>
      </c>
      <c r="U112" s="125" t="str">
        <f>IF(Ujian!U119="","",IF(LEFT(Ujian!U119,1)=SEKOR!U$2,1,0))</f>
        <v/>
      </c>
      <c r="V112" s="125" t="str">
        <f>IF(Ujian!V119="","",IF(LEFT(Ujian!V119,1)=SEKOR!V$2,1,0))</f>
        <v/>
      </c>
      <c r="W112" s="125" t="str">
        <f>IF(Ujian!W119="","",IF(LEFT(Ujian!W119,1)=SEKOR!W$2,1,0))</f>
        <v/>
      </c>
      <c r="X112" s="125" t="str">
        <f>IF(Ujian!X119="","",IF(LEFT(Ujian!X119,1)=SEKOR!X$2,1,0))</f>
        <v/>
      </c>
      <c r="Y112" s="125" t="str">
        <f>IF(Ujian!Y119="","",IF(LEFT(Ujian!Y119,1)=SEKOR!Y$2,1,0))</f>
        <v/>
      </c>
      <c r="Z112" s="125" t="str">
        <f>IF(Ujian!Z119="","",IF(LEFT(Ujian!Z119,1)=SEKOR!Z$2,1,0))</f>
        <v/>
      </c>
      <c r="AA112" s="125" t="str">
        <f>IF(Ujian!AA119="","",IF(LEFT(Ujian!AA119,1)=SEKOR!AA$2,1,0))</f>
        <v/>
      </c>
      <c r="AB112" s="125" t="str">
        <f>IF(Ujian!AB119="","",IF(LEFT(Ujian!AB119,1)=SEKOR!AB$2,1,0))</f>
        <v/>
      </c>
      <c r="AC112" s="125" t="str">
        <f>IF(Ujian!AC119="","",IF(LEFT(Ujian!AC119,1)=SEKOR!AC$2,1,0))</f>
        <v/>
      </c>
      <c r="AD112" s="125" t="str">
        <f>IF(Ujian!AD119="","",IF(LEFT(Ujian!AD119,1)=SEKOR!AD$2,1,0))</f>
        <v/>
      </c>
      <c r="AE112" s="125" t="str">
        <f>IF(Ujian!AE119="","",IF(LEFT(Ujian!AE119,1)=SEKOR!AE$2,1,0))</f>
        <v/>
      </c>
      <c r="AF112" s="125" t="str">
        <f>IF(Ujian!AF119="","",IF(LEFT(Ujian!AF119,1)=SEKOR!AF$2,1,0))</f>
        <v/>
      </c>
      <c r="AG112" s="125" t="str">
        <f>IF(Ujian!AG119="","",IF(LEFT(Ujian!AG119,1)=SEKOR!AG$2,1,0))</f>
        <v/>
      </c>
      <c r="AH112" s="125" t="str">
        <f>IF(Ujian!AH119="","",IF(LEFT(Ujian!AH119,1)=SEKOR!AH$2,1,0))</f>
        <v/>
      </c>
      <c r="AI112" s="125" t="str">
        <f>IF(Ujian!AI119="","",IF(LEFT(Ujian!AI119,1)=SEKOR!AI$2,1,0))</f>
        <v/>
      </c>
      <c r="AJ112" s="125" t="str">
        <f>IF(Ujian!AJ119="","",IF(LEFT(Ujian!AJ119,1)=SEKOR!AJ$2,1,0))</f>
        <v/>
      </c>
      <c r="AK112" s="125" t="str">
        <f>IF(Ujian!AK119="","",IF(LEFT(Ujian!AK119,1)=SEKOR!AK$2,1,0))</f>
        <v/>
      </c>
      <c r="AL112" s="125" t="str">
        <f>IF(Ujian!AL119="","",IF(LEFT(Ujian!AL119,1)=SEKOR!AL$2,1,0))</f>
        <v/>
      </c>
      <c r="AM112" s="125" t="str">
        <f>IF(Ujian!AM119="","",IF(LEFT(Ujian!AM119,1)=SEKOR!AM$2,1,0))</f>
        <v/>
      </c>
      <c r="AN112" s="125" t="str">
        <f>IF(Ujian!AN119="","",IF(LEFT(Ujian!AN119,1)=SEKOR!AN$2,1,0))</f>
        <v/>
      </c>
      <c r="AO112" s="125" t="str">
        <f>IF(Ujian!AO119="","",IF(LEFT(Ujian!AO119,1)=SEKOR!AO$2,1,0))</f>
        <v/>
      </c>
      <c r="AP112" s="125" t="str">
        <f>IF(Ujian!AP119="","",IF(LEFT(Ujian!AP119,1)=SEKOR!AP$2,1,0))</f>
        <v/>
      </c>
      <c r="AQ112" s="125" t="str">
        <f>IF(Ujian!AQ119="","",IF(LEFT(Ujian!AQ119,1)=SEKOR!AQ$2,1,0))</f>
        <v/>
      </c>
      <c r="AR112" s="125" t="str">
        <f>IF(Ujian!AR119="","",IF(LEFT(Ujian!AR119,1)=SEKOR!AR$2,1,0))</f>
        <v/>
      </c>
      <c r="AS112" s="125" t="str">
        <f>IF(Ujian!AS119="","",IF(LEFT(Ujian!AS119,1)=SEKOR!AS$2,1,0))</f>
        <v/>
      </c>
      <c r="AT112" s="125" t="str">
        <f>IF(Ujian!AT119="","",IF(LEFT(Ujian!AT119,1)=SEKOR!AT$2,1,0))</f>
        <v/>
      </c>
      <c r="AU112" s="125" t="str">
        <f>IF(Ujian!AU119="","",IF(LEFT(Ujian!AU119,1)=SEKOR!AU$2,1,0))</f>
        <v/>
      </c>
      <c r="AV112" s="125" t="str">
        <f>IF(Ujian!AV119="","",IF(LEFT(Ujian!AV119,1)=SEKOR!AV$2,1,0))</f>
        <v/>
      </c>
      <c r="AW112" s="125" t="str">
        <f>IF(Ujian!AW119="","",IF(LEFT(Ujian!AW119,1)=SEKOR!AW$2,1,0))</f>
        <v/>
      </c>
      <c r="AX112" s="125" t="str">
        <f>IF(Ujian!AX119="","",IF(LEFT(Ujian!AX119,1)=SEKOR!AX$2,1,0))</f>
        <v/>
      </c>
      <c r="AY112" s="125" t="str">
        <f>IF(Ujian!AY119="","",IF(LEFT(Ujian!AY119,1)=SEKOR!AY$2,1,0))</f>
        <v/>
      </c>
      <c r="AZ112" s="125" t="str">
        <f>IF(Ujian!AZ119="","",IF(LEFT(Ujian!AZ119,1)=SEKOR!AZ$2,1,0))</f>
        <v/>
      </c>
      <c r="BA112" s="125" t="str">
        <f>IF(Ujian!BA119="","",IF(LEFT(Ujian!BA119,1)=SEKOR!BA$2,1,0))</f>
        <v/>
      </c>
      <c r="BB112" s="125" t="str">
        <f>IF(Ujian!BB119="","",IF(LEFT(Ujian!BB119,1)=SEKOR!BB$2,1,0))</f>
        <v/>
      </c>
      <c r="BC112" s="125" t="str">
        <f>IF(Ujian!BC119="","",IF(LEFT(Ujian!BC119,1)=SEKOR!BC$2,1,0))</f>
        <v/>
      </c>
      <c r="BD112" s="125" t="str">
        <f>IF(Ujian!BD119="","",IF(LEFT(Ujian!BD119,1)=SEKOR!BD$2,1,0))</f>
        <v/>
      </c>
      <c r="BE112" s="125" t="str">
        <f>IF(Ujian!BE119="","",IF(LEFT(Ujian!BE119,1)=SEKOR!BE$2,1,0))</f>
        <v/>
      </c>
      <c r="BF112" s="125" t="str">
        <f>IF(Ujian!BF119="","",IF(LEFT(Ujian!BF119,1)=SEKOR!BF$2,1,0))</f>
        <v/>
      </c>
      <c r="BG112" s="125" t="str">
        <f>IF(Ujian!BG119="","",IF(LEFT(Ujian!BG119,1)=SEKOR!BG$2,1,0))</f>
        <v/>
      </c>
      <c r="BH112" s="125" t="str">
        <f>IF(Ujian!BH119="","",IF(LEFT(Ujian!BH119,1)=SEKOR!BH$2,1,0))</f>
        <v/>
      </c>
      <c r="BI112" s="125" t="str">
        <f>IF(Ujian!BI119="","",IF(LEFT(Ujian!BI119,1)=SEKOR!BI$2,1,0))</f>
        <v/>
      </c>
      <c r="BJ112" s="125" t="str">
        <f>IF(Ujian!BJ119="","",IF(LEFT(Ujian!BJ119,1)=SEKOR!BJ$2,1,0))</f>
        <v/>
      </c>
      <c r="BK112" s="125" t="str">
        <f>IF(Ujian!BK119="","",IF(LEFT(Ujian!BK119,1)=SEKOR!BK$2,1,0))</f>
        <v/>
      </c>
      <c r="BL112" s="18">
        <f t="shared" si="2"/>
        <v>0</v>
      </c>
      <c r="BM112" s="18">
        <f>COUNTIF($D112:$BK112,"")+DATA!$F$14-DATA!$F$12</f>
        <v>60</v>
      </c>
      <c r="BN112" s="17">
        <f>IF(COUNTIF($D112:$BK112,1)&gt;DATA!$F$14,DATA!$F$14,COUNTIF($D112:$BK112,1))</f>
        <v>0</v>
      </c>
      <c r="BO112" s="17">
        <f>IF((BN112+COUNTIF($D112:$BK112,0))&lt;=DATA!$F$14,COUNTIF($D112:$BK112,0),DATA!$F$14-SEKOR!BN112)</f>
        <v>0</v>
      </c>
      <c r="BP112" s="4" t="str">
        <f>IF(BL112=0,"",BN112/DATA!$F$14*100)</f>
        <v/>
      </c>
      <c r="BQ112" s="121" t="str">
        <f t="shared" si="3"/>
        <v/>
      </c>
      <c r="BR112" s="2" t="str">
        <f>IF(Praktik!$E112=0,"",Praktik!$E112)</f>
        <v/>
      </c>
      <c r="BS112" s="2" t="str">
        <f>IF(BR112="","",(BP112*DATAINFO!$O$4)+(SEKOR!BR112*DATAINFO!$O$5)/(DATAINFO!$O$4+DATAINFO!$O$5))</f>
        <v/>
      </c>
      <c r="BT112" s="2" t="str">
        <f>IF(BL112=0,"",IF(DATA!$F$18="TIDAK",ROUNDUP((IF!$L$8*SEKOR!$BP112)+IF!$L$9,0),IF($BR112="","",ROUNDUP((IF!$L$20*$BS112)+IF!$L$21,0))))</f>
        <v/>
      </c>
      <c r="BU112" s="47" t="str">
        <f>IF(BP112="","",IF(SEKOR!BP112&gt;=DATA!$J$12,1,0))</f>
        <v/>
      </c>
      <c r="BV112" s="47" t="str">
        <f>IF(BQ112="","",IF(SEKOR!BQ112&gt;=DATA!$J$12,1,0))</f>
        <v/>
      </c>
      <c r="BW112" s="47" t="str">
        <f>IF(BR112="","",IF(SEKOR!BR112&gt;=DATA!$J$12,1,0))</f>
        <v/>
      </c>
      <c r="BX112" s="47" t="str">
        <f>IF(BT112="","",IF(DATA!$J$14="",IF(SEKOR!BT112&gt;=DATA!$J$12,1,0),IF(SEKOR!BT112&gt;=DATA!$J$14,1,0)))</f>
        <v/>
      </c>
    </row>
    <row r="113" spans="1:76" x14ac:dyDescent="0.25">
      <c r="A113" s="20" t="s">
        <v>140</v>
      </c>
      <c r="B113" s="21" t="str">
        <f>IF(Ujian!B120="","",Ujian!B120)</f>
        <v/>
      </c>
      <c r="C113" s="57" t="str">
        <f>IF(Ujian!C120="","",Ujian!C120)</f>
        <v/>
      </c>
      <c r="D113" s="125" t="str">
        <f>IF(Ujian!D120="","",IF(LEFT(Ujian!D120,1)=SEKOR!D$2,1,0))</f>
        <v/>
      </c>
      <c r="E113" s="125" t="str">
        <f>IF(Ujian!E120="","",IF(LEFT(Ujian!E120,1)=SEKOR!E$2,1,0))</f>
        <v/>
      </c>
      <c r="F113" s="125" t="str">
        <f>IF(Ujian!F120="","",IF(LEFT(Ujian!F120,1)=SEKOR!F$2,1,0))</f>
        <v/>
      </c>
      <c r="G113" s="125" t="str">
        <f>IF(Ujian!G120="","",IF(LEFT(Ujian!G120,1)=SEKOR!G$2,1,0))</f>
        <v/>
      </c>
      <c r="H113" s="125" t="str">
        <f>IF(Ujian!H120="","",IF(LEFT(Ujian!H120,1)=SEKOR!H$2,1,0))</f>
        <v/>
      </c>
      <c r="I113" s="125" t="str">
        <f>IF(Ujian!I120="","",IF(LEFT(Ujian!I120,1)=SEKOR!I$2,1,0))</f>
        <v/>
      </c>
      <c r="J113" s="125" t="str">
        <f>IF(Ujian!J120="","",IF(LEFT(Ujian!J120,1)=SEKOR!J$2,1,0))</f>
        <v/>
      </c>
      <c r="K113" s="125" t="str">
        <f>IF(Ujian!K120="","",IF(LEFT(Ujian!K120,1)=SEKOR!K$2,1,0))</f>
        <v/>
      </c>
      <c r="L113" s="125" t="str">
        <f>IF(Ujian!L120="","",IF(LEFT(Ujian!L120,1)=SEKOR!L$2,1,0))</f>
        <v/>
      </c>
      <c r="M113" s="125" t="str">
        <f>IF(Ujian!M120="","",IF(LEFT(Ujian!M120,1)=SEKOR!M$2,1,0))</f>
        <v/>
      </c>
      <c r="N113" s="125" t="str">
        <f>IF(Ujian!N120="","",IF(LEFT(Ujian!N120,1)=SEKOR!N$2,1,0))</f>
        <v/>
      </c>
      <c r="O113" s="125" t="str">
        <f>IF(Ujian!O120="","",IF(LEFT(Ujian!O120,1)=SEKOR!O$2,1,0))</f>
        <v/>
      </c>
      <c r="P113" s="125" t="str">
        <f>IF(Ujian!P120="","",IF(LEFT(Ujian!P120,1)=SEKOR!P$2,1,0))</f>
        <v/>
      </c>
      <c r="Q113" s="125" t="str">
        <f>IF(Ujian!Q120="","",IF(LEFT(Ujian!Q120,1)=SEKOR!Q$2,1,0))</f>
        <v/>
      </c>
      <c r="R113" s="125" t="str">
        <f>IF(Ujian!R120="","",IF(LEFT(Ujian!R120,1)=SEKOR!R$2,1,0))</f>
        <v/>
      </c>
      <c r="S113" s="125" t="str">
        <f>IF(Ujian!S120="","",IF(LEFT(Ujian!S120,1)=SEKOR!S$2,1,0))</f>
        <v/>
      </c>
      <c r="T113" s="125" t="str">
        <f>IF(Ujian!T120="","",IF(LEFT(Ujian!T120,1)=SEKOR!T$2,1,0))</f>
        <v/>
      </c>
      <c r="U113" s="125" t="str">
        <f>IF(Ujian!U120="","",IF(LEFT(Ujian!U120,1)=SEKOR!U$2,1,0))</f>
        <v/>
      </c>
      <c r="V113" s="125" t="str">
        <f>IF(Ujian!V120="","",IF(LEFT(Ujian!V120,1)=SEKOR!V$2,1,0))</f>
        <v/>
      </c>
      <c r="W113" s="125" t="str">
        <f>IF(Ujian!W120="","",IF(LEFT(Ujian!W120,1)=SEKOR!W$2,1,0))</f>
        <v/>
      </c>
      <c r="X113" s="125" t="str">
        <f>IF(Ujian!X120="","",IF(LEFT(Ujian!X120,1)=SEKOR!X$2,1,0))</f>
        <v/>
      </c>
      <c r="Y113" s="125" t="str">
        <f>IF(Ujian!Y120="","",IF(LEFT(Ujian!Y120,1)=SEKOR!Y$2,1,0))</f>
        <v/>
      </c>
      <c r="Z113" s="125" t="str">
        <f>IF(Ujian!Z120="","",IF(LEFT(Ujian!Z120,1)=SEKOR!Z$2,1,0))</f>
        <v/>
      </c>
      <c r="AA113" s="125" t="str">
        <f>IF(Ujian!AA120="","",IF(LEFT(Ujian!AA120,1)=SEKOR!AA$2,1,0))</f>
        <v/>
      </c>
      <c r="AB113" s="125" t="str">
        <f>IF(Ujian!AB120="","",IF(LEFT(Ujian!AB120,1)=SEKOR!AB$2,1,0))</f>
        <v/>
      </c>
      <c r="AC113" s="125" t="str">
        <f>IF(Ujian!AC120="","",IF(LEFT(Ujian!AC120,1)=SEKOR!AC$2,1,0))</f>
        <v/>
      </c>
      <c r="AD113" s="125" t="str">
        <f>IF(Ujian!AD120="","",IF(LEFT(Ujian!AD120,1)=SEKOR!AD$2,1,0))</f>
        <v/>
      </c>
      <c r="AE113" s="125" t="str">
        <f>IF(Ujian!AE120="","",IF(LEFT(Ujian!AE120,1)=SEKOR!AE$2,1,0))</f>
        <v/>
      </c>
      <c r="AF113" s="125" t="str">
        <f>IF(Ujian!AF120="","",IF(LEFT(Ujian!AF120,1)=SEKOR!AF$2,1,0))</f>
        <v/>
      </c>
      <c r="AG113" s="125" t="str">
        <f>IF(Ujian!AG120="","",IF(LEFT(Ujian!AG120,1)=SEKOR!AG$2,1,0))</f>
        <v/>
      </c>
      <c r="AH113" s="125" t="str">
        <f>IF(Ujian!AH120="","",IF(LEFT(Ujian!AH120,1)=SEKOR!AH$2,1,0))</f>
        <v/>
      </c>
      <c r="AI113" s="125" t="str">
        <f>IF(Ujian!AI120="","",IF(LEFT(Ujian!AI120,1)=SEKOR!AI$2,1,0))</f>
        <v/>
      </c>
      <c r="AJ113" s="125" t="str">
        <f>IF(Ujian!AJ120="","",IF(LEFT(Ujian!AJ120,1)=SEKOR!AJ$2,1,0))</f>
        <v/>
      </c>
      <c r="AK113" s="125" t="str">
        <f>IF(Ujian!AK120="","",IF(LEFT(Ujian!AK120,1)=SEKOR!AK$2,1,0))</f>
        <v/>
      </c>
      <c r="AL113" s="125" t="str">
        <f>IF(Ujian!AL120="","",IF(LEFT(Ujian!AL120,1)=SEKOR!AL$2,1,0))</f>
        <v/>
      </c>
      <c r="AM113" s="125" t="str">
        <f>IF(Ujian!AM120="","",IF(LEFT(Ujian!AM120,1)=SEKOR!AM$2,1,0))</f>
        <v/>
      </c>
      <c r="AN113" s="125" t="str">
        <f>IF(Ujian!AN120="","",IF(LEFT(Ujian!AN120,1)=SEKOR!AN$2,1,0))</f>
        <v/>
      </c>
      <c r="AO113" s="125" t="str">
        <f>IF(Ujian!AO120="","",IF(LEFT(Ujian!AO120,1)=SEKOR!AO$2,1,0))</f>
        <v/>
      </c>
      <c r="AP113" s="125" t="str">
        <f>IF(Ujian!AP120="","",IF(LEFT(Ujian!AP120,1)=SEKOR!AP$2,1,0))</f>
        <v/>
      </c>
      <c r="AQ113" s="125" t="str">
        <f>IF(Ujian!AQ120="","",IF(LEFT(Ujian!AQ120,1)=SEKOR!AQ$2,1,0))</f>
        <v/>
      </c>
      <c r="AR113" s="125" t="str">
        <f>IF(Ujian!AR120="","",IF(LEFT(Ujian!AR120,1)=SEKOR!AR$2,1,0))</f>
        <v/>
      </c>
      <c r="AS113" s="125" t="str">
        <f>IF(Ujian!AS120="","",IF(LEFT(Ujian!AS120,1)=SEKOR!AS$2,1,0))</f>
        <v/>
      </c>
      <c r="AT113" s="125" t="str">
        <f>IF(Ujian!AT120="","",IF(LEFT(Ujian!AT120,1)=SEKOR!AT$2,1,0))</f>
        <v/>
      </c>
      <c r="AU113" s="125" t="str">
        <f>IF(Ujian!AU120="","",IF(LEFT(Ujian!AU120,1)=SEKOR!AU$2,1,0))</f>
        <v/>
      </c>
      <c r="AV113" s="125" t="str">
        <f>IF(Ujian!AV120="","",IF(LEFT(Ujian!AV120,1)=SEKOR!AV$2,1,0))</f>
        <v/>
      </c>
      <c r="AW113" s="125" t="str">
        <f>IF(Ujian!AW120="","",IF(LEFT(Ujian!AW120,1)=SEKOR!AW$2,1,0))</f>
        <v/>
      </c>
      <c r="AX113" s="125" t="str">
        <f>IF(Ujian!AX120="","",IF(LEFT(Ujian!AX120,1)=SEKOR!AX$2,1,0))</f>
        <v/>
      </c>
      <c r="AY113" s="125" t="str">
        <f>IF(Ujian!AY120="","",IF(LEFT(Ujian!AY120,1)=SEKOR!AY$2,1,0))</f>
        <v/>
      </c>
      <c r="AZ113" s="125" t="str">
        <f>IF(Ujian!AZ120="","",IF(LEFT(Ujian!AZ120,1)=SEKOR!AZ$2,1,0))</f>
        <v/>
      </c>
      <c r="BA113" s="125" t="str">
        <f>IF(Ujian!BA120="","",IF(LEFT(Ujian!BA120,1)=SEKOR!BA$2,1,0))</f>
        <v/>
      </c>
      <c r="BB113" s="125" t="str">
        <f>IF(Ujian!BB120="","",IF(LEFT(Ujian!BB120,1)=SEKOR!BB$2,1,0))</f>
        <v/>
      </c>
      <c r="BC113" s="125" t="str">
        <f>IF(Ujian!BC120="","",IF(LEFT(Ujian!BC120,1)=SEKOR!BC$2,1,0))</f>
        <v/>
      </c>
      <c r="BD113" s="125" t="str">
        <f>IF(Ujian!BD120="","",IF(LEFT(Ujian!BD120,1)=SEKOR!BD$2,1,0))</f>
        <v/>
      </c>
      <c r="BE113" s="125" t="str">
        <f>IF(Ujian!BE120="","",IF(LEFT(Ujian!BE120,1)=SEKOR!BE$2,1,0))</f>
        <v/>
      </c>
      <c r="BF113" s="125" t="str">
        <f>IF(Ujian!BF120="","",IF(LEFT(Ujian!BF120,1)=SEKOR!BF$2,1,0))</f>
        <v/>
      </c>
      <c r="BG113" s="125" t="str">
        <f>IF(Ujian!BG120="","",IF(LEFT(Ujian!BG120,1)=SEKOR!BG$2,1,0))</f>
        <v/>
      </c>
      <c r="BH113" s="125" t="str">
        <f>IF(Ujian!BH120="","",IF(LEFT(Ujian!BH120,1)=SEKOR!BH$2,1,0))</f>
        <v/>
      </c>
      <c r="BI113" s="125" t="str">
        <f>IF(Ujian!BI120="","",IF(LEFT(Ujian!BI120,1)=SEKOR!BI$2,1,0))</f>
        <v/>
      </c>
      <c r="BJ113" s="125" t="str">
        <f>IF(Ujian!BJ120="","",IF(LEFT(Ujian!BJ120,1)=SEKOR!BJ$2,1,0))</f>
        <v/>
      </c>
      <c r="BK113" s="125" t="str">
        <f>IF(Ujian!BK120="","",IF(LEFT(Ujian!BK120,1)=SEKOR!BK$2,1,0))</f>
        <v/>
      </c>
      <c r="BL113" s="18">
        <f t="shared" si="2"/>
        <v>0</v>
      </c>
      <c r="BM113" s="18">
        <f>COUNTIF($D113:$BK113,"")+DATA!$F$14-DATA!$F$12</f>
        <v>60</v>
      </c>
      <c r="BN113" s="17">
        <f>IF(COUNTIF($D113:$BK113,1)&gt;DATA!$F$14,DATA!$F$14,COUNTIF($D113:$BK113,1))</f>
        <v>0</v>
      </c>
      <c r="BO113" s="17">
        <f>IF((BN113+COUNTIF($D113:$BK113,0))&lt;=DATA!$F$14,COUNTIF($D113:$BK113,0),DATA!$F$14-SEKOR!BN113)</f>
        <v>0</v>
      </c>
      <c r="BP113" s="4" t="str">
        <f>IF(BL113=0,"",BN113/DATA!$F$14*100)</f>
        <v/>
      </c>
      <c r="BQ113" s="121" t="str">
        <f t="shared" si="3"/>
        <v/>
      </c>
      <c r="BR113" s="2" t="str">
        <f>IF(Praktik!$E113=0,"",Praktik!$E113)</f>
        <v/>
      </c>
      <c r="BS113" s="2" t="str">
        <f>IF(BR113="","",(BP113*DATAINFO!$O$4)+(SEKOR!BR113*DATAINFO!$O$5)/(DATAINFO!$O$4+DATAINFO!$O$5))</f>
        <v/>
      </c>
      <c r="BT113" s="2" t="str">
        <f>IF(BL113=0,"",IF(DATA!$F$18="TIDAK",ROUNDUP((IF!$L$8*SEKOR!$BP113)+IF!$L$9,0),IF($BR113="","",ROUNDUP((IF!$L$20*$BS113)+IF!$L$21,0))))</f>
        <v/>
      </c>
      <c r="BU113" s="47" t="str">
        <f>IF(BP113="","",IF(SEKOR!BP113&gt;=DATA!$J$12,1,0))</f>
        <v/>
      </c>
      <c r="BV113" s="47" t="str">
        <f>IF(BQ113="","",IF(SEKOR!BQ113&gt;=DATA!$J$12,1,0))</f>
        <v/>
      </c>
      <c r="BW113" s="47" t="str">
        <f>IF(BR113="","",IF(SEKOR!BR113&gt;=DATA!$J$12,1,0))</f>
        <v/>
      </c>
      <c r="BX113" s="47" t="str">
        <f>IF(BT113="","",IF(DATA!$J$14="",IF(SEKOR!BT113&gt;=DATA!$J$12,1,0),IF(SEKOR!BT113&gt;=DATA!$J$14,1,0)))</f>
        <v/>
      </c>
    </row>
    <row r="114" spans="1:76" x14ac:dyDescent="0.25">
      <c r="A114" s="20" t="s">
        <v>141</v>
      </c>
      <c r="B114" s="21" t="str">
        <f>IF(Ujian!B121="","",Ujian!B121)</f>
        <v/>
      </c>
      <c r="C114" s="57" t="str">
        <f>IF(Ujian!C121="","",Ujian!C121)</f>
        <v/>
      </c>
      <c r="D114" s="125" t="str">
        <f>IF(Ujian!D121="","",IF(LEFT(Ujian!D121,1)=SEKOR!D$2,1,0))</f>
        <v/>
      </c>
      <c r="E114" s="125" t="str">
        <f>IF(Ujian!E121="","",IF(LEFT(Ujian!E121,1)=SEKOR!E$2,1,0))</f>
        <v/>
      </c>
      <c r="F114" s="125" t="str">
        <f>IF(Ujian!F121="","",IF(LEFT(Ujian!F121,1)=SEKOR!F$2,1,0))</f>
        <v/>
      </c>
      <c r="G114" s="125" t="str">
        <f>IF(Ujian!G121="","",IF(LEFT(Ujian!G121,1)=SEKOR!G$2,1,0))</f>
        <v/>
      </c>
      <c r="H114" s="125" t="str">
        <f>IF(Ujian!H121="","",IF(LEFT(Ujian!H121,1)=SEKOR!H$2,1,0))</f>
        <v/>
      </c>
      <c r="I114" s="125" t="str">
        <f>IF(Ujian!I121="","",IF(LEFT(Ujian!I121,1)=SEKOR!I$2,1,0))</f>
        <v/>
      </c>
      <c r="J114" s="125" t="str">
        <f>IF(Ujian!J121="","",IF(LEFT(Ujian!J121,1)=SEKOR!J$2,1,0))</f>
        <v/>
      </c>
      <c r="K114" s="125" t="str">
        <f>IF(Ujian!K121="","",IF(LEFT(Ujian!K121,1)=SEKOR!K$2,1,0))</f>
        <v/>
      </c>
      <c r="L114" s="125" t="str">
        <f>IF(Ujian!L121="","",IF(LEFT(Ujian!L121,1)=SEKOR!L$2,1,0))</f>
        <v/>
      </c>
      <c r="M114" s="125" t="str">
        <f>IF(Ujian!M121="","",IF(LEFT(Ujian!M121,1)=SEKOR!M$2,1,0))</f>
        <v/>
      </c>
      <c r="N114" s="125" t="str">
        <f>IF(Ujian!N121="","",IF(LEFT(Ujian!N121,1)=SEKOR!N$2,1,0))</f>
        <v/>
      </c>
      <c r="O114" s="125" t="str">
        <f>IF(Ujian!O121="","",IF(LEFT(Ujian!O121,1)=SEKOR!O$2,1,0))</f>
        <v/>
      </c>
      <c r="P114" s="125" t="str">
        <f>IF(Ujian!P121="","",IF(LEFT(Ujian!P121,1)=SEKOR!P$2,1,0))</f>
        <v/>
      </c>
      <c r="Q114" s="125" t="str">
        <f>IF(Ujian!Q121="","",IF(LEFT(Ujian!Q121,1)=SEKOR!Q$2,1,0))</f>
        <v/>
      </c>
      <c r="R114" s="125" t="str">
        <f>IF(Ujian!R121="","",IF(LEFT(Ujian!R121,1)=SEKOR!R$2,1,0))</f>
        <v/>
      </c>
      <c r="S114" s="125" t="str">
        <f>IF(Ujian!S121="","",IF(LEFT(Ujian!S121,1)=SEKOR!S$2,1,0))</f>
        <v/>
      </c>
      <c r="T114" s="125" t="str">
        <f>IF(Ujian!T121="","",IF(LEFT(Ujian!T121,1)=SEKOR!T$2,1,0))</f>
        <v/>
      </c>
      <c r="U114" s="125" t="str">
        <f>IF(Ujian!U121="","",IF(LEFT(Ujian!U121,1)=SEKOR!U$2,1,0))</f>
        <v/>
      </c>
      <c r="V114" s="125" t="str">
        <f>IF(Ujian!V121="","",IF(LEFT(Ujian!V121,1)=SEKOR!V$2,1,0))</f>
        <v/>
      </c>
      <c r="W114" s="125" t="str">
        <f>IF(Ujian!W121="","",IF(LEFT(Ujian!W121,1)=SEKOR!W$2,1,0))</f>
        <v/>
      </c>
      <c r="X114" s="125" t="str">
        <f>IF(Ujian!X121="","",IF(LEFT(Ujian!X121,1)=SEKOR!X$2,1,0))</f>
        <v/>
      </c>
      <c r="Y114" s="125" t="str">
        <f>IF(Ujian!Y121="","",IF(LEFT(Ujian!Y121,1)=SEKOR!Y$2,1,0))</f>
        <v/>
      </c>
      <c r="Z114" s="125" t="str">
        <f>IF(Ujian!Z121="","",IF(LEFT(Ujian!Z121,1)=SEKOR!Z$2,1,0))</f>
        <v/>
      </c>
      <c r="AA114" s="125" t="str">
        <f>IF(Ujian!AA121="","",IF(LEFT(Ujian!AA121,1)=SEKOR!AA$2,1,0))</f>
        <v/>
      </c>
      <c r="AB114" s="125" t="str">
        <f>IF(Ujian!AB121="","",IF(LEFT(Ujian!AB121,1)=SEKOR!AB$2,1,0))</f>
        <v/>
      </c>
      <c r="AC114" s="125" t="str">
        <f>IF(Ujian!AC121="","",IF(LEFT(Ujian!AC121,1)=SEKOR!AC$2,1,0))</f>
        <v/>
      </c>
      <c r="AD114" s="125" t="str">
        <f>IF(Ujian!AD121="","",IF(LEFT(Ujian!AD121,1)=SEKOR!AD$2,1,0))</f>
        <v/>
      </c>
      <c r="AE114" s="125" t="str">
        <f>IF(Ujian!AE121="","",IF(LEFT(Ujian!AE121,1)=SEKOR!AE$2,1,0))</f>
        <v/>
      </c>
      <c r="AF114" s="125" t="str">
        <f>IF(Ujian!AF121="","",IF(LEFT(Ujian!AF121,1)=SEKOR!AF$2,1,0))</f>
        <v/>
      </c>
      <c r="AG114" s="125" t="str">
        <f>IF(Ujian!AG121="","",IF(LEFT(Ujian!AG121,1)=SEKOR!AG$2,1,0))</f>
        <v/>
      </c>
      <c r="AH114" s="125" t="str">
        <f>IF(Ujian!AH121="","",IF(LEFT(Ujian!AH121,1)=SEKOR!AH$2,1,0))</f>
        <v/>
      </c>
      <c r="AI114" s="125" t="str">
        <f>IF(Ujian!AI121="","",IF(LEFT(Ujian!AI121,1)=SEKOR!AI$2,1,0))</f>
        <v/>
      </c>
      <c r="AJ114" s="125" t="str">
        <f>IF(Ujian!AJ121="","",IF(LEFT(Ujian!AJ121,1)=SEKOR!AJ$2,1,0))</f>
        <v/>
      </c>
      <c r="AK114" s="125" t="str">
        <f>IF(Ujian!AK121="","",IF(LEFT(Ujian!AK121,1)=SEKOR!AK$2,1,0))</f>
        <v/>
      </c>
      <c r="AL114" s="125" t="str">
        <f>IF(Ujian!AL121="","",IF(LEFT(Ujian!AL121,1)=SEKOR!AL$2,1,0))</f>
        <v/>
      </c>
      <c r="AM114" s="125" t="str">
        <f>IF(Ujian!AM121="","",IF(LEFT(Ujian!AM121,1)=SEKOR!AM$2,1,0))</f>
        <v/>
      </c>
      <c r="AN114" s="125" t="str">
        <f>IF(Ujian!AN121="","",IF(LEFT(Ujian!AN121,1)=SEKOR!AN$2,1,0))</f>
        <v/>
      </c>
      <c r="AO114" s="125" t="str">
        <f>IF(Ujian!AO121="","",IF(LEFT(Ujian!AO121,1)=SEKOR!AO$2,1,0))</f>
        <v/>
      </c>
      <c r="AP114" s="125" t="str">
        <f>IF(Ujian!AP121="","",IF(LEFT(Ujian!AP121,1)=SEKOR!AP$2,1,0))</f>
        <v/>
      </c>
      <c r="AQ114" s="125" t="str">
        <f>IF(Ujian!AQ121="","",IF(LEFT(Ujian!AQ121,1)=SEKOR!AQ$2,1,0))</f>
        <v/>
      </c>
      <c r="AR114" s="125" t="str">
        <f>IF(Ujian!AR121="","",IF(LEFT(Ujian!AR121,1)=SEKOR!AR$2,1,0))</f>
        <v/>
      </c>
      <c r="AS114" s="125" t="str">
        <f>IF(Ujian!AS121="","",IF(LEFT(Ujian!AS121,1)=SEKOR!AS$2,1,0))</f>
        <v/>
      </c>
      <c r="AT114" s="125" t="str">
        <f>IF(Ujian!AT121="","",IF(LEFT(Ujian!AT121,1)=SEKOR!AT$2,1,0))</f>
        <v/>
      </c>
      <c r="AU114" s="125" t="str">
        <f>IF(Ujian!AU121="","",IF(LEFT(Ujian!AU121,1)=SEKOR!AU$2,1,0))</f>
        <v/>
      </c>
      <c r="AV114" s="125" t="str">
        <f>IF(Ujian!AV121="","",IF(LEFT(Ujian!AV121,1)=SEKOR!AV$2,1,0))</f>
        <v/>
      </c>
      <c r="AW114" s="125" t="str">
        <f>IF(Ujian!AW121="","",IF(LEFT(Ujian!AW121,1)=SEKOR!AW$2,1,0))</f>
        <v/>
      </c>
      <c r="AX114" s="125" t="str">
        <f>IF(Ujian!AX121="","",IF(LEFT(Ujian!AX121,1)=SEKOR!AX$2,1,0))</f>
        <v/>
      </c>
      <c r="AY114" s="125" t="str">
        <f>IF(Ujian!AY121="","",IF(LEFT(Ujian!AY121,1)=SEKOR!AY$2,1,0))</f>
        <v/>
      </c>
      <c r="AZ114" s="125" t="str">
        <f>IF(Ujian!AZ121="","",IF(LEFT(Ujian!AZ121,1)=SEKOR!AZ$2,1,0))</f>
        <v/>
      </c>
      <c r="BA114" s="125" t="str">
        <f>IF(Ujian!BA121="","",IF(LEFT(Ujian!BA121,1)=SEKOR!BA$2,1,0))</f>
        <v/>
      </c>
      <c r="BB114" s="125" t="str">
        <f>IF(Ujian!BB121="","",IF(LEFT(Ujian!BB121,1)=SEKOR!BB$2,1,0))</f>
        <v/>
      </c>
      <c r="BC114" s="125" t="str">
        <f>IF(Ujian!BC121="","",IF(LEFT(Ujian!BC121,1)=SEKOR!BC$2,1,0))</f>
        <v/>
      </c>
      <c r="BD114" s="125" t="str">
        <f>IF(Ujian!BD121="","",IF(LEFT(Ujian!BD121,1)=SEKOR!BD$2,1,0))</f>
        <v/>
      </c>
      <c r="BE114" s="125" t="str">
        <f>IF(Ujian!BE121="","",IF(LEFT(Ujian!BE121,1)=SEKOR!BE$2,1,0))</f>
        <v/>
      </c>
      <c r="BF114" s="125" t="str">
        <f>IF(Ujian!BF121="","",IF(LEFT(Ujian!BF121,1)=SEKOR!BF$2,1,0))</f>
        <v/>
      </c>
      <c r="BG114" s="125" t="str">
        <f>IF(Ujian!BG121="","",IF(LEFT(Ujian!BG121,1)=SEKOR!BG$2,1,0))</f>
        <v/>
      </c>
      <c r="BH114" s="125" t="str">
        <f>IF(Ujian!BH121="","",IF(LEFT(Ujian!BH121,1)=SEKOR!BH$2,1,0))</f>
        <v/>
      </c>
      <c r="BI114" s="125" t="str">
        <f>IF(Ujian!BI121="","",IF(LEFT(Ujian!BI121,1)=SEKOR!BI$2,1,0))</f>
        <v/>
      </c>
      <c r="BJ114" s="125" t="str">
        <f>IF(Ujian!BJ121="","",IF(LEFT(Ujian!BJ121,1)=SEKOR!BJ$2,1,0))</f>
        <v/>
      </c>
      <c r="BK114" s="125" t="str">
        <f>IF(Ujian!BK121="","",IF(LEFT(Ujian!BK121,1)=SEKOR!BK$2,1,0))</f>
        <v/>
      </c>
      <c r="BL114" s="18">
        <f t="shared" si="2"/>
        <v>0</v>
      </c>
      <c r="BM114" s="18">
        <f>COUNTIF($D114:$BK114,"")+DATA!$F$14-DATA!$F$12</f>
        <v>60</v>
      </c>
      <c r="BN114" s="17">
        <f>IF(COUNTIF($D114:$BK114,1)&gt;DATA!$F$14,DATA!$F$14,COUNTIF($D114:$BK114,1))</f>
        <v>0</v>
      </c>
      <c r="BO114" s="17">
        <f>IF((BN114+COUNTIF($D114:$BK114,0))&lt;=DATA!$F$14,COUNTIF($D114:$BK114,0),DATA!$F$14-SEKOR!BN114)</f>
        <v>0</v>
      </c>
      <c r="BP114" s="4" t="str">
        <f>IF(BL114=0,"",BN114/DATA!$F$14*100)</f>
        <v/>
      </c>
      <c r="BQ114" s="121" t="str">
        <f t="shared" si="3"/>
        <v/>
      </c>
      <c r="BR114" s="2" t="str">
        <f>IF(Praktik!$E114=0,"",Praktik!$E114)</f>
        <v/>
      </c>
      <c r="BS114" s="2" t="str">
        <f>IF(BR114="","",(BP114*DATAINFO!$O$4)+(SEKOR!BR114*DATAINFO!$O$5)/(DATAINFO!$O$4+DATAINFO!$O$5))</f>
        <v/>
      </c>
      <c r="BT114" s="2" t="str">
        <f>IF(BL114=0,"",IF(DATA!$F$18="TIDAK",ROUNDUP((IF!$L$8*SEKOR!$BP114)+IF!$L$9,0),IF($BR114="","",ROUNDUP((IF!$L$20*$BS114)+IF!$L$21,0))))</f>
        <v/>
      </c>
      <c r="BU114" s="47" t="str">
        <f>IF(BP114="","",IF(SEKOR!BP114&gt;=DATA!$J$12,1,0))</f>
        <v/>
      </c>
      <c r="BV114" s="47" t="str">
        <f>IF(BQ114="","",IF(SEKOR!BQ114&gt;=DATA!$J$12,1,0))</f>
        <v/>
      </c>
      <c r="BW114" s="47" t="str">
        <f>IF(BR114="","",IF(SEKOR!BR114&gt;=DATA!$J$12,1,0))</f>
        <v/>
      </c>
      <c r="BX114" s="47" t="str">
        <f>IF(BT114="","",IF(DATA!$J$14="",IF(SEKOR!BT114&gt;=DATA!$J$12,1,0),IF(SEKOR!BT114&gt;=DATA!$J$14,1,0)))</f>
        <v/>
      </c>
    </row>
    <row r="115" spans="1:76" x14ac:dyDescent="0.25">
      <c r="A115" s="20" t="s">
        <v>142</v>
      </c>
      <c r="B115" s="21" t="str">
        <f>IF(Ujian!B122="","",Ujian!B122)</f>
        <v/>
      </c>
      <c r="C115" s="57" t="str">
        <f>IF(Ujian!C122="","",Ujian!C122)</f>
        <v/>
      </c>
      <c r="D115" s="125" t="str">
        <f>IF(Ujian!D122="","",IF(LEFT(Ujian!D122,1)=SEKOR!D$2,1,0))</f>
        <v/>
      </c>
      <c r="E115" s="125" t="str">
        <f>IF(Ujian!E122="","",IF(LEFT(Ujian!E122,1)=SEKOR!E$2,1,0))</f>
        <v/>
      </c>
      <c r="F115" s="125" t="str">
        <f>IF(Ujian!F122="","",IF(LEFT(Ujian!F122,1)=SEKOR!F$2,1,0))</f>
        <v/>
      </c>
      <c r="G115" s="125" t="str">
        <f>IF(Ujian!G122="","",IF(LEFT(Ujian!G122,1)=SEKOR!G$2,1,0))</f>
        <v/>
      </c>
      <c r="H115" s="125" t="str">
        <f>IF(Ujian!H122="","",IF(LEFT(Ujian!H122,1)=SEKOR!H$2,1,0))</f>
        <v/>
      </c>
      <c r="I115" s="125" t="str">
        <f>IF(Ujian!I122="","",IF(LEFT(Ujian!I122,1)=SEKOR!I$2,1,0))</f>
        <v/>
      </c>
      <c r="J115" s="125" t="str">
        <f>IF(Ujian!J122="","",IF(LEFT(Ujian!J122,1)=SEKOR!J$2,1,0))</f>
        <v/>
      </c>
      <c r="K115" s="125" t="str">
        <f>IF(Ujian!K122="","",IF(LEFT(Ujian!K122,1)=SEKOR!K$2,1,0))</f>
        <v/>
      </c>
      <c r="L115" s="125" t="str">
        <f>IF(Ujian!L122="","",IF(LEFT(Ujian!L122,1)=SEKOR!L$2,1,0))</f>
        <v/>
      </c>
      <c r="M115" s="125" t="str">
        <f>IF(Ujian!M122="","",IF(LEFT(Ujian!M122,1)=SEKOR!M$2,1,0))</f>
        <v/>
      </c>
      <c r="N115" s="125" t="str">
        <f>IF(Ujian!N122="","",IF(LEFT(Ujian!N122,1)=SEKOR!N$2,1,0))</f>
        <v/>
      </c>
      <c r="O115" s="125" t="str">
        <f>IF(Ujian!O122="","",IF(LEFT(Ujian!O122,1)=SEKOR!O$2,1,0))</f>
        <v/>
      </c>
      <c r="P115" s="125" t="str">
        <f>IF(Ujian!P122="","",IF(LEFT(Ujian!P122,1)=SEKOR!P$2,1,0))</f>
        <v/>
      </c>
      <c r="Q115" s="125" t="str">
        <f>IF(Ujian!Q122="","",IF(LEFT(Ujian!Q122,1)=SEKOR!Q$2,1,0))</f>
        <v/>
      </c>
      <c r="R115" s="125" t="str">
        <f>IF(Ujian!R122="","",IF(LEFT(Ujian!R122,1)=SEKOR!R$2,1,0))</f>
        <v/>
      </c>
      <c r="S115" s="125" t="str">
        <f>IF(Ujian!S122="","",IF(LEFT(Ujian!S122,1)=SEKOR!S$2,1,0))</f>
        <v/>
      </c>
      <c r="T115" s="125" t="str">
        <f>IF(Ujian!T122="","",IF(LEFT(Ujian!T122,1)=SEKOR!T$2,1,0))</f>
        <v/>
      </c>
      <c r="U115" s="125" t="str">
        <f>IF(Ujian!U122="","",IF(LEFT(Ujian!U122,1)=SEKOR!U$2,1,0))</f>
        <v/>
      </c>
      <c r="V115" s="125" t="str">
        <f>IF(Ujian!V122="","",IF(LEFT(Ujian!V122,1)=SEKOR!V$2,1,0))</f>
        <v/>
      </c>
      <c r="W115" s="125" t="str">
        <f>IF(Ujian!W122="","",IF(LEFT(Ujian!W122,1)=SEKOR!W$2,1,0))</f>
        <v/>
      </c>
      <c r="X115" s="125" t="str">
        <f>IF(Ujian!X122="","",IF(LEFT(Ujian!X122,1)=SEKOR!X$2,1,0))</f>
        <v/>
      </c>
      <c r="Y115" s="125" t="str">
        <f>IF(Ujian!Y122="","",IF(LEFT(Ujian!Y122,1)=SEKOR!Y$2,1,0))</f>
        <v/>
      </c>
      <c r="Z115" s="125" t="str">
        <f>IF(Ujian!Z122="","",IF(LEFT(Ujian!Z122,1)=SEKOR!Z$2,1,0))</f>
        <v/>
      </c>
      <c r="AA115" s="125" t="str">
        <f>IF(Ujian!AA122="","",IF(LEFT(Ujian!AA122,1)=SEKOR!AA$2,1,0))</f>
        <v/>
      </c>
      <c r="AB115" s="125" t="str">
        <f>IF(Ujian!AB122="","",IF(LEFT(Ujian!AB122,1)=SEKOR!AB$2,1,0))</f>
        <v/>
      </c>
      <c r="AC115" s="125" t="str">
        <f>IF(Ujian!AC122="","",IF(LEFT(Ujian!AC122,1)=SEKOR!AC$2,1,0))</f>
        <v/>
      </c>
      <c r="AD115" s="125" t="str">
        <f>IF(Ujian!AD122="","",IF(LEFT(Ujian!AD122,1)=SEKOR!AD$2,1,0))</f>
        <v/>
      </c>
      <c r="AE115" s="125" t="str">
        <f>IF(Ujian!AE122="","",IF(LEFT(Ujian!AE122,1)=SEKOR!AE$2,1,0))</f>
        <v/>
      </c>
      <c r="AF115" s="125" t="str">
        <f>IF(Ujian!AF122="","",IF(LEFT(Ujian!AF122,1)=SEKOR!AF$2,1,0))</f>
        <v/>
      </c>
      <c r="AG115" s="125" t="str">
        <f>IF(Ujian!AG122="","",IF(LEFT(Ujian!AG122,1)=SEKOR!AG$2,1,0))</f>
        <v/>
      </c>
      <c r="AH115" s="125" t="str">
        <f>IF(Ujian!AH122="","",IF(LEFT(Ujian!AH122,1)=SEKOR!AH$2,1,0))</f>
        <v/>
      </c>
      <c r="AI115" s="125" t="str">
        <f>IF(Ujian!AI122="","",IF(LEFT(Ujian!AI122,1)=SEKOR!AI$2,1,0))</f>
        <v/>
      </c>
      <c r="AJ115" s="125" t="str">
        <f>IF(Ujian!AJ122="","",IF(LEFT(Ujian!AJ122,1)=SEKOR!AJ$2,1,0))</f>
        <v/>
      </c>
      <c r="AK115" s="125" t="str">
        <f>IF(Ujian!AK122="","",IF(LEFT(Ujian!AK122,1)=SEKOR!AK$2,1,0))</f>
        <v/>
      </c>
      <c r="AL115" s="125" t="str">
        <f>IF(Ujian!AL122="","",IF(LEFT(Ujian!AL122,1)=SEKOR!AL$2,1,0))</f>
        <v/>
      </c>
      <c r="AM115" s="125" t="str">
        <f>IF(Ujian!AM122="","",IF(LEFT(Ujian!AM122,1)=SEKOR!AM$2,1,0))</f>
        <v/>
      </c>
      <c r="AN115" s="125" t="str">
        <f>IF(Ujian!AN122="","",IF(LEFT(Ujian!AN122,1)=SEKOR!AN$2,1,0))</f>
        <v/>
      </c>
      <c r="AO115" s="125" t="str">
        <f>IF(Ujian!AO122="","",IF(LEFT(Ujian!AO122,1)=SEKOR!AO$2,1,0))</f>
        <v/>
      </c>
      <c r="AP115" s="125" t="str">
        <f>IF(Ujian!AP122="","",IF(LEFT(Ujian!AP122,1)=SEKOR!AP$2,1,0))</f>
        <v/>
      </c>
      <c r="AQ115" s="125" t="str">
        <f>IF(Ujian!AQ122="","",IF(LEFT(Ujian!AQ122,1)=SEKOR!AQ$2,1,0))</f>
        <v/>
      </c>
      <c r="AR115" s="125" t="str">
        <f>IF(Ujian!AR122="","",IF(LEFT(Ujian!AR122,1)=SEKOR!AR$2,1,0))</f>
        <v/>
      </c>
      <c r="AS115" s="125" t="str">
        <f>IF(Ujian!AS122="","",IF(LEFT(Ujian!AS122,1)=SEKOR!AS$2,1,0))</f>
        <v/>
      </c>
      <c r="AT115" s="125" t="str">
        <f>IF(Ujian!AT122="","",IF(LEFT(Ujian!AT122,1)=SEKOR!AT$2,1,0))</f>
        <v/>
      </c>
      <c r="AU115" s="125" t="str">
        <f>IF(Ujian!AU122="","",IF(LEFT(Ujian!AU122,1)=SEKOR!AU$2,1,0))</f>
        <v/>
      </c>
      <c r="AV115" s="125" t="str">
        <f>IF(Ujian!AV122="","",IF(LEFT(Ujian!AV122,1)=SEKOR!AV$2,1,0))</f>
        <v/>
      </c>
      <c r="AW115" s="125" t="str">
        <f>IF(Ujian!AW122="","",IF(LEFT(Ujian!AW122,1)=SEKOR!AW$2,1,0))</f>
        <v/>
      </c>
      <c r="AX115" s="125" t="str">
        <f>IF(Ujian!AX122="","",IF(LEFT(Ujian!AX122,1)=SEKOR!AX$2,1,0))</f>
        <v/>
      </c>
      <c r="AY115" s="125" t="str">
        <f>IF(Ujian!AY122="","",IF(LEFT(Ujian!AY122,1)=SEKOR!AY$2,1,0))</f>
        <v/>
      </c>
      <c r="AZ115" s="125" t="str">
        <f>IF(Ujian!AZ122="","",IF(LEFT(Ujian!AZ122,1)=SEKOR!AZ$2,1,0))</f>
        <v/>
      </c>
      <c r="BA115" s="125" t="str">
        <f>IF(Ujian!BA122="","",IF(LEFT(Ujian!BA122,1)=SEKOR!BA$2,1,0))</f>
        <v/>
      </c>
      <c r="BB115" s="125" t="str">
        <f>IF(Ujian!BB122="","",IF(LEFT(Ujian!BB122,1)=SEKOR!BB$2,1,0))</f>
        <v/>
      </c>
      <c r="BC115" s="125" t="str">
        <f>IF(Ujian!BC122="","",IF(LEFT(Ujian!BC122,1)=SEKOR!BC$2,1,0))</f>
        <v/>
      </c>
      <c r="BD115" s="125" t="str">
        <f>IF(Ujian!BD122="","",IF(LEFT(Ujian!BD122,1)=SEKOR!BD$2,1,0))</f>
        <v/>
      </c>
      <c r="BE115" s="125" t="str">
        <f>IF(Ujian!BE122="","",IF(LEFT(Ujian!BE122,1)=SEKOR!BE$2,1,0))</f>
        <v/>
      </c>
      <c r="BF115" s="125" t="str">
        <f>IF(Ujian!BF122="","",IF(LEFT(Ujian!BF122,1)=SEKOR!BF$2,1,0))</f>
        <v/>
      </c>
      <c r="BG115" s="125" t="str">
        <f>IF(Ujian!BG122="","",IF(LEFT(Ujian!BG122,1)=SEKOR!BG$2,1,0))</f>
        <v/>
      </c>
      <c r="BH115" s="125" t="str">
        <f>IF(Ujian!BH122="","",IF(LEFT(Ujian!BH122,1)=SEKOR!BH$2,1,0))</f>
        <v/>
      </c>
      <c r="BI115" s="125" t="str">
        <f>IF(Ujian!BI122="","",IF(LEFT(Ujian!BI122,1)=SEKOR!BI$2,1,0))</f>
        <v/>
      </c>
      <c r="BJ115" s="125" t="str">
        <f>IF(Ujian!BJ122="","",IF(LEFT(Ujian!BJ122,1)=SEKOR!BJ$2,1,0))</f>
        <v/>
      </c>
      <c r="BK115" s="125" t="str">
        <f>IF(Ujian!BK122="","",IF(LEFT(Ujian!BK122,1)=SEKOR!BK$2,1,0))</f>
        <v/>
      </c>
      <c r="BL115" s="18">
        <f t="shared" si="2"/>
        <v>0</v>
      </c>
      <c r="BM115" s="18">
        <f>COUNTIF($D115:$BK115,"")+DATA!$F$14-DATA!$F$12</f>
        <v>60</v>
      </c>
      <c r="BN115" s="17">
        <f>IF(COUNTIF($D115:$BK115,1)&gt;DATA!$F$14,DATA!$F$14,COUNTIF($D115:$BK115,1))</f>
        <v>0</v>
      </c>
      <c r="BO115" s="17">
        <f>IF((BN115+COUNTIF($D115:$BK115,0))&lt;=DATA!$F$14,COUNTIF($D115:$BK115,0),DATA!$F$14-SEKOR!BN115)</f>
        <v>0</v>
      </c>
      <c r="BP115" s="4" t="str">
        <f>IF(BL115=0,"",BN115/DATA!$F$14*100)</f>
        <v/>
      </c>
      <c r="BQ115" s="121" t="str">
        <f t="shared" si="3"/>
        <v/>
      </c>
      <c r="BR115" s="2" t="str">
        <f>IF(Praktik!$E115=0,"",Praktik!$E115)</f>
        <v/>
      </c>
      <c r="BS115" s="2" t="str">
        <f>IF(BR115="","",(BP115*DATAINFO!$O$4)+(SEKOR!BR115*DATAINFO!$O$5)/(DATAINFO!$O$4+DATAINFO!$O$5))</f>
        <v/>
      </c>
      <c r="BT115" s="2" t="str">
        <f>IF(BL115=0,"",IF(DATA!$F$18="TIDAK",ROUNDUP((IF!$L$8*SEKOR!$BP115)+IF!$L$9,0),IF($BR115="","",ROUNDUP((IF!$L$20*$BS115)+IF!$L$21,0))))</f>
        <v/>
      </c>
      <c r="BU115" s="47" t="str">
        <f>IF(BP115="","",IF(SEKOR!BP115&gt;=DATA!$J$12,1,0))</f>
        <v/>
      </c>
      <c r="BV115" s="47" t="str">
        <f>IF(BQ115="","",IF(SEKOR!BQ115&gt;=DATA!$J$12,1,0))</f>
        <v/>
      </c>
      <c r="BW115" s="47" t="str">
        <f>IF(BR115="","",IF(SEKOR!BR115&gt;=DATA!$J$12,1,0))</f>
        <v/>
      </c>
      <c r="BX115" s="47" t="str">
        <f>IF(BT115="","",IF(DATA!$J$14="",IF(SEKOR!BT115&gt;=DATA!$J$12,1,0),IF(SEKOR!BT115&gt;=DATA!$J$14,1,0)))</f>
        <v/>
      </c>
    </row>
    <row r="116" spans="1:76" x14ac:dyDescent="0.25">
      <c r="A116" s="20" t="s">
        <v>143</v>
      </c>
      <c r="B116" s="21" t="str">
        <f>IF(Ujian!B123="","",Ujian!B123)</f>
        <v/>
      </c>
      <c r="C116" s="57" t="str">
        <f>IF(Ujian!C123="","",Ujian!C123)</f>
        <v/>
      </c>
      <c r="D116" s="125" t="str">
        <f>IF(Ujian!D123="","",IF(LEFT(Ujian!D123,1)=SEKOR!D$2,1,0))</f>
        <v/>
      </c>
      <c r="E116" s="125" t="str">
        <f>IF(Ujian!E123="","",IF(LEFT(Ujian!E123,1)=SEKOR!E$2,1,0))</f>
        <v/>
      </c>
      <c r="F116" s="125" t="str">
        <f>IF(Ujian!F123="","",IF(LEFT(Ujian!F123,1)=SEKOR!F$2,1,0))</f>
        <v/>
      </c>
      <c r="G116" s="125" t="str">
        <f>IF(Ujian!G123="","",IF(LEFT(Ujian!G123,1)=SEKOR!G$2,1,0))</f>
        <v/>
      </c>
      <c r="H116" s="125" t="str">
        <f>IF(Ujian!H123="","",IF(LEFT(Ujian!H123,1)=SEKOR!H$2,1,0))</f>
        <v/>
      </c>
      <c r="I116" s="125" t="str">
        <f>IF(Ujian!I123="","",IF(LEFT(Ujian!I123,1)=SEKOR!I$2,1,0))</f>
        <v/>
      </c>
      <c r="J116" s="125" t="str">
        <f>IF(Ujian!J123="","",IF(LEFT(Ujian!J123,1)=SEKOR!J$2,1,0))</f>
        <v/>
      </c>
      <c r="K116" s="125" t="str">
        <f>IF(Ujian!K123="","",IF(LEFT(Ujian!K123,1)=SEKOR!K$2,1,0))</f>
        <v/>
      </c>
      <c r="L116" s="125" t="str">
        <f>IF(Ujian!L123="","",IF(LEFT(Ujian!L123,1)=SEKOR!L$2,1,0))</f>
        <v/>
      </c>
      <c r="M116" s="125" t="str">
        <f>IF(Ujian!M123="","",IF(LEFT(Ujian!M123,1)=SEKOR!M$2,1,0))</f>
        <v/>
      </c>
      <c r="N116" s="125" t="str">
        <f>IF(Ujian!N123="","",IF(LEFT(Ujian!N123,1)=SEKOR!N$2,1,0))</f>
        <v/>
      </c>
      <c r="O116" s="125" t="str">
        <f>IF(Ujian!O123="","",IF(LEFT(Ujian!O123,1)=SEKOR!O$2,1,0))</f>
        <v/>
      </c>
      <c r="P116" s="125" t="str">
        <f>IF(Ujian!P123="","",IF(LEFT(Ujian!P123,1)=SEKOR!P$2,1,0))</f>
        <v/>
      </c>
      <c r="Q116" s="125" t="str">
        <f>IF(Ujian!Q123="","",IF(LEFT(Ujian!Q123,1)=SEKOR!Q$2,1,0))</f>
        <v/>
      </c>
      <c r="R116" s="125" t="str">
        <f>IF(Ujian!R123="","",IF(LEFT(Ujian!R123,1)=SEKOR!R$2,1,0))</f>
        <v/>
      </c>
      <c r="S116" s="125" t="str">
        <f>IF(Ujian!S123="","",IF(LEFT(Ujian!S123,1)=SEKOR!S$2,1,0))</f>
        <v/>
      </c>
      <c r="T116" s="125" t="str">
        <f>IF(Ujian!T123="","",IF(LEFT(Ujian!T123,1)=SEKOR!T$2,1,0))</f>
        <v/>
      </c>
      <c r="U116" s="125" t="str">
        <f>IF(Ujian!U123="","",IF(LEFT(Ujian!U123,1)=SEKOR!U$2,1,0))</f>
        <v/>
      </c>
      <c r="V116" s="125" t="str">
        <f>IF(Ujian!V123="","",IF(LEFT(Ujian!V123,1)=SEKOR!V$2,1,0))</f>
        <v/>
      </c>
      <c r="W116" s="125" t="str">
        <f>IF(Ujian!W123="","",IF(LEFT(Ujian!W123,1)=SEKOR!W$2,1,0))</f>
        <v/>
      </c>
      <c r="X116" s="125" t="str">
        <f>IF(Ujian!X123="","",IF(LEFT(Ujian!X123,1)=SEKOR!X$2,1,0))</f>
        <v/>
      </c>
      <c r="Y116" s="125" t="str">
        <f>IF(Ujian!Y123="","",IF(LEFT(Ujian!Y123,1)=SEKOR!Y$2,1,0))</f>
        <v/>
      </c>
      <c r="Z116" s="125" t="str">
        <f>IF(Ujian!Z123="","",IF(LEFT(Ujian!Z123,1)=SEKOR!Z$2,1,0))</f>
        <v/>
      </c>
      <c r="AA116" s="125" t="str">
        <f>IF(Ujian!AA123="","",IF(LEFT(Ujian!AA123,1)=SEKOR!AA$2,1,0))</f>
        <v/>
      </c>
      <c r="AB116" s="125" t="str">
        <f>IF(Ujian!AB123="","",IF(LEFT(Ujian!AB123,1)=SEKOR!AB$2,1,0))</f>
        <v/>
      </c>
      <c r="AC116" s="125" t="str">
        <f>IF(Ujian!AC123="","",IF(LEFT(Ujian!AC123,1)=SEKOR!AC$2,1,0))</f>
        <v/>
      </c>
      <c r="AD116" s="125" t="str">
        <f>IF(Ujian!AD123="","",IF(LEFT(Ujian!AD123,1)=SEKOR!AD$2,1,0))</f>
        <v/>
      </c>
      <c r="AE116" s="125" t="str">
        <f>IF(Ujian!AE123="","",IF(LEFT(Ujian!AE123,1)=SEKOR!AE$2,1,0))</f>
        <v/>
      </c>
      <c r="AF116" s="125" t="str">
        <f>IF(Ujian!AF123="","",IF(LEFT(Ujian!AF123,1)=SEKOR!AF$2,1,0))</f>
        <v/>
      </c>
      <c r="AG116" s="125" t="str">
        <f>IF(Ujian!AG123="","",IF(LEFT(Ujian!AG123,1)=SEKOR!AG$2,1,0))</f>
        <v/>
      </c>
      <c r="AH116" s="125" t="str">
        <f>IF(Ujian!AH123="","",IF(LEFT(Ujian!AH123,1)=SEKOR!AH$2,1,0))</f>
        <v/>
      </c>
      <c r="AI116" s="125" t="str">
        <f>IF(Ujian!AI123="","",IF(LEFT(Ujian!AI123,1)=SEKOR!AI$2,1,0))</f>
        <v/>
      </c>
      <c r="AJ116" s="125" t="str">
        <f>IF(Ujian!AJ123="","",IF(LEFT(Ujian!AJ123,1)=SEKOR!AJ$2,1,0))</f>
        <v/>
      </c>
      <c r="AK116" s="125" t="str">
        <f>IF(Ujian!AK123="","",IF(LEFT(Ujian!AK123,1)=SEKOR!AK$2,1,0))</f>
        <v/>
      </c>
      <c r="AL116" s="125" t="str">
        <f>IF(Ujian!AL123="","",IF(LEFT(Ujian!AL123,1)=SEKOR!AL$2,1,0))</f>
        <v/>
      </c>
      <c r="AM116" s="125" t="str">
        <f>IF(Ujian!AM123="","",IF(LEFT(Ujian!AM123,1)=SEKOR!AM$2,1,0))</f>
        <v/>
      </c>
      <c r="AN116" s="125" t="str">
        <f>IF(Ujian!AN123="","",IF(LEFT(Ujian!AN123,1)=SEKOR!AN$2,1,0))</f>
        <v/>
      </c>
      <c r="AO116" s="125" t="str">
        <f>IF(Ujian!AO123="","",IF(LEFT(Ujian!AO123,1)=SEKOR!AO$2,1,0))</f>
        <v/>
      </c>
      <c r="AP116" s="125" t="str">
        <f>IF(Ujian!AP123="","",IF(LEFT(Ujian!AP123,1)=SEKOR!AP$2,1,0))</f>
        <v/>
      </c>
      <c r="AQ116" s="125" t="str">
        <f>IF(Ujian!AQ123="","",IF(LEFT(Ujian!AQ123,1)=SEKOR!AQ$2,1,0))</f>
        <v/>
      </c>
      <c r="AR116" s="125" t="str">
        <f>IF(Ujian!AR123="","",IF(LEFT(Ujian!AR123,1)=SEKOR!AR$2,1,0))</f>
        <v/>
      </c>
      <c r="AS116" s="125" t="str">
        <f>IF(Ujian!AS123="","",IF(LEFT(Ujian!AS123,1)=SEKOR!AS$2,1,0))</f>
        <v/>
      </c>
      <c r="AT116" s="125" t="str">
        <f>IF(Ujian!AT123="","",IF(LEFT(Ujian!AT123,1)=SEKOR!AT$2,1,0))</f>
        <v/>
      </c>
      <c r="AU116" s="125" t="str">
        <f>IF(Ujian!AU123="","",IF(LEFT(Ujian!AU123,1)=SEKOR!AU$2,1,0))</f>
        <v/>
      </c>
      <c r="AV116" s="125" t="str">
        <f>IF(Ujian!AV123="","",IF(LEFT(Ujian!AV123,1)=SEKOR!AV$2,1,0))</f>
        <v/>
      </c>
      <c r="AW116" s="125" t="str">
        <f>IF(Ujian!AW123="","",IF(LEFT(Ujian!AW123,1)=SEKOR!AW$2,1,0))</f>
        <v/>
      </c>
      <c r="AX116" s="125" t="str">
        <f>IF(Ujian!AX123="","",IF(LEFT(Ujian!AX123,1)=SEKOR!AX$2,1,0))</f>
        <v/>
      </c>
      <c r="AY116" s="125" t="str">
        <f>IF(Ujian!AY123="","",IF(LEFT(Ujian!AY123,1)=SEKOR!AY$2,1,0))</f>
        <v/>
      </c>
      <c r="AZ116" s="125" t="str">
        <f>IF(Ujian!AZ123="","",IF(LEFT(Ujian!AZ123,1)=SEKOR!AZ$2,1,0))</f>
        <v/>
      </c>
      <c r="BA116" s="125" t="str">
        <f>IF(Ujian!BA123="","",IF(LEFT(Ujian!BA123,1)=SEKOR!BA$2,1,0))</f>
        <v/>
      </c>
      <c r="BB116" s="125" t="str">
        <f>IF(Ujian!BB123="","",IF(LEFT(Ujian!BB123,1)=SEKOR!BB$2,1,0))</f>
        <v/>
      </c>
      <c r="BC116" s="125" t="str">
        <f>IF(Ujian!BC123="","",IF(LEFT(Ujian!BC123,1)=SEKOR!BC$2,1,0))</f>
        <v/>
      </c>
      <c r="BD116" s="125" t="str">
        <f>IF(Ujian!BD123="","",IF(LEFT(Ujian!BD123,1)=SEKOR!BD$2,1,0))</f>
        <v/>
      </c>
      <c r="BE116" s="125" t="str">
        <f>IF(Ujian!BE123="","",IF(LEFT(Ujian!BE123,1)=SEKOR!BE$2,1,0))</f>
        <v/>
      </c>
      <c r="BF116" s="125" t="str">
        <f>IF(Ujian!BF123="","",IF(LEFT(Ujian!BF123,1)=SEKOR!BF$2,1,0))</f>
        <v/>
      </c>
      <c r="BG116" s="125" t="str">
        <f>IF(Ujian!BG123="","",IF(LEFT(Ujian!BG123,1)=SEKOR!BG$2,1,0))</f>
        <v/>
      </c>
      <c r="BH116" s="125" t="str">
        <f>IF(Ujian!BH123="","",IF(LEFT(Ujian!BH123,1)=SEKOR!BH$2,1,0))</f>
        <v/>
      </c>
      <c r="BI116" s="125" t="str">
        <f>IF(Ujian!BI123="","",IF(LEFT(Ujian!BI123,1)=SEKOR!BI$2,1,0))</f>
        <v/>
      </c>
      <c r="BJ116" s="125" t="str">
        <f>IF(Ujian!BJ123="","",IF(LEFT(Ujian!BJ123,1)=SEKOR!BJ$2,1,0))</f>
        <v/>
      </c>
      <c r="BK116" s="125" t="str">
        <f>IF(Ujian!BK123="","",IF(LEFT(Ujian!BK123,1)=SEKOR!BK$2,1,0))</f>
        <v/>
      </c>
      <c r="BL116" s="18">
        <f t="shared" si="2"/>
        <v>0</v>
      </c>
      <c r="BM116" s="18">
        <f>COUNTIF($D116:$BK116,"")+DATA!$F$14-DATA!$F$12</f>
        <v>60</v>
      </c>
      <c r="BN116" s="17">
        <f>IF(COUNTIF($D116:$BK116,1)&gt;DATA!$F$14,DATA!$F$14,COUNTIF($D116:$BK116,1))</f>
        <v>0</v>
      </c>
      <c r="BO116" s="17">
        <f>IF((BN116+COUNTIF($D116:$BK116,0))&lt;=DATA!$F$14,COUNTIF($D116:$BK116,0),DATA!$F$14-SEKOR!BN116)</f>
        <v>0</v>
      </c>
      <c r="BP116" s="4" t="str">
        <f>IF(BL116=0,"",BN116/DATA!$F$14*100)</f>
        <v/>
      </c>
      <c r="BQ116" s="121" t="str">
        <f t="shared" si="3"/>
        <v/>
      </c>
      <c r="BR116" s="2" t="str">
        <f>IF(Praktik!$E116=0,"",Praktik!$E116)</f>
        <v/>
      </c>
      <c r="BS116" s="2" t="str">
        <f>IF(BR116="","",(BP116*DATAINFO!$O$4)+(SEKOR!BR116*DATAINFO!$O$5)/(DATAINFO!$O$4+DATAINFO!$O$5))</f>
        <v/>
      </c>
      <c r="BT116" s="2" t="str">
        <f>IF(BL116=0,"",IF(DATA!$F$18="TIDAK",ROUNDUP((IF!$L$8*SEKOR!$BP116)+IF!$L$9,0),IF($BR116="","",ROUNDUP((IF!$L$20*$BS116)+IF!$L$21,0))))</f>
        <v/>
      </c>
      <c r="BU116" s="47" t="str">
        <f>IF(BP116="","",IF(SEKOR!BP116&gt;=DATA!$J$12,1,0))</f>
        <v/>
      </c>
      <c r="BV116" s="47" t="str">
        <f>IF(BQ116="","",IF(SEKOR!BQ116&gt;=DATA!$J$12,1,0))</f>
        <v/>
      </c>
      <c r="BW116" s="47" t="str">
        <f>IF(BR116="","",IF(SEKOR!BR116&gt;=DATA!$J$12,1,0))</f>
        <v/>
      </c>
      <c r="BX116" s="47" t="str">
        <f>IF(BT116="","",IF(DATA!$J$14="",IF(SEKOR!BT116&gt;=DATA!$J$12,1,0),IF(SEKOR!BT116&gt;=DATA!$J$14,1,0)))</f>
        <v/>
      </c>
    </row>
    <row r="117" spans="1:76" x14ac:dyDescent="0.25">
      <c r="A117" s="20" t="s">
        <v>144</v>
      </c>
      <c r="B117" s="21" t="str">
        <f>IF(Ujian!B124="","",Ujian!B124)</f>
        <v/>
      </c>
      <c r="C117" s="57" t="str">
        <f>IF(Ujian!C124="","",Ujian!C124)</f>
        <v/>
      </c>
      <c r="D117" s="125" t="str">
        <f>IF(Ujian!D124="","",IF(LEFT(Ujian!D124,1)=SEKOR!D$2,1,0))</f>
        <v/>
      </c>
      <c r="E117" s="125" t="str">
        <f>IF(Ujian!E124="","",IF(LEFT(Ujian!E124,1)=SEKOR!E$2,1,0))</f>
        <v/>
      </c>
      <c r="F117" s="125" t="str">
        <f>IF(Ujian!F124="","",IF(LEFT(Ujian!F124,1)=SEKOR!F$2,1,0))</f>
        <v/>
      </c>
      <c r="G117" s="125" t="str">
        <f>IF(Ujian!G124="","",IF(LEFT(Ujian!G124,1)=SEKOR!G$2,1,0))</f>
        <v/>
      </c>
      <c r="H117" s="125" t="str">
        <f>IF(Ujian!H124="","",IF(LEFT(Ujian!H124,1)=SEKOR!H$2,1,0))</f>
        <v/>
      </c>
      <c r="I117" s="125" t="str">
        <f>IF(Ujian!I124="","",IF(LEFT(Ujian!I124,1)=SEKOR!I$2,1,0))</f>
        <v/>
      </c>
      <c r="J117" s="125" t="str">
        <f>IF(Ujian!J124="","",IF(LEFT(Ujian!J124,1)=SEKOR!J$2,1,0))</f>
        <v/>
      </c>
      <c r="K117" s="125" t="str">
        <f>IF(Ujian!K124="","",IF(LEFT(Ujian!K124,1)=SEKOR!K$2,1,0))</f>
        <v/>
      </c>
      <c r="L117" s="125" t="str">
        <f>IF(Ujian!L124="","",IF(LEFT(Ujian!L124,1)=SEKOR!L$2,1,0))</f>
        <v/>
      </c>
      <c r="M117" s="125" t="str">
        <f>IF(Ujian!M124="","",IF(LEFT(Ujian!M124,1)=SEKOR!M$2,1,0))</f>
        <v/>
      </c>
      <c r="N117" s="125" t="str">
        <f>IF(Ujian!N124="","",IF(LEFT(Ujian!N124,1)=SEKOR!N$2,1,0))</f>
        <v/>
      </c>
      <c r="O117" s="125" t="str">
        <f>IF(Ujian!O124="","",IF(LEFT(Ujian!O124,1)=SEKOR!O$2,1,0))</f>
        <v/>
      </c>
      <c r="P117" s="125" t="str">
        <f>IF(Ujian!P124="","",IF(LEFT(Ujian!P124,1)=SEKOR!P$2,1,0))</f>
        <v/>
      </c>
      <c r="Q117" s="125" t="str">
        <f>IF(Ujian!Q124="","",IF(LEFT(Ujian!Q124,1)=SEKOR!Q$2,1,0))</f>
        <v/>
      </c>
      <c r="R117" s="125" t="str">
        <f>IF(Ujian!R124="","",IF(LEFT(Ujian!R124,1)=SEKOR!R$2,1,0))</f>
        <v/>
      </c>
      <c r="S117" s="125" t="str">
        <f>IF(Ujian!S124="","",IF(LEFT(Ujian!S124,1)=SEKOR!S$2,1,0))</f>
        <v/>
      </c>
      <c r="T117" s="125" t="str">
        <f>IF(Ujian!T124="","",IF(LEFT(Ujian!T124,1)=SEKOR!T$2,1,0))</f>
        <v/>
      </c>
      <c r="U117" s="125" t="str">
        <f>IF(Ujian!U124="","",IF(LEFT(Ujian!U124,1)=SEKOR!U$2,1,0))</f>
        <v/>
      </c>
      <c r="V117" s="125" t="str">
        <f>IF(Ujian!V124="","",IF(LEFT(Ujian!V124,1)=SEKOR!V$2,1,0))</f>
        <v/>
      </c>
      <c r="W117" s="125" t="str">
        <f>IF(Ujian!W124="","",IF(LEFT(Ujian!W124,1)=SEKOR!W$2,1,0))</f>
        <v/>
      </c>
      <c r="X117" s="125" t="str">
        <f>IF(Ujian!X124="","",IF(LEFT(Ujian!X124,1)=SEKOR!X$2,1,0))</f>
        <v/>
      </c>
      <c r="Y117" s="125" t="str">
        <f>IF(Ujian!Y124="","",IF(LEFT(Ujian!Y124,1)=SEKOR!Y$2,1,0))</f>
        <v/>
      </c>
      <c r="Z117" s="125" t="str">
        <f>IF(Ujian!Z124="","",IF(LEFT(Ujian!Z124,1)=SEKOR!Z$2,1,0))</f>
        <v/>
      </c>
      <c r="AA117" s="125" t="str">
        <f>IF(Ujian!AA124="","",IF(LEFT(Ujian!AA124,1)=SEKOR!AA$2,1,0))</f>
        <v/>
      </c>
      <c r="AB117" s="125" t="str">
        <f>IF(Ujian!AB124="","",IF(LEFT(Ujian!AB124,1)=SEKOR!AB$2,1,0))</f>
        <v/>
      </c>
      <c r="AC117" s="125" t="str">
        <f>IF(Ujian!AC124="","",IF(LEFT(Ujian!AC124,1)=SEKOR!AC$2,1,0))</f>
        <v/>
      </c>
      <c r="AD117" s="125" t="str">
        <f>IF(Ujian!AD124="","",IF(LEFT(Ujian!AD124,1)=SEKOR!AD$2,1,0))</f>
        <v/>
      </c>
      <c r="AE117" s="125" t="str">
        <f>IF(Ujian!AE124="","",IF(LEFT(Ujian!AE124,1)=SEKOR!AE$2,1,0))</f>
        <v/>
      </c>
      <c r="AF117" s="125" t="str">
        <f>IF(Ujian!AF124="","",IF(LEFT(Ujian!AF124,1)=SEKOR!AF$2,1,0))</f>
        <v/>
      </c>
      <c r="AG117" s="125" t="str">
        <f>IF(Ujian!AG124="","",IF(LEFT(Ujian!AG124,1)=SEKOR!AG$2,1,0))</f>
        <v/>
      </c>
      <c r="AH117" s="125" t="str">
        <f>IF(Ujian!AH124="","",IF(LEFT(Ujian!AH124,1)=SEKOR!AH$2,1,0))</f>
        <v/>
      </c>
      <c r="AI117" s="125" t="str">
        <f>IF(Ujian!AI124="","",IF(LEFT(Ujian!AI124,1)=SEKOR!AI$2,1,0))</f>
        <v/>
      </c>
      <c r="AJ117" s="125" t="str">
        <f>IF(Ujian!AJ124="","",IF(LEFT(Ujian!AJ124,1)=SEKOR!AJ$2,1,0))</f>
        <v/>
      </c>
      <c r="AK117" s="125" t="str">
        <f>IF(Ujian!AK124="","",IF(LEFT(Ujian!AK124,1)=SEKOR!AK$2,1,0))</f>
        <v/>
      </c>
      <c r="AL117" s="125" t="str">
        <f>IF(Ujian!AL124="","",IF(LEFT(Ujian!AL124,1)=SEKOR!AL$2,1,0))</f>
        <v/>
      </c>
      <c r="AM117" s="125" t="str">
        <f>IF(Ujian!AM124="","",IF(LEFT(Ujian!AM124,1)=SEKOR!AM$2,1,0))</f>
        <v/>
      </c>
      <c r="AN117" s="125" t="str">
        <f>IF(Ujian!AN124="","",IF(LEFT(Ujian!AN124,1)=SEKOR!AN$2,1,0))</f>
        <v/>
      </c>
      <c r="AO117" s="125" t="str">
        <f>IF(Ujian!AO124="","",IF(LEFT(Ujian!AO124,1)=SEKOR!AO$2,1,0))</f>
        <v/>
      </c>
      <c r="AP117" s="125" t="str">
        <f>IF(Ujian!AP124="","",IF(LEFT(Ujian!AP124,1)=SEKOR!AP$2,1,0))</f>
        <v/>
      </c>
      <c r="AQ117" s="125" t="str">
        <f>IF(Ujian!AQ124="","",IF(LEFT(Ujian!AQ124,1)=SEKOR!AQ$2,1,0))</f>
        <v/>
      </c>
      <c r="AR117" s="125" t="str">
        <f>IF(Ujian!AR124="","",IF(LEFT(Ujian!AR124,1)=SEKOR!AR$2,1,0))</f>
        <v/>
      </c>
      <c r="AS117" s="125" t="str">
        <f>IF(Ujian!AS124="","",IF(LEFT(Ujian!AS124,1)=SEKOR!AS$2,1,0))</f>
        <v/>
      </c>
      <c r="AT117" s="125" t="str">
        <f>IF(Ujian!AT124="","",IF(LEFT(Ujian!AT124,1)=SEKOR!AT$2,1,0))</f>
        <v/>
      </c>
      <c r="AU117" s="125" t="str">
        <f>IF(Ujian!AU124="","",IF(LEFT(Ujian!AU124,1)=SEKOR!AU$2,1,0))</f>
        <v/>
      </c>
      <c r="AV117" s="125" t="str">
        <f>IF(Ujian!AV124="","",IF(LEFT(Ujian!AV124,1)=SEKOR!AV$2,1,0))</f>
        <v/>
      </c>
      <c r="AW117" s="125" t="str">
        <f>IF(Ujian!AW124="","",IF(LEFT(Ujian!AW124,1)=SEKOR!AW$2,1,0))</f>
        <v/>
      </c>
      <c r="AX117" s="125" t="str">
        <f>IF(Ujian!AX124="","",IF(LEFT(Ujian!AX124,1)=SEKOR!AX$2,1,0))</f>
        <v/>
      </c>
      <c r="AY117" s="125" t="str">
        <f>IF(Ujian!AY124="","",IF(LEFT(Ujian!AY124,1)=SEKOR!AY$2,1,0))</f>
        <v/>
      </c>
      <c r="AZ117" s="125" t="str">
        <f>IF(Ujian!AZ124="","",IF(LEFT(Ujian!AZ124,1)=SEKOR!AZ$2,1,0))</f>
        <v/>
      </c>
      <c r="BA117" s="125" t="str">
        <f>IF(Ujian!BA124="","",IF(LEFT(Ujian!BA124,1)=SEKOR!BA$2,1,0))</f>
        <v/>
      </c>
      <c r="BB117" s="125" t="str">
        <f>IF(Ujian!BB124="","",IF(LEFT(Ujian!BB124,1)=SEKOR!BB$2,1,0))</f>
        <v/>
      </c>
      <c r="BC117" s="125" t="str">
        <f>IF(Ujian!BC124="","",IF(LEFT(Ujian!BC124,1)=SEKOR!BC$2,1,0))</f>
        <v/>
      </c>
      <c r="BD117" s="125" t="str">
        <f>IF(Ujian!BD124="","",IF(LEFT(Ujian!BD124,1)=SEKOR!BD$2,1,0))</f>
        <v/>
      </c>
      <c r="BE117" s="125" t="str">
        <f>IF(Ujian!BE124="","",IF(LEFT(Ujian!BE124,1)=SEKOR!BE$2,1,0))</f>
        <v/>
      </c>
      <c r="BF117" s="125" t="str">
        <f>IF(Ujian!BF124="","",IF(LEFT(Ujian!BF124,1)=SEKOR!BF$2,1,0))</f>
        <v/>
      </c>
      <c r="BG117" s="125" t="str">
        <f>IF(Ujian!BG124="","",IF(LEFT(Ujian!BG124,1)=SEKOR!BG$2,1,0))</f>
        <v/>
      </c>
      <c r="BH117" s="125" t="str">
        <f>IF(Ujian!BH124="","",IF(LEFT(Ujian!BH124,1)=SEKOR!BH$2,1,0))</f>
        <v/>
      </c>
      <c r="BI117" s="125" t="str">
        <f>IF(Ujian!BI124="","",IF(LEFT(Ujian!BI124,1)=SEKOR!BI$2,1,0))</f>
        <v/>
      </c>
      <c r="BJ117" s="125" t="str">
        <f>IF(Ujian!BJ124="","",IF(LEFT(Ujian!BJ124,1)=SEKOR!BJ$2,1,0))</f>
        <v/>
      </c>
      <c r="BK117" s="125" t="str">
        <f>IF(Ujian!BK124="","",IF(LEFT(Ujian!BK124,1)=SEKOR!BK$2,1,0))</f>
        <v/>
      </c>
      <c r="BL117" s="18">
        <f t="shared" si="2"/>
        <v>0</v>
      </c>
      <c r="BM117" s="18">
        <f>COUNTIF($D117:$BK117,"")+DATA!$F$14-DATA!$F$12</f>
        <v>60</v>
      </c>
      <c r="BN117" s="17">
        <f>IF(COUNTIF($D117:$BK117,1)&gt;DATA!$F$14,DATA!$F$14,COUNTIF($D117:$BK117,1))</f>
        <v>0</v>
      </c>
      <c r="BO117" s="17">
        <f>IF((BN117+COUNTIF($D117:$BK117,0))&lt;=DATA!$F$14,COUNTIF($D117:$BK117,0),DATA!$F$14-SEKOR!BN117)</f>
        <v>0</v>
      </c>
      <c r="BP117" s="4" t="str">
        <f>IF(BL117=0,"",BN117/DATA!$F$14*100)</f>
        <v/>
      </c>
      <c r="BQ117" s="121" t="str">
        <f t="shared" si="3"/>
        <v/>
      </c>
      <c r="BR117" s="2" t="str">
        <f>IF(Praktik!$E117=0,"",Praktik!$E117)</f>
        <v/>
      </c>
      <c r="BS117" s="2" t="str">
        <f>IF(BR117="","",(BP117*DATAINFO!$O$4)+(SEKOR!BR117*DATAINFO!$O$5)/(DATAINFO!$O$4+DATAINFO!$O$5))</f>
        <v/>
      </c>
      <c r="BT117" s="2" t="str">
        <f>IF(BL117=0,"",IF(DATA!$F$18="TIDAK",ROUNDUP((IF!$L$8*SEKOR!$BP117)+IF!$L$9,0),IF($BR117="","",ROUNDUP((IF!$L$20*$BS117)+IF!$L$21,0))))</f>
        <v/>
      </c>
      <c r="BU117" s="47" t="str">
        <f>IF(BP117="","",IF(SEKOR!BP117&gt;=DATA!$J$12,1,0))</f>
        <v/>
      </c>
      <c r="BV117" s="47" t="str">
        <f>IF(BQ117="","",IF(SEKOR!BQ117&gt;=DATA!$J$12,1,0))</f>
        <v/>
      </c>
      <c r="BW117" s="47" t="str">
        <f>IF(BR117="","",IF(SEKOR!BR117&gt;=DATA!$J$12,1,0))</f>
        <v/>
      </c>
      <c r="BX117" s="47" t="str">
        <f>IF(BT117="","",IF(DATA!$J$14="",IF(SEKOR!BT117&gt;=DATA!$J$12,1,0),IF(SEKOR!BT117&gt;=DATA!$J$14,1,0)))</f>
        <v/>
      </c>
    </row>
    <row r="118" spans="1:76" x14ac:dyDescent="0.25">
      <c r="A118" s="20" t="s">
        <v>145</v>
      </c>
      <c r="B118" s="21" t="str">
        <f>IF(Ujian!B125="","",Ujian!B125)</f>
        <v/>
      </c>
      <c r="C118" s="57" t="str">
        <f>IF(Ujian!C125="","",Ujian!C125)</f>
        <v/>
      </c>
      <c r="D118" s="125" t="str">
        <f>IF(Ujian!D125="","",IF(LEFT(Ujian!D125,1)=SEKOR!D$2,1,0))</f>
        <v/>
      </c>
      <c r="E118" s="125" t="str">
        <f>IF(Ujian!E125="","",IF(LEFT(Ujian!E125,1)=SEKOR!E$2,1,0))</f>
        <v/>
      </c>
      <c r="F118" s="125" t="str">
        <f>IF(Ujian!F125="","",IF(LEFT(Ujian!F125,1)=SEKOR!F$2,1,0))</f>
        <v/>
      </c>
      <c r="G118" s="125" t="str">
        <f>IF(Ujian!G125="","",IF(LEFT(Ujian!G125,1)=SEKOR!G$2,1,0))</f>
        <v/>
      </c>
      <c r="H118" s="125" t="str">
        <f>IF(Ujian!H125="","",IF(LEFT(Ujian!H125,1)=SEKOR!H$2,1,0))</f>
        <v/>
      </c>
      <c r="I118" s="125" t="str">
        <f>IF(Ujian!I125="","",IF(LEFT(Ujian!I125,1)=SEKOR!I$2,1,0))</f>
        <v/>
      </c>
      <c r="J118" s="125" t="str">
        <f>IF(Ujian!J125="","",IF(LEFT(Ujian!J125,1)=SEKOR!J$2,1,0))</f>
        <v/>
      </c>
      <c r="K118" s="125" t="str">
        <f>IF(Ujian!K125="","",IF(LEFT(Ujian!K125,1)=SEKOR!K$2,1,0))</f>
        <v/>
      </c>
      <c r="L118" s="125" t="str">
        <f>IF(Ujian!L125="","",IF(LEFT(Ujian!L125,1)=SEKOR!L$2,1,0))</f>
        <v/>
      </c>
      <c r="M118" s="125" t="str">
        <f>IF(Ujian!M125="","",IF(LEFT(Ujian!M125,1)=SEKOR!M$2,1,0))</f>
        <v/>
      </c>
      <c r="N118" s="125" t="str">
        <f>IF(Ujian!N125="","",IF(LEFT(Ujian!N125,1)=SEKOR!N$2,1,0))</f>
        <v/>
      </c>
      <c r="O118" s="125" t="str">
        <f>IF(Ujian!O125="","",IF(LEFT(Ujian!O125,1)=SEKOR!O$2,1,0))</f>
        <v/>
      </c>
      <c r="P118" s="125" t="str">
        <f>IF(Ujian!P125="","",IF(LEFT(Ujian!P125,1)=SEKOR!P$2,1,0))</f>
        <v/>
      </c>
      <c r="Q118" s="125" t="str">
        <f>IF(Ujian!Q125="","",IF(LEFT(Ujian!Q125,1)=SEKOR!Q$2,1,0))</f>
        <v/>
      </c>
      <c r="R118" s="125" t="str">
        <f>IF(Ujian!R125="","",IF(LEFT(Ujian!R125,1)=SEKOR!R$2,1,0))</f>
        <v/>
      </c>
      <c r="S118" s="125" t="str">
        <f>IF(Ujian!S125="","",IF(LEFT(Ujian!S125,1)=SEKOR!S$2,1,0))</f>
        <v/>
      </c>
      <c r="T118" s="125" t="str">
        <f>IF(Ujian!T125="","",IF(LEFT(Ujian!T125,1)=SEKOR!T$2,1,0))</f>
        <v/>
      </c>
      <c r="U118" s="125" t="str">
        <f>IF(Ujian!U125="","",IF(LEFT(Ujian!U125,1)=SEKOR!U$2,1,0))</f>
        <v/>
      </c>
      <c r="V118" s="125" t="str">
        <f>IF(Ujian!V125="","",IF(LEFT(Ujian!V125,1)=SEKOR!V$2,1,0))</f>
        <v/>
      </c>
      <c r="W118" s="125" t="str">
        <f>IF(Ujian!W125="","",IF(LEFT(Ujian!W125,1)=SEKOR!W$2,1,0))</f>
        <v/>
      </c>
      <c r="X118" s="125" t="str">
        <f>IF(Ujian!X125="","",IF(LEFT(Ujian!X125,1)=SEKOR!X$2,1,0))</f>
        <v/>
      </c>
      <c r="Y118" s="125" t="str">
        <f>IF(Ujian!Y125="","",IF(LEFT(Ujian!Y125,1)=SEKOR!Y$2,1,0))</f>
        <v/>
      </c>
      <c r="Z118" s="125" t="str">
        <f>IF(Ujian!Z125="","",IF(LEFT(Ujian!Z125,1)=SEKOR!Z$2,1,0))</f>
        <v/>
      </c>
      <c r="AA118" s="125" t="str">
        <f>IF(Ujian!AA125="","",IF(LEFT(Ujian!AA125,1)=SEKOR!AA$2,1,0))</f>
        <v/>
      </c>
      <c r="AB118" s="125" t="str">
        <f>IF(Ujian!AB125="","",IF(LEFT(Ujian!AB125,1)=SEKOR!AB$2,1,0))</f>
        <v/>
      </c>
      <c r="AC118" s="125" t="str">
        <f>IF(Ujian!AC125="","",IF(LEFT(Ujian!AC125,1)=SEKOR!AC$2,1,0))</f>
        <v/>
      </c>
      <c r="AD118" s="125" t="str">
        <f>IF(Ujian!AD125="","",IF(LEFT(Ujian!AD125,1)=SEKOR!AD$2,1,0))</f>
        <v/>
      </c>
      <c r="AE118" s="125" t="str">
        <f>IF(Ujian!AE125="","",IF(LEFT(Ujian!AE125,1)=SEKOR!AE$2,1,0))</f>
        <v/>
      </c>
      <c r="AF118" s="125" t="str">
        <f>IF(Ujian!AF125="","",IF(LEFT(Ujian!AF125,1)=SEKOR!AF$2,1,0))</f>
        <v/>
      </c>
      <c r="AG118" s="125" t="str">
        <f>IF(Ujian!AG125="","",IF(LEFT(Ujian!AG125,1)=SEKOR!AG$2,1,0))</f>
        <v/>
      </c>
      <c r="AH118" s="125" t="str">
        <f>IF(Ujian!AH125="","",IF(LEFT(Ujian!AH125,1)=SEKOR!AH$2,1,0))</f>
        <v/>
      </c>
      <c r="AI118" s="125" t="str">
        <f>IF(Ujian!AI125="","",IF(LEFT(Ujian!AI125,1)=SEKOR!AI$2,1,0))</f>
        <v/>
      </c>
      <c r="AJ118" s="125" t="str">
        <f>IF(Ujian!AJ125="","",IF(LEFT(Ujian!AJ125,1)=SEKOR!AJ$2,1,0))</f>
        <v/>
      </c>
      <c r="AK118" s="125" t="str">
        <f>IF(Ujian!AK125="","",IF(LEFT(Ujian!AK125,1)=SEKOR!AK$2,1,0))</f>
        <v/>
      </c>
      <c r="AL118" s="125" t="str">
        <f>IF(Ujian!AL125="","",IF(LEFT(Ujian!AL125,1)=SEKOR!AL$2,1,0))</f>
        <v/>
      </c>
      <c r="AM118" s="125" t="str">
        <f>IF(Ujian!AM125="","",IF(LEFT(Ujian!AM125,1)=SEKOR!AM$2,1,0))</f>
        <v/>
      </c>
      <c r="AN118" s="125" t="str">
        <f>IF(Ujian!AN125="","",IF(LEFT(Ujian!AN125,1)=SEKOR!AN$2,1,0))</f>
        <v/>
      </c>
      <c r="AO118" s="125" t="str">
        <f>IF(Ujian!AO125="","",IF(LEFT(Ujian!AO125,1)=SEKOR!AO$2,1,0))</f>
        <v/>
      </c>
      <c r="AP118" s="125" t="str">
        <f>IF(Ujian!AP125="","",IF(LEFT(Ujian!AP125,1)=SEKOR!AP$2,1,0))</f>
        <v/>
      </c>
      <c r="AQ118" s="125" t="str">
        <f>IF(Ujian!AQ125="","",IF(LEFT(Ujian!AQ125,1)=SEKOR!AQ$2,1,0))</f>
        <v/>
      </c>
      <c r="AR118" s="125" t="str">
        <f>IF(Ujian!AR125="","",IF(LEFT(Ujian!AR125,1)=SEKOR!AR$2,1,0))</f>
        <v/>
      </c>
      <c r="AS118" s="125" t="str">
        <f>IF(Ujian!AS125="","",IF(LEFT(Ujian!AS125,1)=SEKOR!AS$2,1,0))</f>
        <v/>
      </c>
      <c r="AT118" s="125" t="str">
        <f>IF(Ujian!AT125="","",IF(LEFT(Ujian!AT125,1)=SEKOR!AT$2,1,0))</f>
        <v/>
      </c>
      <c r="AU118" s="125" t="str">
        <f>IF(Ujian!AU125="","",IF(LEFT(Ujian!AU125,1)=SEKOR!AU$2,1,0))</f>
        <v/>
      </c>
      <c r="AV118" s="125" t="str">
        <f>IF(Ujian!AV125="","",IF(LEFT(Ujian!AV125,1)=SEKOR!AV$2,1,0))</f>
        <v/>
      </c>
      <c r="AW118" s="125" t="str">
        <f>IF(Ujian!AW125="","",IF(LEFT(Ujian!AW125,1)=SEKOR!AW$2,1,0))</f>
        <v/>
      </c>
      <c r="AX118" s="125" t="str">
        <f>IF(Ujian!AX125="","",IF(LEFT(Ujian!AX125,1)=SEKOR!AX$2,1,0))</f>
        <v/>
      </c>
      <c r="AY118" s="125" t="str">
        <f>IF(Ujian!AY125="","",IF(LEFT(Ujian!AY125,1)=SEKOR!AY$2,1,0))</f>
        <v/>
      </c>
      <c r="AZ118" s="125" t="str">
        <f>IF(Ujian!AZ125="","",IF(LEFT(Ujian!AZ125,1)=SEKOR!AZ$2,1,0))</f>
        <v/>
      </c>
      <c r="BA118" s="125" t="str">
        <f>IF(Ujian!BA125="","",IF(LEFT(Ujian!BA125,1)=SEKOR!BA$2,1,0))</f>
        <v/>
      </c>
      <c r="BB118" s="125" t="str">
        <f>IF(Ujian!BB125="","",IF(LEFT(Ujian!BB125,1)=SEKOR!BB$2,1,0))</f>
        <v/>
      </c>
      <c r="BC118" s="125" t="str">
        <f>IF(Ujian!BC125="","",IF(LEFT(Ujian!BC125,1)=SEKOR!BC$2,1,0))</f>
        <v/>
      </c>
      <c r="BD118" s="125" t="str">
        <f>IF(Ujian!BD125="","",IF(LEFT(Ujian!BD125,1)=SEKOR!BD$2,1,0))</f>
        <v/>
      </c>
      <c r="BE118" s="125" t="str">
        <f>IF(Ujian!BE125="","",IF(LEFT(Ujian!BE125,1)=SEKOR!BE$2,1,0))</f>
        <v/>
      </c>
      <c r="BF118" s="125" t="str">
        <f>IF(Ujian!BF125="","",IF(LEFT(Ujian!BF125,1)=SEKOR!BF$2,1,0))</f>
        <v/>
      </c>
      <c r="BG118" s="125" t="str">
        <f>IF(Ujian!BG125="","",IF(LEFT(Ujian!BG125,1)=SEKOR!BG$2,1,0))</f>
        <v/>
      </c>
      <c r="BH118" s="125" t="str">
        <f>IF(Ujian!BH125="","",IF(LEFT(Ujian!BH125,1)=SEKOR!BH$2,1,0))</f>
        <v/>
      </c>
      <c r="BI118" s="125" t="str">
        <f>IF(Ujian!BI125="","",IF(LEFT(Ujian!BI125,1)=SEKOR!BI$2,1,0))</f>
        <v/>
      </c>
      <c r="BJ118" s="125" t="str">
        <f>IF(Ujian!BJ125="","",IF(LEFT(Ujian!BJ125,1)=SEKOR!BJ$2,1,0))</f>
        <v/>
      </c>
      <c r="BK118" s="125" t="str">
        <f>IF(Ujian!BK125="","",IF(LEFT(Ujian!BK125,1)=SEKOR!BK$2,1,0))</f>
        <v/>
      </c>
      <c r="BL118" s="18">
        <f t="shared" si="2"/>
        <v>0</v>
      </c>
      <c r="BM118" s="18">
        <f>COUNTIF($D118:$BK118,"")+DATA!$F$14-DATA!$F$12</f>
        <v>60</v>
      </c>
      <c r="BN118" s="17">
        <f>IF(COUNTIF($D118:$BK118,1)&gt;DATA!$F$14,DATA!$F$14,COUNTIF($D118:$BK118,1))</f>
        <v>0</v>
      </c>
      <c r="BO118" s="17">
        <f>IF((BN118+COUNTIF($D118:$BK118,0))&lt;=DATA!$F$14,COUNTIF($D118:$BK118,0),DATA!$F$14-SEKOR!BN118)</f>
        <v>0</v>
      </c>
      <c r="BP118" s="4" t="str">
        <f>IF(BL118=0,"",BN118/DATA!$F$14*100)</f>
        <v/>
      </c>
      <c r="BQ118" s="121" t="str">
        <f t="shared" si="3"/>
        <v/>
      </c>
      <c r="BR118" s="2" t="str">
        <f>IF(Praktik!$E118=0,"",Praktik!$E118)</f>
        <v/>
      </c>
      <c r="BS118" s="2" t="str">
        <f>IF(BR118="","",(BP118*DATAINFO!$O$4)+(SEKOR!BR118*DATAINFO!$O$5)/(DATAINFO!$O$4+DATAINFO!$O$5))</f>
        <v/>
      </c>
      <c r="BT118" s="2" t="str">
        <f>IF(BL118=0,"",IF(DATA!$F$18="TIDAK",ROUNDUP((IF!$L$8*SEKOR!$BP118)+IF!$L$9,0),IF($BR118="","",ROUNDUP((IF!$L$20*$BS118)+IF!$L$21,0))))</f>
        <v/>
      </c>
      <c r="BU118" s="47" t="str">
        <f>IF(BP118="","",IF(SEKOR!BP118&gt;=DATA!$J$12,1,0))</f>
        <v/>
      </c>
      <c r="BV118" s="47" t="str">
        <f>IF(BQ118="","",IF(SEKOR!BQ118&gt;=DATA!$J$12,1,0))</f>
        <v/>
      </c>
      <c r="BW118" s="47" t="str">
        <f>IF(BR118="","",IF(SEKOR!BR118&gt;=DATA!$J$12,1,0))</f>
        <v/>
      </c>
      <c r="BX118" s="47" t="str">
        <f>IF(BT118="","",IF(DATA!$J$14="",IF(SEKOR!BT118&gt;=DATA!$J$12,1,0),IF(SEKOR!BT118&gt;=DATA!$J$14,1,0)))</f>
        <v/>
      </c>
    </row>
    <row r="119" spans="1:76" x14ac:dyDescent="0.25">
      <c r="A119" s="20" t="s">
        <v>146</v>
      </c>
      <c r="B119" s="21" t="str">
        <f>IF(Ujian!B126="","",Ujian!B126)</f>
        <v/>
      </c>
      <c r="C119" s="57" t="str">
        <f>IF(Ujian!C126="","",Ujian!C126)</f>
        <v/>
      </c>
      <c r="D119" s="125" t="str">
        <f>IF(Ujian!D126="","",IF(LEFT(Ujian!D126,1)=SEKOR!D$2,1,0))</f>
        <v/>
      </c>
      <c r="E119" s="125" t="str">
        <f>IF(Ujian!E126="","",IF(LEFT(Ujian!E126,1)=SEKOR!E$2,1,0))</f>
        <v/>
      </c>
      <c r="F119" s="125" t="str">
        <f>IF(Ujian!F126="","",IF(LEFT(Ujian!F126,1)=SEKOR!F$2,1,0))</f>
        <v/>
      </c>
      <c r="G119" s="125" t="str">
        <f>IF(Ujian!G126="","",IF(LEFT(Ujian!G126,1)=SEKOR!G$2,1,0))</f>
        <v/>
      </c>
      <c r="H119" s="125" t="str">
        <f>IF(Ujian!H126="","",IF(LEFT(Ujian!H126,1)=SEKOR!H$2,1,0))</f>
        <v/>
      </c>
      <c r="I119" s="125" t="str">
        <f>IF(Ujian!I126="","",IF(LEFT(Ujian!I126,1)=SEKOR!I$2,1,0))</f>
        <v/>
      </c>
      <c r="J119" s="125" t="str">
        <f>IF(Ujian!J126="","",IF(LEFT(Ujian!J126,1)=SEKOR!J$2,1,0))</f>
        <v/>
      </c>
      <c r="K119" s="125" t="str">
        <f>IF(Ujian!K126="","",IF(LEFT(Ujian!K126,1)=SEKOR!K$2,1,0))</f>
        <v/>
      </c>
      <c r="L119" s="125" t="str">
        <f>IF(Ujian!L126="","",IF(LEFT(Ujian!L126,1)=SEKOR!L$2,1,0))</f>
        <v/>
      </c>
      <c r="M119" s="125" t="str">
        <f>IF(Ujian!M126="","",IF(LEFT(Ujian!M126,1)=SEKOR!M$2,1,0))</f>
        <v/>
      </c>
      <c r="N119" s="125" t="str">
        <f>IF(Ujian!N126="","",IF(LEFT(Ujian!N126,1)=SEKOR!N$2,1,0))</f>
        <v/>
      </c>
      <c r="O119" s="125" t="str">
        <f>IF(Ujian!O126="","",IF(LEFT(Ujian!O126,1)=SEKOR!O$2,1,0))</f>
        <v/>
      </c>
      <c r="P119" s="125" t="str">
        <f>IF(Ujian!P126="","",IF(LEFT(Ujian!P126,1)=SEKOR!P$2,1,0))</f>
        <v/>
      </c>
      <c r="Q119" s="125" t="str">
        <f>IF(Ujian!Q126="","",IF(LEFT(Ujian!Q126,1)=SEKOR!Q$2,1,0))</f>
        <v/>
      </c>
      <c r="R119" s="125" t="str">
        <f>IF(Ujian!R126="","",IF(LEFT(Ujian!R126,1)=SEKOR!R$2,1,0))</f>
        <v/>
      </c>
      <c r="S119" s="125" t="str">
        <f>IF(Ujian!S126="","",IF(LEFT(Ujian!S126,1)=SEKOR!S$2,1,0))</f>
        <v/>
      </c>
      <c r="T119" s="125" t="str">
        <f>IF(Ujian!T126="","",IF(LEFT(Ujian!T126,1)=SEKOR!T$2,1,0))</f>
        <v/>
      </c>
      <c r="U119" s="125" t="str">
        <f>IF(Ujian!U126="","",IF(LEFT(Ujian!U126,1)=SEKOR!U$2,1,0))</f>
        <v/>
      </c>
      <c r="V119" s="125" t="str">
        <f>IF(Ujian!V126="","",IF(LEFT(Ujian!V126,1)=SEKOR!V$2,1,0))</f>
        <v/>
      </c>
      <c r="W119" s="125" t="str">
        <f>IF(Ujian!W126="","",IF(LEFT(Ujian!W126,1)=SEKOR!W$2,1,0))</f>
        <v/>
      </c>
      <c r="X119" s="125" t="str">
        <f>IF(Ujian!X126="","",IF(LEFT(Ujian!X126,1)=SEKOR!X$2,1,0))</f>
        <v/>
      </c>
      <c r="Y119" s="125" t="str">
        <f>IF(Ujian!Y126="","",IF(LEFT(Ujian!Y126,1)=SEKOR!Y$2,1,0))</f>
        <v/>
      </c>
      <c r="Z119" s="125" t="str">
        <f>IF(Ujian!Z126="","",IF(LEFT(Ujian!Z126,1)=SEKOR!Z$2,1,0))</f>
        <v/>
      </c>
      <c r="AA119" s="125" t="str">
        <f>IF(Ujian!AA126="","",IF(LEFT(Ujian!AA126,1)=SEKOR!AA$2,1,0))</f>
        <v/>
      </c>
      <c r="AB119" s="125" t="str">
        <f>IF(Ujian!AB126="","",IF(LEFT(Ujian!AB126,1)=SEKOR!AB$2,1,0))</f>
        <v/>
      </c>
      <c r="AC119" s="125" t="str">
        <f>IF(Ujian!AC126="","",IF(LEFT(Ujian!AC126,1)=SEKOR!AC$2,1,0))</f>
        <v/>
      </c>
      <c r="AD119" s="125" t="str">
        <f>IF(Ujian!AD126="","",IF(LEFT(Ujian!AD126,1)=SEKOR!AD$2,1,0))</f>
        <v/>
      </c>
      <c r="AE119" s="125" t="str">
        <f>IF(Ujian!AE126="","",IF(LEFT(Ujian!AE126,1)=SEKOR!AE$2,1,0))</f>
        <v/>
      </c>
      <c r="AF119" s="125" t="str">
        <f>IF(Ujian!AF126="","",IF(LEFT(Ujian!AF126,1)=SEKOR!AF$2,1,0))</f>
        <v/>
      </c>
      <c r="AG119" s="125" t="str">
        <f>IF(Ujian!AG126="","",IF(LEFT(Ujian!AG126,1)=SEKOR!AG$2,1,0))</f>
        <v/>
      </c>
      <c r="AH119" s="125" t="str">
        <f>IF(Ujian!AH126="","",IF(LEFT(Ujian!AH126,1)=SEKOR!AH$2,1,0))</f>
        <v/>
      </c>
      <c r="AI119" s="125" t="str">
        <f>IF(Ujian!AI126="","",IF(LEFT(Ujian!AI126,1)=SEKOR!AI$2,1,0))</f>
        <v/>
      </c>
      <c r="AJ119" s="125" t="str">
        <f>IF(Ujian!AJ126="","",IF(LEFT(Ujian!AJ126,1)=SEKOR!AJ$2,1,0))</f>
        <v/>
      </c>
      <c r="AK119" s="125" t="str">
        <f>IF(Ujian!AK126="","",IF(LEFT(Ujian!AK126,1)=SEKOR!AK$2,1,0))</f>
        <v/>
      </c>
      <c r="AL119" s="125" t="str">
        <f>IF(Ujian!AL126="","",IF(LEFT(Ujian!AL126,1)=SEKOR!AL$2,1,0))</f>
        <v/>
      </c>
      <c r="AM119" s="125" t="str">
        <f>IF(Ujian!AM126="","",IF(LEFT(Ujian!AM126,1)=SEKOR!AM$2,1,0))</f>
        <v/>
      </c>
      <c r="AN119" s="125" t="str">
        <f>IF(Ujian!AN126="","",IF(LEFT(Ujian!AN126,1)=SEKOR!AN$2,1,0))</f>
        <v/>
      </c>
      <c r="AO119" s="125" t="str">
        <f>IF(Ujian!AO126="","",IF(LEFT(Ujian!AO126,1)=SEKOR!AO$2,1,0))</f>
        <v/>
      </c>
      <c r="AP119" s="125" t="str">
        <f>IF(Ujian!AP126="","",IF(LEFT(Ujian!AP126,1)=SEKOR!AP$2,1,0))</f>
        <v/>
      </c>
      <c r="AQ119" s="125" t="str">
        <f>IF(Ujian!AQ126="","",IF(LEFT(Ujian!AQ126,1)=SEKOR!AQ$2,1,0))</f>
        <v/>
      </c>
      <c r="AR119" s="125" t="str">
        <f>IF(Ujian!AR126="","",IF(LEFT(Ujian!AR126,1)=SEKOR!AR$2,1,0))</f>
        <v/>
      </c>
      <c r="AS119" s="125" t="str">
        <f>IF(Ujian!AS126="","",IF(LEFT(Ujian!AS126,1)=SEKOR!AS$2,1,0))</f>
        <v/>
      </c>
      <c r="AT119" s="125" t="str">
        <f>IF(Ujian!AT126="","",IF(LEFT(Ujian!AT126,1)=SEKOR!AT$2,1,0))</f>
        <v/>
      </c>
      <c r="AU119" s="125" t="str">
        <f>IF(Ujian!AU126="","",IF(LEFT(Ujian!AU126,1)=SEKOR!AU$2,1,0))</f>
        <v/>
      </c>
      <c r="AV119" s="125" t="str">
        <f>IF(Ujian!AV126="","",IF(LEFT(Ujian!AV126,1)=SEKOR!AV$2,1,0))</f>
        <v/>
      </c>
      <c r="AW119" s="125" t="str">
        <f>IF(Ujian!AW126="","",IF(LEFT(Ujian!AW126,1)=SEKOR!AW$2,1,0))</f>
        <v/>
      </c>
      <c r="AX119" s="125" t="str">
        <f>IF(Ujian!AX126="","",IF(LEFT(Ujian!AX126,1)=SEKOR!AX$2,1,0))</f>
        <v/>
      </c>
      <c r="AY119" s="125" t="str">
        <f>IF(Ujian!AY126="","",IF(LEFT(Ujian!AY126,1)=SEKOR!AY$2,1,0))</f>
        <v/>
      </c>
      <c r="AZ119" s="125" t="str">
        <f>IF(Ujian!AZ126="","",IF(LEFT(Ujian!AZ126,1)=SEKOR!AZ$2,1,0))</f>
        <v/>
      </c>
      <c r="BA119" s="125" t="str">
        <f>IF(Ujian!BA126="","",IF(LEFT(Ujian!BA126,1)=SEKOR!BA$2,1,0))</f>
        <v/>
      </c>
      <c r="BB119" s="125" t="str">
        <f>IF(Ujian!BB126="","",IF(LEFT(Ujian!BB126,1)=SEKOR!BB$2,1,0))</f>
        <v/>
      </c>
      <c r="BC119" s="125" t="str">
        <f>IF(Ujian!BC126="","",IF(LEFT(Ujian!BC126,1)=SEKOR!BC$2,1,0))</f>
        <v/>
      </c>
      <c r="BD119" s="125" t="str">
        <f>IF(Ujian!BD126="","",IF(LEFT(Ujian!BD126,1)=SEKOR!BD$2,1,0))</f>
        <v/>
      </c>
      <c r="BE119" s="125" t="str">
        <f>IF(Ujian!BE126="","",IF(LEFT(Ujian!BE126,1)=SEKOR!BE$2,1,0))</f>
        <v/>
      </c>
      <c r="BF119" s="125" t="str">
        <f>IF(Ujian!BF126="","",IF(LEFT(Ujian!BF126,1)=SEKOR!BF$2,1,0))</f>
        <v/>
      </c>
      <c r="BG119" s="125" t="str">
        <f>IF(Ujian!BG126="","",IF(LEFT(Ujian!BG126,1)=SEKOR!BG$2,1,0))</f>
        <v/>
      </c>
      <c r="BH119" s="125" t="str">
        <f>IF(Ujian!BH126="","",IF(LEFT(Ujian!BH126,1)=SEKOR!BH$2,1,0))</f>
        <v/>
      </c>
      <c r="BI119" s="125" t="str">
        <f>IF(Ujian!BI126="","",IF(LEFT(Ujian!BI126,1)=SEKOR!BI$2,1,0))</f>
        <v/>
      </c>
      <c r="BJ119" s="125" t="str">
        <f>IF(Ujian!BJ126="","",IF(LEFT(Ujian!BJ126,1)=SEKOR!BJ$2,1,0))</f>
        <v/>
      </c>
      <c r="BK119" s="125" t="str">
        <f>IF(Ujian!BK126="","",IF(LEFT(Ujian!BK126,1)=SEKOR!BK$2,1,0))</f>
        <v/>
      </c>
      <c r="BL119" s="18">
        <f t="shared" si="2"/>
        <v>0</v>
      </c>
      <c r="BM119" s="18">
        <f>COUNTIF($D119:$BK119,"")+DATA!$F$14-DATA!$F$12</f>
        <v>60</v>
      </c>
      <c r="BN119" s="17">
        <f>IF(COUNTIF($D119:$BK119,1)&gt;DATA!$F$14,DATA!$F$14,COUNTIF($D119:$BK119,1))</f>
        <v>0</v>
      </c>
      <c r="BO119" s="17">
        <f>IF((BN119+COUNTIF($D119:$BK119,0))&lt;=DATA!$F$14,COUNTIF($D119:$BK119,0),DATA!$F$14-SEKOR!BN119)</f>
        <v>0</v>
      </c>
      <c r="BP119" s="4" t="str">
        <f>IF(BL119=0,"",BN119/DATA!$F$14*100)</f>
        <v/>
      </c>
      <c r="BQ119" s="121" t="str">
        <f t="shared" si="3"/>
        <v/>
      </c>
      <c r="BR119" s="2" t="str">
        <f>IF(Praktik!$E119=0,"",Praktik!$E119)</f>
        <v/>
      </c>
      <c r="BS119" s="2" t="str">
        <f>IF(BR119="","",(BP119*DATAINFO!$O$4)+(SEKOR!BR119*DATAINFO!$O$5)/(DATAINFO!$O$4+DATAINFO!$O$5))</f>
        <v/>
      </c>
      <c r="BT119" s="2" t="str">
        <f>IF(BL119=0,"",IF(DATA!$F$18="TIDAK",ROUNDUP((IF!$L$8*SEKOR!$BP119)+IF!$L$9,0),IF($BR119="","",ROUNDUP((IF!$L$20*$BS119)+IF!$L$21,0))))</f>
        <v/>
      </c>
      <c r="BU119" s="47" t="str">
        <f>IF(BP119="","",IF(SEKOR!BP119&gt;=DATA!$J$12,1,0))</f>
        <v/>
      </c>
      <c r="BV119" s="47" t="str">
        <f>IF(BQ119="","",IF(SEKOR!BQ119&gt;=DATA!$J$12,1,0))</f>
        <v/>
      </c>
      <c r="BW119" s="47" t="str">
        <f>IF(BR119="","",IF(SEKOR!BR119&gt;=DATA!$J$12,1,0))</f>
        <v/>
      </c>
      <c r="BX119" s="47" t="str">
        <f>IF(BT119="","",IF(DATA!$J$14="",IF(SEKOR!BT119&gt;=DATA!$J$12,1,0),IF(SEKOR!BT119&gt;=DATA!$J$14,1,0)))</f>
        <v/>
      </c>
    </row>
    <row r="120" spans="1:76" x14ac:dyDescent="0.25">
      <c r="A120" s="20" t="s">
        <v>147</v>
      </c>
      <c r="B120" s="21" t="str">
        <f>IF(Ujian!B127="","",Ujian!B127)</f>
        <v/>
      </c>
      <c r="C120" s="57" t="str">
        <f>IF(Ujian!C127="","",Ujian!C127)</f>
        <v/>
      </c>
      <c r="D120" s="125" t="str">
        <f>IF(Ujian!D127="","",IF(LEFT(Ujian!D127,1)=SEKOR!D$2,1,0))</f>
        <v/>
      </c>
      <c r="E120" s="125" t="str">
        <f>IF(Ujian!E127="","",IF(LEFT(Ujian!E127,1)=SEKOR!E$2,1,0))</f>
        <v/>
      </c>
      <c r="F120" s="125" t="str">
        <f>IF(Ujian!F127="","",IF(LEFT(Ujian!F127,1)=SEKOR!F$2,1,0))</f>
        <v/>
      </c>
      <c r="G120" s="125" t="str">
        <f>IF(Ujian!G127="","",IF(LEFT(Ujian!G127,1)=SEKOR!G$2,1,0))</f>
        <v/>
      </c>
      <c r="H120" s="125" t="str">
        <f>IF(Ujian!H127="","",IF(LEFT(Ujian!H127,1)=SEKOR!H$2,1,0))</f>
        <v/>
      </c>
      <c r="I120" s="125" t="str">
        <f>IF(Ujian!I127="","",IF(LEFT(Ujian!I127,1)=SEKOR!I$2,1,0))</f>
        <v/>
      </c>
      <c r="J120" s="125" t="str">
        <f>IF(Ujian!J127="","",IF(LEFT(Ujian!J127,1)=SEKOR!J$2,1,0))</f>
        <v/>
      </c>
      <c r="K120" s="125" t="str">
        <f>IF(Ujian!K127="","",IF(LEFT(Ujian!K127,1)=SEKOR!K$2,1,0))</f>
        <v/>
      </c>
      <c r="L120" s="125" t="str">
        <f>IF(Ujian!L127="","",IF(LEFT(Ujian!L127,1)=SEKOR!L$2,1,0))</f>
        <v/>
      </c>
      <c r="M120" s="125" t="str">
        <f>IF(Ujian!M127="","",IF(LEFT(Ujian!M127,1)=SEKOR!M$2,1,0))</f>
        <v/>
      </c>
      <c r="N120" s="125" t="str">
        <f>IF(Ujian!N127="","",IF(LEFT(Ujian!N127,1)=SEKOR!N$2,1,0))</f>
        <v/>
      </c>
      <c r="O120" s="125" t="str">
        <f>IF(Ujian!O127="","",IF(LEFT(Ujian!O127,1)=SEKOR!O$2,1,0))</f>
        <v/>
      </c>
      <c r="P120" s="125" t="str">
        <f>IF(Ujian!P127="","",IF(LEFT(Ujian!P127,1)=SEKOR!P$2,1,0))</f>
        <v/>
      </c>
      <c r="Q120" s="125" t="str">
        <f>IF(Ujian!Q127="","",IF(LEFT(Ujian!Q127,1)=SEKOR!Q$2,1,0))</f>
        <v/>
      </c>
      <c r="R120" s="125" t="str">
        <f>IF(Ujian!R127="","",IF(LEFT(Ujian!R127,1)=SEKOR!R$2,1,0))</f>
        <v/>
      </c>
      <c r="S120" s="125" t="str">
        <f>IF(Ujian!S127="","",IF(LEFT(Ujian!S127,1)=SEKOR!S$2,1,0))</f>
        <v/>
      </c>
      <c r="T120" s="125" t="str">
        <f>IF(Ujian!T127="","",IF(LEFT(Ujian!T127,1)=SEKOR!T$2,1,0))</f>
        <v/>
      </c>
      <c r="U120" s="125" t="str">
        <f>IF(Ujian!U127="","",IF(LEFT(Ujian!U127,1)=SEKOR!U$2,1,0))</f>
        <v/>
      </c>
      <c r="V120" s="125" t="str">
        <f>IF(Ujian!V127="","",IF(LEFT(Ujian!V127,1)=SEKOR!V$2,1,0))</f>
        <v/>
      </c>
      <c r="W120" s="125" t="str">
        <f>IF(Ujian!W127="","",IF(LEFT(Ujian!W127,1)=SEKOR!W$2,1,0))</f>
        <v/>
      </c>
      <c r="X120" s="125" t="str">
        <f>IF(Ujian!X127="","",IF(LEFT(Ujian!X127,1)=SEKOR!X$2,1,0))</f>
        <v/>
      </c>
      <c r="Y120" s="125" t="str">
        <f>IF(Ujian!Y127="","",IF(LEFT(Ujian!Y127,1)=SEKOR!Y$2,1,0))</f>
        <v/>
      </c>
      <c r="Z120" s="125" t="str">
        <f>IF(Ujian!Z127="","",IF(LEFT(Ujian!Z127,1)=SEKOR!Z$2,1,0))</f>
        <v/>
      </c>
      <c r="AA120" s="125" t="str">
        <f>IF(Ujian!AA127="","",IF(LEFT(Ujian!AA127,1)=SEKOR!AA$2,1,0))</f>
        <v/>
      </c>
      <c r="AB120" s="125" t="str">
        <f>IF(Ujian!AB127="","",IF(LEFT(Ujian!AB127,1)=SEKOR!AB$2,1,0))</f>
        <v/>
      </c>
      <c r="AC120" s="125" t="str">
        <f>IF(Ujian!AC127="","",IF(LEFT(Ujian!AC127,1)=SEKOR!AC$2,1,0))</f>
        <v/>
      </c>
      <c r="AD120" s="125" t="str">
        <f>IF(Ujian!AD127="","",IF(LEFT(Ujian!AD127,1)=SEKOR!AD$2,1,0))</f>
        <v/>
      </c>
      <c r="AE120" s="125" t="str">
        <f>IF(Ujian!AE127="","",IF(LEFT(Ujian!AE127,1)=SEKOR!AE$2,1,0))</f>
        <v/>
      </c>
      <c r="AF120" s="125" t="str">
        <f>IF(Ujian!AF127="","",IF(LEFT(Ujian!AF127,1)=SEKOR!AF$2,1,0))</f>
        <v/>
      </c>
      <c r="AG120" s="125" t="str">
        <f>IF(Ujian!AG127="","",IF(LEFT(Ujian!AG127,1)=SEKOR!AG$2,1,0))</f>
        <v/>
      </c>
      <c r="AH120" s="125" t="str">
        <f>IF(Ujian!AH127="","",IF(LEFT(Ujian!AH127,1)=SEKOR!AH$2,1,0))</f>
        <v/>
      </c>
      <c r="AI120" s="125" t="str">
        <f>IF(Ujian!AI127="","",IF(LEFT(Ujian!AI127,1)=SEKOR!AI$2,1,0))</f>
        <v/>
      </c>
      <c r="AJ120" s="125" t="str">
        <f>IF(Ujian!AJ127="","",IF(LEFT(Ujian!AJ127,1)=SEKOR!AJ$2,1,0))</f>
        <v/>
      </c>
      <c r="AK120" s="125" t="str">
        <f>IF(Ujian!AK127="","",IF(LEFT(Ujian!AK127,1)=SEKOR!AK$2,1,0))</f>
        <v/>
      </c>
      <c r="AL120" s="125" t="str">
        <f>IF(Ujian!AL127="","",IF(LEFT(Ujian!AL127,1)=SEKOR!AL$2,1,0))</f>
        <v/>
      </c>
      <c r="AM120" s="125" t="str">
        <f>IF(Ujian!AM127="","",IF(LEFT(Ujian!AM127,1)=SEKOR!AM$2,1,0))</f>
        <v/>
      </c>
      <c r="AN120" s="125" t="str">
        <f>IF(Ujian!AN127="","",IF(LEFT(Ujian!AN127,1)=SEKOR!AN$2,1,0))</f>
        <v/>
      </c>
      <c r="AO120" s="125" t="str">
        <f>IF(Ujian!AO127="","",IF(LEFT(Ujian!AO127,1)=SEKOR!AO$2,1,0))</f>
        <v/>
      </c>
      <c r="AP120" s="125" t="str">
        <f>IF(Ujian!AP127="","",IF(LEFT(Ujian!AP127,1)=SEKOR!AP$2,1,0))</f>
        <v/>
      </c>
      <c r="AQ120" s="125" t="str">
        <f>IF(Ujian!AQ127="","",IF(LEFT(Ujian!AQ127,1)=SEKOR!AQ$2,1,0))</f>
        <v/>
      </c>
      <c r="AR120" s="125" t="str">
        <f>IF(Ujian!AR127="","",IF(LEFT(Ujian!AR127,1)=SEKOR!AR$2,1,0))</f>
        <v/>
      </c>
      <c r="AS120" s="125" t="str">
        <f>IF(Ujian!AS127="","",IF(LEFT(Ujian!AS127,1)=SEKOR!AS$2,1,0))</f>
        <v/>
      </c>
      <c r="AT120" s="125" t="str">
        <f>IF(Ujian!AT127="","",IF(LEFT(Ujian!AT127,1)=SEKOR!AT$2,1,0))</f>
        <v/>
      </c>
      <c r="AU120" s="125" t="str">
        <f>IF(Ujian!AU127="","",IF(LEFT(Ujian!AU127,1)=SEKOR!AU$2,1,0))</f>
        <v/>
      </c>
      <c r="AV120" s="125" t="str">
        <f>IF(Ujian!AV127="","",IF(LEFT(Ujian!AV127,1)=SEKOR!AV$2,1,0))</f>
        <v/>
      </c>
      <c r="AW120" s="125" t="str">
        <f>IF(Ujian!AW127="","",IF(LEFT(Ujian!AW127,1)=SEKOR!AW$2,1,0))</f>
        <v/>
      </c>
      <c r="AX120" s="125" t="str">
        <f>IF(Ujian!AX127="","",IF(LEFT(Ujian!AX127,1)=SEKOR!AX$2,1,0))</f>
        <v/>
      </c>
      <c r="AY120" s="125" t="str">
        <f>IF(Ujian!AY127="","",IF(LEFT(Ujian!AY127,1)=SEKOR!AY$2,1,0))</f>
        <v/>
      </c>
      <c r="AZ120" s="125" t="str">
        <f>IF(Ujian!AZ127="","",IF(LEFT(Ujian!AZ127,1)=SEKOR!AZ$2,1,0))</f>
        <v/>
      </c>
      <c r="BA120" s="125" t="str">
        <f>IF(Ujian!BA127="","",IF(LEFT(Ujian!BA127,1)=SEKOR!BA$2,1,0))</f>
        <v/>
      </c>
      <c r="BB120" s="125" t="str">
        <f>IF(Ujian!BB127="","",IF(LEFT(Ujian!BB127,1)=SEKOR!BB$2,1,0))</f>
        <v/>
      </c>
      <c r="BC120" s="125" t="str">
        <f>IF(Ujian!BC127="","",IF(LEFT(Ujian!BC127,1)=SEKOR!BC$2,1,0))</f>
        <v/>
      </c>
      <c r="BD120" s="125" t="str">
        <f>IF(Ujian!BD127="","",IF(LEFT(Ujian!BD127,1)=SEKOR!BD$2,1,0))</f>
        <v/>
      </c>
      <c r="BE120" s="125" t="str">
        <f>IF(Ujian!BE127="","",IF(LEFT(Ujian!BE127,1)=SEKOR!BE$2,1,0))</f>
        <v/>
      </c>
      <c r="BF120" s="125" t="str">
        <f>IF(Ujian!BF127="","",IF(LEFT(Ujian!BF127,1)=SEKOR!BF$2,1,0))</f>
        <v/>
      </c>
      <c r="BG120" s="125" t="str">
        <f>IF(Ujian!BG127="","",IF(LEFT(Ujian!BG127,1)=SEKOR!BG$2,1,0))</f>
        <v/>
      </c>
      <c r="BH120" s="125" t="str">
        <f>IF(Ujian!BH127="","",IF(LEFT(Ujian!BH127,1)=SEKOR!BH$2,1,0))</f>
        <v/>
      </c>
      <c r="BI120" s="125" t="str">
        <f>IF(Ujian!BI127="","",IF(LEFT(Ujian!BI127,1)=SEKOR!BI$2,1,0))</f>
        <v/>
      </c>
      <c r="BJ120" s="125" t="str">
        <f>IF(Ujian!BJ127="","",IF(LEFT(Ujian!BJ127,1)=SEKOR!BJ$2,1,0))</f>
        <v/>
      </c>
      <c r="BK120" s="125" t="str">
        <f>IF(Ujian!BK127="","",IF(LEFT(Ujian!BK127,1)=SEKOR!BK$2,1,0))</f>
        <v/>
      </c>
      <c r="BL120" s="18">
        <f t="shared" si="2"/>
        <v>0</v>
      </c>
      <c r="BM120" s="18">
        <f>COUNTIF($D120:$BK120,"")+DATA!$F$14-DATA!$F$12</f>
        <v>60</v>
      </c>
      <c r="BN120" s="17">
        <f>IF(COUNTIF($D120:$BK120,1)&gt;DATA!$F$14,DATA!$F$14,COUNTIF($D120:$BK120,1))</f>
        <v>0</v>
      </c>
      <c r="BO120" s="17">
        <f>IF((BN120+COUNTIF($D120:$BK120,0))&lt;=DATA!$F$14,COUNTIF($D120:$BK120,0),DATA!$F$14-SEKOR!BN120)</f>
        <v>0</v>
      </c>
      <c r="BP120" s="4" t="str">
        <f>IF(BL120=0,"",BN120/DATA!$F$14*100)</f>
        <v/>
      </c>
      <c r="BQ120" s="121" t="str">
        <f t="shared" si="3"/>
        <v/>
      </c>
      <c r="BR120" s="2" t="str">
        <f>IF(Praktik!$E120=0,"",Praktik!$E120)</f>
        <v/>
      </c>
      <c r="BS120" s="2" t="str">
        <f>IF(BR120="","",(BP120*DATAINFO!$O$4)+(SEKOR!BR120*DATAINFO!$O$5)/(DATAINFO!$O$4+DATAINFO!$O$5))</f>
        <v/>
      </c>
      <c r="BT120" s="2" t="str">
        <f>IF(BL120=0,"",IF(DATA!$F$18="TIDAK",ROUNDUP((IF!$L$8*SEKOR!$BP120)+IF!$L$9,0),IF($BR120="","",ROUNDUP((IF!$L$20*$BS120)+IF!$L$21,0))))</f>
        <v/>
      </c>
      <c r="BU120" s="47" t="str">
        <f>IF(BP120="","",IF(SEKOR!BP120&gt;=DATA!$J$12,1,0))</f>
        <v/>
      </c>
      <c r="BV120" s="47" t="str">
        <f>IF(BQ120="","",IF(SEKOR!BQ120&gt;=DATA!$J$12,1,0))</f>
        <v/>
      </c>
      <c r="BW120" s="47" t="str">
        <f>IF(BR120="","",IF(SEKOR!BR120&gt;=DATA!$J$12,1,0))</f>
        <v/>
      </c>
      <c r="BX120" s="47" t="str">
        <f>IF(BT120="","",IF(DATA!$J$14="",IF(SEKOR!BT120&gt;=DATA!$J$12,1,0),IF(SEKOR!BT120&gt;=DATA!$J$14,1,0)))</f>
        <v/>
      </c>
    </row>
    <row r="121" spans="1:76" x14ac:dyDescent="0.25">
      <c r="A121" s="20" t="s">
        <v>148</v>
      </c>
      <c r="B121" s="21" t="str">
        <f>IF(Ujian!B128="","",Ujian!B128)</f>
        <v/>
      </c>
      <c r="C121" s="57" t="str">
        <f>IF(Ujian!C128="","",Ujian!C128)</f>
        <v/>
      </c>
      <c r="D121" s="125" t="str">
        <f>IF(Ujian!D128="","",IF(LEFT(Ujian!D128,1)=SEKOR!D$2,1,0))</f>
        <v/>
      </c>
      <c r="E121" s="125" t="str">
        <f>IF(Ujian!E128="","",IF(LEFT(Ujian!E128,1)=SEKOR!E$2,1,0))</f>
        <v/>
      </c>
      <c r="F121" s="125" t="str">
        <f>IF(Ujian!F128="","",IF(LEFT(Ujian!F128,1)=SEKOR!F$2,1,0))</f>
        <v/>
      </c>
      <c r="G121" s="125" t="str">
        <f>IF(Ujian!G128="","",IF(LEFT(Ujian!G128,1)=SEKOR!G$2,1,0))</f>
        <v/>
      </c>
      <c r="H121" s="125" t="str">
        <f>IF(Ujian!H128="","",IF(LEFT(Ujian!H128,1)=SEKOR!H$2,1,0))</f>
        <v/>
      </c>
      <c r="I121" s="125" t="str">
        <f>IF(Ujian!I128="","",IF(LEFT(Ujian!I128,1)=SEKOR!I$2,1,0))</f>
        <v/>
      </c>
      <c r="J121" s="125" t="str">
        <f>IF(Ujian!J128="","",IF(LEFT(Ujian!J128,1)=SEKOR!J$2,1,0))</f>
        <v/>
      </c>
      <c r="K121" s="125" t="str">
        <f>IF(Ujian!K128="","",IF(LEFT(Ujian!K128,1)=SEKOR!K$2,1,0))</f>
        <v/>
      </c>
      <c r="L121" s="125" t="str">
        <f>IF(Ujian!L128="","",IF(LEFT(Ujian!L128,1)=SEKOR!L$2,1,0))</f>
        <v/>
      </c>
      <c r="M121" s="125" t="str">
        <f>IF(Ujian!M128="","",IF(LEFT(Ujian!M128,1)=SEKOR!M$2,1,0))</f>
        <v/>
      </c>
      <c r="N121" s="125" t="str">
        <f>IF(Ujian!N128="","",IF(LEFT(Ujian!N128,1)=SEKOR!N$2,1,0))</f>
        <v/>
      </c>
      <c r="O121" s="125" t="str">
        <f>IF(Ujian!O128="","",IF(LEFT(Ujian!O128,1)=SEKOR!O$2,1,0))</f>
        <v/>
      </c>
      <c r="P121" s="125" t="str">
        <f>IF(Ujian!P128="","",IF(LEFT(Ujian!P128,1)=SEKOR!P$2,1,0))</f>
        <v/>
      </c>
      <c r="Q121" s="125" t="str">
        <f>IF(Ujian!Q128="","",IF(LEFT(Ujian!Q128,1)=SEKOR!Q$2,1,0))</f>
        <v/>
      </c>
      <c r="R121" s="125" t="str">
        <f>IF(Ujian!R128="","",IF(LEFT(Ujian!R128,1)=SEKOR!R$2,1,0))</f>
        <v/>
      </c>
      <c r="S121" s="125" t="str">
        <f>IF(Ujian!S128="","",IF(LEFT(Ujian!S128,1)=SEKOR!S$2,1,0))</f>
        <v/>
      </c>
      <c r="T121" s="125" t="str">
        <f>IF(Ujian!T128="","",IF(LEFT(Ujian!T128,1)=SEKOR!T$2,1,0))</f>
        <v/>
      </c>
      <c r="U121" s="125" t="str">
        <f>IF(Ujian!U128="","",IF(LEFT(Ujian!U128,1)=SEKOR!U$2,1,0))</f>
        <v/>
      </c>
      <c r="V121" s="125" t="str">
        <f>IF(Ujian!V128="","",IF(LEFT(Ujian!V128,1)=SEKOR!V$2,1,0))</f>
        <v/>
      </c>
      <c r="W121" s="125" t="str">
        <f>IF(Ujian!W128="","",IF(LEFT(Ujian!W128,1)=SEKOR!W$2,1,0))</f>
        <v/>
      </c>
      <c r="X121" s="125" t="str">
        <f>IF(Ujian!X128="","",IF(LEFT(Ujian!X128,1)=SEKOR!X$2,1,0))</f>
        <v/>
      </c>
      <c r="Y121" s="125" t="str">
        <f>IF(Ujian!Y128="","",IF(LEFT(Ujian!Y128,1)=SEKOR!Y$2,1,0))</f>
        <v/>
      </c>
      <c r="Z121" s="125" t="str">
        <f>IF(Ujian!Z128="","",IF(LEFT(Ujian!Z128,1)=SEKOR!Z$2,1,0))</f>
        <v/>
      </c>
      <c r="AA121" s="125" t="str">
        <f>IF(Ujian!AA128="","",IF(LEFT(Ujian!AA128,1)=SEKOR!AA$2,1,0))</f>
        <v/>
      </c>
      <c r="AB121" s="125" t="str">
        <f>IF(Ujian!AB128="","",IF(LEFT(Ujian!AB128,1)=SEKOR!AB$2,1,0))</f>
        <v/>
      </c>
      <c r="AC121" s="125" t="str">
        <f>IF(Ujian!AC128="","",IF(LEFT(Ujian!AC128,1)=SEKOR!AC$2,1,0))</f>
        <v/>
      </c>
      <c r="AD121" s="125" t="str">
        <f>IF(Ujian!AD128="","",IF(LEFT(Ujian!AD128,1)=SEKOR!AD$2,1,0))</f>
        <v/>
      </c>
      <c r="AE121" s="125" t="str">
        <f>IF(Ujian!AE128="","",IF(LEFT(Ujian!AE128,1)=SEKOR!AE$2,1,0))</f>
        <v/>
      </c>
      <c r="AF121" s="125" t="str">
        <f>IF(Ujian!AF128="","",IF(LEFT(Ujian!AF128,1)=SEKOR!AF$2,1,0))</f>
        <v/>
      </c>
      <c r="AG121" s="125" t="str">
        <f>IF(Ujian!AG128="","",IF(LEFT(Ujian!AG128,1)=SEKOR!AG$2,1,0))</f>
        <v/>
      </c>
      <c r="AH121" s="125" t="str">
        <f>IF(Ujian!AH128="","",IF(LEFT(Ujian!AH128,1)=SEKOR!AH$2,1,0))</f>
        <v/>
      </c>
      <c r="AI121" s="125" t="str">
        <f>IF(Ujian!AI128="","",IF(LEFT(Ujian!AI128,1)=SEKOR!AI$2,1,0))</f>
        <v/>
      </c>
      <c r="AJ121" s="125" t="str">
        <f>IF(Ujian!AJ128="","",IF(LEFT(Ujian!AJ128,1)=SEKOR!AJ$2,1,0))</f>
        <v/>
      </c>
      <c r="AK121" s="125" t="str">
        <f>IF(Ujian!AK128="","",IF(LEFT(Ujian!AK128,1)=SEKOR!AK$2,1,0))</f>
        <v/>
      </c>
      <c r="AL121" s="125" t="str">
        <f>IF(Ujian!AL128="","",IF(LEFT(Ujian!AL128,1)=SEKOR!AL$2,1,0))</f>
        <v/>
      </c>
      <c r="AM121" s="125" t="str">
        <f>IF(Ujian!AM128="","",IF(LEFT(Ujian!AM128,1)=SEKOR!AM$2,1,0))</f>
        <v/>
      </c>
      <c r="AN121" s="125" t="str">
        <f>IF(Ujian!AN128="","",IF(LEFT(Ujian!AN128,1)=SEKOR!AN$2,1,0))</f>
        <v/>
      </c>
      <c r="AO121" s="125" t="str">
        <f>IF(Ujian!AO128="","",IF(LEFT(Ujian!AO128,1)=SEKOR!AO$2,1,0))</f>
        <v/>
      </c>
      <c r="AP121" s="125" t="str">
        <f>IF(Ujian!AP128="","",IF(LEFT(Ujian!AP128,1)=SEKOR!AP$2,1,0))</f>
        <v/>
      </c>
      <c r="AQ121" s="125" t="str">
        <f>IF(Ujian!AQ128="","",IF(LEFT(Ujian!AQ128,1)=SEKOR!AQ$2,1,0))</f>
        <v/>
      </c>
      <c r="AR121" s="125" t="str">
        <f>IF(Ujian!AR128="","",IF(LEFT(Ujian!AR128,1)=SEKOR!AR$2,1,0))</f>
        <v/>
      </c>
      <c r="AS121" s="125" t="str">
        <f>IF(Ujian!AS128="","",IF(LEFT(Ujian!AS128,1)=SEKOR!AS$2,1,0))</f>
        <v/>
      </c>
      <c r="AT121" s="125" t="str">
        <f>IF(Ujian!AT128="","",IF(LEFT(Ujian!AT128,1)=SEKOR!AT$2,1,0))</f>
        <v/>
      </c>
      <c r="AU121" s="125" t="str">
        <f>IF(Ujian!AU128="","",IF(LEFT(Ujian!AU128,1)=SEKOR!AU$2,1,0))</f>
        <v/>
      </c>
      <c r="AV121" s="125" t="str">
        <f>IF(Ujian!AV128="","",IF(LEFT(Ujian!AV128,1)=SEKOR!AV$2,1,0))</f>
        <v/>
      </c>
      <c r="AW121" s="125" t="str">
        <f>IF(Ujian!AW128="","",IF(LEFT(Ujian!AW128,1)=SEKOR!AW$2,1,0))</f>
        <v/>
      </c>
      <c r="AX121" s="125" t="str">
        <f>IF(Ujian!AX128="","",IF(LEFT(Ujian!AX128,1)=SEKOR!AX$2,1,0))</f>
        <v/>
      </c>
      <c r="AY121" s="125" t="str">
        <f>IF(Ujian!AY128="","",IF(LEFT(Ujian!AY128,1)=SEKOR!AY$2,1,0))</f>
        <v/>
      </c>
      <c r="AZ121" s="125" t="str">
        <f>IF(Ujian!AZ128="","",IF(LEFT(Ujian!AZ128,1)=SEKOR!AZ$2,1,0))</f>
        <v/>
      </c>
      <c r="BA121" s="125" t="str">
        <f>IF(Ujian!BA128="","",IF(LEFT(Ujian!BA128,1)=SEKOR!BA$2,1,0))</f>
        <v/>
      </c>
      <c r="BB121" s="125" t="str">
        <f>IF(Ujian!BB128="","",IF(LEFT(Ujian!BB128,1)=SEKOR!BB$2,1,0))</f>
        <v/>
      </c>
      <c r="BC121" s="125" t="str">
        <f>IF(Ujian!BC128="","",IF(LEFT(Ujian!BC128,1)=SEKOR!BC$2,1,0))</f>
        <v/>
      </c>
      <c r="BD121" s="125" t="str">
        <f>IF(Ujian!BD128="","",IF(LEFT(Ujian!BD128,1)=SEKOR!BD$2,1,0))</f>
        <v/>
      </c>
      <c r="BE121" s="125" t="str">
        <f>IF(Ujian!BE128="","",IF(LEFT(Ujian!BE128,1)=SEKOR!BE$2,1,0))</f>
        <v/>
      </c>
      <c r="BF121" s="125" t="str">
        <f>IF(Ujian!BF128="","",IF(LEFT(Ujian!BF128,1)=SEKOR!BF$2,1,0))</f>
        <v/>
      </c>
      <c r="BG121" s="125" t="str">
        <f>IF(Ujian!BG128="","",IF(LEFT(Ujian!BG128,1)=SEKOR!BG$2,1,0))</f>
        <v/>
      </c>
      <c r="BH121" s="125" t="str">
        <f>IF(Ujian!BH128="","",IF(LEFT(Ujian!BH128,1)=SEKOR!BH$2,1,0))</f>
        <v/>
      </c>
      <c r="BI121" s="125" t="str">
        <f>IF(Ujian!BI128="","",IF(LEFT(Ujian!BI128,1)=SEKOR!BI$2,1,0))</f>
        <v/>
      </c>
      <c r="BJ121" s="125" t="str">
        <f>IF(Ujian!BJ128="","",IF(LEFT(Ujian!BJ128,1)=SEKOR!BJ$2,1,0))</f>
        <v/>
      </c>
      <c r="BK121" s="125" t="str">
        <f>IF(Ujian!BK128="","",IF(LEFT(Ujian!BK128,1)=SEKOR!BK$2,1,0))</f>
        <v/>
      </c>
      <c r="BL121" s="18">
        <f t="shared" si="2"/>
        <v>0</v>
      </c>
      <c r="BM121" s="18">
        <f>COUNTIF($D121:$BK121,"")+DATA!$F$14-DATA!$F$12</f>
        <v>60</v>
      </c>
      <c r="BN121" s="17">
        <f>IF(COUNTIF($D121:$BK121,1)&gt;DATA!$F$14,DATA!$F$14,COUNTIF($D121:$BK121,1))</f>
        <v>0</v>
      </c>
      <c r="BO121" s="17">
        <f>IF((BN121+COUNTIF($D121:$BK121,0))&lt;=DATA!$F$14,COUNTIF($D121:$BK121,0),DATA!$F$14-SEKOR!BN121)</f>
        <v>0</v>
      </c>
      <c r="BP121" s="4" t="str">
        <f>IF(BL121=0,"",BN121/DATA!$F$14*100)</f>
        <v/>
      </c>
      <c r="BQ121" s="121" t="str">
        <f t="shared" si="3"/>
        <v/>
      </c>
      <c r="BR121" s="2" t="str">
        <f>IF(Praktik!$E121=0,"",Praktik!$E121)</f>
        <v/>
      </c>
      <c r="BS121" s="2" t="str">
        <f>IF(BR121="","",(BP121*DATAINFO!$O$4)+(SEKOR!BR121*DATAINFO!$O$5)/(DATAINFO!$O$4+DATAINFO!$O$5))</f>
        <v/>
      </c>
      <c r="BT121" s="2" t="str">
        <f>IF(BL121=0,"",IF(DATA!$F$18="TIDAK",ROUNDUP((IF!$L$8*SEKOR!$BP121)+IF!$L$9,0),IF($BR121="","",ROUNDUP((IF!$L$20*$BS121)+IF!$L$21,0))))</f>
        <v/>
      </c>
      <c r="BU121" s="47" t="str">
        <f>IF(BP121="","",IF(SEKOR!BP121&gt;=DATA!$J$12,1,0))</f>
        <v/>
      </c>
      <c r="BV121" s="47" t="str">
        <f>IF(BQ121="","",IF(SEKOR!BQ121&gt;=DATA!$J$12,1,0))</f>
        <v/>
      </c>
      <c r="BW121" s="47" t="str">
        <f>IF(BR121="","",IF(SEKOR!BR121&gt;=DATA!$J$12,1,0))</f>
        <v/>
      </c>
      <c r="BX121" s="47" t="str">
        <f>IF(BT121="","",IF(DATA!$J$14="",IF(SEKOR!BT121&gt;=DATA!$J$12,1,0),IF(SEKOR!BT121&gt;=DATA!$J$14,1,0)))</f>
        <v/>
      </c>
    </row>
    <row r="122" spans="1:76" x14ac:dyDescent="0.25">
      <c r="A122" s="20" t="s">
        <v>149</v>
      </c>
      <c r="B122" s="21" t="str">
        <f>IF(Ujian!B129="","",Ujian!B129)</f>
        <v/>
      </c>
      <c r="C122" s="57" t="str">
        <f>IF(Ujian!C129="","",Ujian!C129)</f>
        <v/>
      </c>
      <c r="D122" s="125" t="str">
        <f>IF(Ujian!D129="","",IF(LEFT(Ujian!D129,1)=SEKOR!D$2,1,0))</f>
        <v/>
      </c>
      <c r="E122" s="125" t="str">
        <f>IF(Ujian!E129="","",IF(LEFT(Ujian!E129,1)=SEKOR!E$2,1,0))</f>
        <v/>
      </c>
      <c r="F122" s="125" t="str">
        <f>IF(Ujian!F129="","",IF(LEFT(Ujian!F129,1)=SEKOR!F$2,1,0))</f>
        <v/>
      </c>
      <c r="G122" s="125" t="str">
        <f>IF(Ujian!G129="","",IF(LEFT(Ujian!G129,1)=SEKOR!G$2,1,0))</f>
        <v/>
      </c>
      <c r="H122" s="125" t="str">
        <f>IF(Ujian!H129="","",IF(LEFT(Ujian!H129,1)=SEKOR!H$2,1,0))</f>
        <v/>
      </c>
      <c r="I122" s="125" t="str">
        <f>IF(Ujian!I129="","",IF(LEFT(Ujian!I129,1)=SEKOR!I$2,1,0))</f>
        <v/>
      </c>
      <c r="J122" s="125" t="str">
        <f>IF(Ujian!J129="","",IF(LEFT(Ujian!J129,1)=SEKOR!J$2,1,0))</f>
        <v/>
      </c>
      <c r="K122" s="125" t="str">
        <f>IF(Ujian!K129="","",IF(LEFT(Ujian!K129,1)=SEKOR!K$2,1,0))</f>
        <v/>
      </c>
      <c r="L122" s="125" t="str">
        <f>IF(Ujian!L129="","",IF(LEFT(Ujian!L129,1)=SEKOR!L$2,1,0))</f>
        <v/>
      </c>
      <c r="M122" s="125" t="str">
        <f>IF(Ujian!M129="","",IF(LEFT(Ujian!M129,1)=SEKOR!M$2,1,0))</f>
        <v/>
      </c>
      <c r="N122" s="125" t="str">
        <f>IF(Ujian!N129="","",IF(LEFT(Ujian!N129,1)=SEKOR!N$2,1,0))</f>
        <v/>
      </c>
      <c r="O122" s="125" t="str">
        <f>IF(Ujian!O129="","",IF(LEFT(Ujian!O129,1)=SEKOR!O$2,1,0))</f>
        <v/>
      </c>
      <c r="P122" s="125" t="str">
        <f>IF(Ujian!P129="","",IF(LEFT(Ujian!P129,1)=SEKOR!P$2,1,0))</f>
        <v/>
      </c>
      <c r="Q122" s="125" t="str">
        <f>IF(Ujian!Q129="","",IF(LEFT(Ujian!Q129,1)=SEKOR!Q$2,1,0))</f>
        <v/>
      </c>
      <c r="R122" s="125" t="str">
        <f>IF(Ujian!R129="","",IF(LEFT(Ujian!R129,1)=SEKOR!R$2,1,0))</f>
        <v/>
      </c>
      <c r="S122" s="125" t="str">
        <f>IF(Ujian!S129="","",IF(LEFT(Ujian!S129,1)=SEKOR!S$2,1,0))</f>
        <v/>
      </c>
      <c r="T122" s="125" t="str">
        <f>IF(Ujian!T129="","",IF(LEFT(Ujian!T129,1)=SEKOR!T$2,1,0))</f>
        <v/>
      </c>
      <c r="U122" s="125" t="str">
        <f>IF(Ujian!U129="","",IF(LEFT(Ujian!U129,1)=SEKOR!U$2,1,0))</f>
        <v/>
      </c>
      <c r="V122" s="125" t="str">
        <f>IF(Ujian!V129="","",IF(LEFT(Ujian!V129,1)=SEKOR!V$2,1,0))</f>
        <v/>
      </c>
      <c r="W122" s="125" t="str">
        <f>IF(Ujian!W129="","",IF(LEFT(Ujian!W129,1)=SEKOR!W$2,1,0))</f>
        <v/>
      </c>
      <c r="X122" s="125" t="str">
        <f>IF(Ujian!X129="","",IF(LEFT(Ujian!X129,1)=SEKOR!X$2,1,0))</f>
        <v/>
      </c>
      <c r="Y122" s="125" t="str">
        <f>IF(Ujian!Y129="","",IF(LEFT(Ujian!Y129,1)=SEKOR!Y$2,1,0))</f>
        <v/>
      </c>
      <c r="Z122" s="125" t="str">
        <f>IF(Ujian!Z129="","",IF(LEFT(Ujian!Z129,1)=SEKOR!Z$2,1,0))</f>
        <v/>
      </c>
      <c r="AA122" s="125" t="str">
        <f>IF(Ujian!AA129="","",IF(LEFT(Ujian!AA129,1)=SEKOR!AA$2,1,0))</f>
        <v/>
      </c>
      <c r="AB122" s="125" t="str">
        <f>IF(Ujian!AB129="","",IF(LEFT(Ujian!AB129,1)=SEKOR!AB$2,1,0))</f>
        <v/>
      </c>
      <c r="AC122" s="125" t="str">
        <f>IF(Ujian!AC129="","",IF(LEFT(Ujian!AC129,1)=SEKOR!AC$2,1,0))</f>
        <v/>
      </c>
      <c r="AD122" s="125" t="str">
        <f>IF(Ujian!AD129="","",IF(LEFT(Ujian!AD129,1)=SEKOR!AD$2,1,0))</f>
        <v/>
      </c>
      <c r="AE122" s="125" t="str">
        <f>IF(Ujian!AE129="","",IF(LEFT(Ujian!AE129,1)=SEKOR!AE$2,1,0))</f>
        <v/>
      </c>
      <c r="AF122" s="125" t="str">
        <f>IF(Ujian!AF129="","",IF(LEFT(Ujian!AF129,1)=SEKOR!AF$2,1,0))</f>
        <v/>
      </c>
      <c r="AG122" s="125" t="str">
        <f>IF(Ujian!AG129="","",IF(LEFT(Ujian!AG129,1)=SEKOR!AG$2,1,0))</f>
        <v/>
      </c>
      <c r="AH122" s="125" t="str">
        <f>IF(Ujian!AH129="","",IF(LEFT(Ujian!AH129,1)=SEKOR!AH$2,1,0))</f>
        <v/>
      </c>
      <c r="AI122" s="125" t="str">
        <f>IF(Ujian!AI129="","",IF(LEFT(Ujian!AI129,1)=SEKOR!AI$2,1,0))</f>
        <v/>
      </c>
      <c r="AJ122" s="125" t="str">
        <f>IF(Ujian!AJ129="","",IF(LEFT(Ujian!AJ129,1)=SEKOR!AJ$2,1,0))</f>
        <v/>
      </c>
      <c r="AK122" s="125" t="str">
        <f>IF(Ujian!AK129="","",IF(LEFT(Ujian!AK129,1)=SEKOR!AK$2,1,0))</f>
        <v/>
      </c>
      <c r="AL122" s="125" t="str">
        <f>IF(Ujian!AL129="","",IF(LEFT(Ujian!AL129,1)=SEKOR!AL$2,1,0))</f>
        <v/>
      </c>
      <c r="AM122" s="125" t="str">
        <f>IF(Ujian!AM129="","",IF(LEFT(Ujian!AM129,1)=SEKOR!AM$2,1,0))</f>
        <v/>
      </c>
      <c r="AN122" s="125" t="str">
        <f>IF(Ujian!AN129="","",IF(LEFT(Ujian!AN129,1)=SEKOR!AN$2,1,0))</f>
        <v/>
      </c>
      <c r="AO122" s="125" t="str">
        <f>IF(Ujian!AO129="","",IF(LEFT(Ujian!AO129,1)=SEKOR!AO$2,1,0))</f>
        <v/>
      </c>
      <c r="AP122" s="125" t="str">
        <f>IF(Ujian!AP129="","",IF(LEFT(Ujian!AP129,1)=SEKOR!AP$2,1,0))</f>
        <v/>
      </c>
      <c r="AQ122" s="125" t="str">
        <f>IF(Ujian!AQ129="","",IF(LEFT(Ujian!AQ129,1)=SEKOR!AQ$2,1,0))</f>
        <v/>
      </c>
      <c r="AR122" s="125" t="str">
        <f>IF(Ujian!AR129="","",IF(LEFT(Ujian!AR129,1)=SEKOR!AR$2,1,0))</f>
        <v/>
      </c>
      <c r="AS122" s="125" t="str">
        <f>IF(Ujian!AS129="","",IF(LEFT(Ujian!AS129,1)=SEKOR!AS$2,1,0))</f>
        <v/>
      </c>
      <c r="AT122" s="125" t="str">
        <f>IF(Ujian!AT129="","",IF(LEFT(Ujian!AT129,1)=SEKOR!AT$2,1,0))</f>
        <v/>
      </c>
      <c r="AU122" s="125" t="str">
        <f>IF(Ujian!AU129="","",IF(LEFT(Ujian!AU129,1)=SEKOR!AU$2,1,0))</f>
        <v/>
      </c>
      <c r="AV122" s="125" t="str">
        <f>IF(Ujian!AV129="","",IF(LEFT(Ujian!AV129,1)=SEKOR!AV$2,1,0))</f>
        <v/>
      </c>
      <c r="AW122" s="125" t="str">
        <f>IF(Ujian!AW129="","",IF(LEFT(Ujian!AW129,1)=SEKOR!AW$2,1,0))</f>
        <v/>
      </c>
      <c r="AX122" s="125" t="str">
        <f>IF(Ujian!AX129="","",IF(LEFT(Ujian!AX129,1)=SEKOR!AX$2,1,0))</f>
        <v/>
      </c>
      <c r="AY122" s="125" t="str">
        <f>IF(Ujian!AY129="","",IF(LEFT(Ujian!AY129,1)=SEKOR!AY$2,1,0))</f>
        <v/>
      </c>
      <c r="AZ122" s="125" t="str">
        <f>IF(Ujian!AZ129="","",IF(LEFT(Ujian!AZ129,1)=SEKOR!AZ$2,1,0))</f>
        <v/>
      </c>
      <c r="BA122" s="125" t="str">
        <f>IF(Ujian!BA129="","",IF(LEFT(Ujian!BA129,1)=SEKOR!BA$2,1,0))</f>
        <v/>
      </c>
      <c r="BB122" s="125" t="str">
        <f>IF(Ujian!BB129="","",IF(LEFT(Ujian!BB129,1)=SEKOR!BB$2,1,0))</f>
        <v/>
      </c>
      <c r="BC122" s="125" t="str">
        <f>IF(Ujian!BC129="","",IF(LEFT(Ujian!BC129,1)=SEKOR!BC$2,1,0))</f>
        <v/>
      </c>
      <c r="BD122" s="125" t="str">
        <f>IF(Ujian!BD129="","",IF(LEFT(Ujian!BD129,1)=SEKOR!BD$2,1,0))</f>
        <v/>
      </c>
      <c r="BE122" s="125" t="str">
        <f>IF(Ujian!BE129="","",IF(LEFT(Ujian!BE129,1)=SEKOR!BE$2,1,0))</f>
        <v/>
      </c>
      <c r="BF122" s="125" t="str">
        <f>IF(Ujian!BF129="","",IF(LEFT(Ujian!BF129,1)=SEKOR!BF$2,1,0))</f>
        <v/>
      </c>
      <c r="BG122" s="125" t="str">
        <f>IF(Ujian!BG129="","",IF(LEFT(Ujian!BG129,1)=SEKOR!BG$2,1,0))</f>
        <v/>
      </c>
      <c r="BH122" s="125" t="str">
        <f>IF(Ujian!BH129="","",IF(LEFT(Ujian!BH129,1)=SEKOR!BH$2,1,0))</f>
        <v/>
      </c>
      <c r="BI122" s="125" t="str">
        <f>IF(Ujian!BI129="","",IF(LEFT(Ujian!BI129,1)=SEKOR!BI$2,1,0))</f>
        <v/>
      </c>
      <c r="BJ122" s="125" t="str">
        <f>IF(Ujian!BJ129="","",IF(LEFT(Ujian!BJ129,1)=SEKOR!BJ$2,1,0))</f>
        <v/>
      </c>
      <c r="BK122" s="125" t="str">
        <f>IF(Ujian!BK129="","",IF(LEFT(Ujian!BK129,1)=SEKOR!BK$2,1,0))</f>
        <v/>
      </c>
      <c r="BL122" s="18">
        <f t="shared" si="2"/>
        <v>0</v>
      </c>
      <c r="BM122" s="18">
        <f>COUNTIF($D122:$BK122,"")+DATA!$F$14-DATA!$F$12</f>
        <v>60</v>
      </c>
      <c r="BN122" s="17">
        <f>IF(COUNTIF($D122:$BK122,1)&gt;DATA!$F$14,DATA!$F$14,COUNTIF($D122:$BK122,1))</f>
        <v>0</v>
      </c>
      <c r="BO122" s="17">
        <f>IF((BN122+COUNTIF($D122:$BK122,0))&lt;=DATA!$F$14,COUNTIF($D122:$BK122,0),DATA!$F$14-SEKOR!BN122)</f>
        <v>0</v>
      </c>
      <c r="BP122" s="4" t="str">
        <f>IF(BL122=0,"",BN122/DATA!$F$14*100)</f>
        <v/>
      </c>
      <c r="BQ122" s="121" t="str">
        <f t="shared" si="3"/>
        <v/>
      </c>
      <c r="BR122" s="2" t="str">
        <f>IF(Praktik!$E122=0,"",Praktik!$E122)</f>
        <v/>
      </c>
      <c r="BS122" s="2" t="str">
        <f>IF(BR122="","",(BP122*DATAINFO!$O$4)+(SEKOR!BR122*DATAINFO!$O$5)/(DATAINFO!$O$4+DATAINFO!$O$5))</f>
        <v/>
      </c>
      <c r="BT122" s="2" t="str">
        <f>IF(BL122=0,"",IF(DATA!$F$18="TIDAK",ROUNDUP((IF!$L$8*SEKOR!$BP122)+IF!$L$9,0),IF($BR122="","",ROUNDUP((IF!$L$20*$BS122)+IF!$L$21,0))))</f>
        <v/>
      </c>
      <c r="BU122" s="47" t="str">
        <f>IF(BP122="","",IF(SEKOR!BP122&gt;=DATA!$J$12,1,0))</f>
        <v/>
      </c>
      <c r="BV122" s="47" t="str">
        <f>IF(BQ122="","",IF(SEKOR!BQ122&gt;=DATA!$J$12,1,0))</f>
        <v/>
      </c>
      <c r="BW122" s="47" t="str">
        <f>IF(BR122="","",IF(SEKOR!BR122&gt;=DATA!$J$12,1,0))</f>
        <v/>
      </c>
      <c r="BX122" s="47" t="str">
        <f>IF(BT122="","",IF(DATA!$J$14="",IF(SEKOR!BT122&gt;=DATA!$J$12,1,0),IF(SEKOR!BT122&gt;=DATA!$J$14,1,0)))</f>
        <v/>
      </c>
    </row>
    <row r="123" spans="1:76" x14ac:dyDescent="0.25">
      <c r="A123" s="20" t="s">
        <v>150</v>
      </c>
      <c r="B123" s="21" t="str">
        <f>IF(Ujian!B130="","",Ujian!B130)</f>
        <v/>
      </c>
      <c r="C123" s="57" t="str">
        <f>IF(Ujian!C130="","",Ujian!C130)</f>
        <v/>
      </c>
      <c r="D123" s="125" t="str">
        <f>IF(Ujian!D130="","",IF(LEFT(Ujian!D130,1)=SEKOR!D$2,1,0))</f>
        <v/>
      </c>
      <c r="E123" s="125" t="str">
        <f>IF(Ujian!E130="","",IF(LEFT(Ujian!E130,1)=SEKOR!E$2,1,0))</f>
        <v/>
      </c>
      <c r="F123" s="125" t="str">
        <f>IF(Ujian!F130="","",IF(LEFT(Ujian!F130,1)=SEKOR!F$2,1,0))</f>
        <v/>
      </c>
      <c r="G123" s="125" t="str">
        <f>IF(Ujian!G130="","",IF(LEFT(Ujian!G130,1)=SEKOR!G$2,1,0))</f>
        <v/>
      </c>
      <c r="H123" s="125" t="str">
        <f>IF(Ujian!H130="","",IF(LEFT(Ujian!H130,1)=SEKOR!H$2,1,0))</f>
        <v/>
      </c>
      <c r="I123" s="125" t="str">
        <f>IF(Ujian!I130="","",IF(LEFT(Ujian!I130,1)=SEKOR!I$2,1,0))</f>
        <v/>
      </c>
      <c r="J123" s="125" t="str">
        <f>IF(Ujian!J130="","",IF(LEFT(Ujian!J130,1)=SEKOR!J$2,1,0))</f>
        <v/>
      </c>
      <c r="K123" s="125" t="str">
        <f>IF(Ujian!K130="","",IF(LEFT(Ujian!K130,1)=SEKOR!K$2,1,0))</f>
        <v/>
      </c>
      <c r="L123" s="125" t="str">
        <f>IF(Ujian!L130="","",IF(LEFT(Ujian!L130,1)=SEKOR!L$2,1,0))</f>
        <v/>
      </c>
      <c r="M123" s="125" t="str">
        <f>IF(Ujian!M130="","",IF(LEFT(Ujian!M130,1)=SEKOR!M$2,1,0))</f>
        <v/>
      </c>
      <c r="N123" s="125" t="str">
        <f>IF(Ujian!N130="","",IF(LEFT(Ujian!N130,1)=SEKOR!N$2,1,0))</f>
        <v/>
      </c>
      <c r="O123" s="125" t="str">
        <f>IF(Ujian!O130="","",IF(LEFT(Ujian!O130,1)=SEKOR!O$2,1,0))</f>
        <v/>
      </c>
      <c r="P123" s="125" t="str">
        <f>IF(Ujian!P130="","",IF(LEFT(Ujian!P130,1)=SEKOR!P$2,1,0))</f>
        <v/>
      </c>
      <c r="Q123" s="125" t="str">
        <f>IF(Ujian!Q130="","",IF(LEFT(Ujian!Q130,1)=SEKOR!Q$2,1,0))</f>
        <v/>
      </c>
      <c r="R123" s="125" t="str">
        <f>IF(Ujian!R130="","",IF(LEFT(Ujian!R130,1)=SEKOR!R$2,1,0))</f>
        <v/>
      </c>
      <c r="S123" s="125" t="str">
        <f>IF(Ujian!S130="","",IF(LEFT(Ujian!S130,1)=SEKOR!S$2,1,0))</f>
        <v/>
      </c>
      <c r="T123" s="125" t="str">
        <f>IF(Ujian!T130="","",IF(LEFT(Ujian!T130,1)=SEKOR!T$2,1,0))</f>
        <v/>
      </c>
      <c r="U123" s="125" t="str">
        <f>IF(Ujian!U130="","",IF(LEFT(Ujian!U130,1)=SEKOR!U$2,1,0))</f>
        <v/>
      </c>
      <c r="V123" s="125" t="str">
        <f>IF(Ujian!V130="","",IF(LEFT(Ujian!V130,1)=SEKOR!V$2,1,0))</f>
        <v/>
      </c>
      <c r="W123" s="125" t="str">
        <f>IF(Ujian!W130="","",IF(LEFT(Ujian!W130,1)=SEKOR!W$2,1,0))</f>
        <v/>
      </c>
      <c r="X123" s="125" t="str">
        <f>IF(Ujian!X130="","",IF(LEFT(Ujian!X130,1)=SEKOR!X$2,1,0))</f>
        <v/>
      </c>
      <c r="Y123" s="125" t="str">
        <f>IF(Ujian!Y130="","",IF(LEFT(Ujian!Y130,1)=SEKOR!Y$2,1,0))</f>
        <v/>
      </c>
      <c r="Z123" s="125" t="str">
        <f>IF(Ujian!Z130="","",IF(LEFT(Ujian!Z130,1)=SEKOR!Z$2,1,0))</f>
        <v/>
      </c>
      <c r="AA123" s="125" t="str">
        <f>IF(Ujian!AA130="","",IF(LEFT(Ujian!AA130,1)=SEKOR!AA$2,1,0))</f>
        <v/>
      </c>
      <c r="AB123" s="125" t="str">
        <f>IF(Ujian!AB130="","",IF(LEFT(Ujian!AB130,1)=SEKOR!AB$2,1,0))</f>
        <v/>
      </c>
      <c r="AC123" s="125" t="str">
        <f>IF(Ujian!AC130="","",IF(LEFT(Ujian!AC130,1)=SEKOR!AC$2,1,0))</f>
        <v/>
      </c>
      <c r="AD123" s="125" t="str">
        <f>IF(Ujian!AD130="","",IF(LEFT(Ujian!AD130,1)=SEKOR!AD$2,1,0))</f>
        <v/>
      </c>
      <c r="AE123" s="125" t="str">
        <f>IF(Ujian!AE130="","",IF(LEFT(Ujian!AE130,1)=SEKOR!AE$2,1,0))</f>
        <v/>
      </c>
      <c r="AF123" s="125" t="str">
        <f>IF(Ujian!AF130="","",IF(LEFT(Ujian!AF130,1)=SEKOR!AF$2,1,0))</f>
        <v/>
      </c>
      <c r="AG123" s="125" t="str">
        <f>IF(Ujian!AG130="","",IF(LEFT(Ujian!AG130,1)=SEKOR!AG$2,1,0))</f>
        <v/>
      </c>
      <c r="AH123" s="125" t="str">
        <f>IF(Ujian!AH130="","",IF(LEFT(Ujian!AH130,1)=SEKOR!AH$2,1,0))</f>
        <v/>
      </c>
      <c r="AI123" s="125" t="str">
        <f>IF(Ujian!AI130="","",IF(LEFT(Ujian!AI130,1)=SEKOR!AI$2,1,0))</f>
        <v/>
      </c>
      <c r="AJ123" s="125" t="str">
        <f>IF(Ujian!AJ130="","",IF(LEFT(Ujian!AJ130,1)=SEKOR!AJ$2,1,0))</f>
        <v/>
      </c>
      <c r="AK123" s="125" t="str">
        <f>IF(Ujian!AK130="","",IF(LEFT(Ujian!AK130,1)=SEKOR!AK$2,1,0))</f>
        <v/>
      </c>
      <c r="AL123" s="125" t="str">
        <f>IF(Ujian!AL130="","",IF(LEFT(Ujian!AL130,1)=SEKOR!AL$2,1,0))</f>
        <v/>
      </c>
      <c r="AM123" s="125" t="str">
        <f>IF(Ujian!AM130="","",IF(LEFT(Ujian!AM130,1)=SEKOR!AM$2,1,0))</f>
        <v/>
      </c>
      <c r="AN123" s="125" t="str">
        <f>IF(Ujian!AN130="","",IF(LEFT(Ujian!AN130,1)=SEKOR!AN$2,1,0))</f>
        <v/>
      </c>
      <c r="AO123" s="125" t="str">
        <f>IF(Ujian!AO130="","",IF(LEFT(Ujian!AO130,1)=SEKOR!AO$2,1,0))</f>
        <v/>
      </c>
      <c r="AP123" s="125" t="str">
        <f>IF(Ujian!AP130="","",IF(LEFT(Ujian!AP130,1)=SEKOR!AP$2,1,0))</f>
        <v/>
      </c>
      <c r="AQ123" s="125" t="str">
        <f>IF(Ujian!AQ130="","",IF(LEFT(Ujian!AQ130,1)=SEKOR!AQ$2,1,0))</f>
        <v/>
      </c>
      <c r="AR123" s="125" t="str">
        <f>IF(Ujian!AR130="","",IF(LEFT(Ujian!AR130,1)=SEKOR!AR$2,1,0))</f>
        <v/>
      </c>
      <c r="AS123" s="125" t="str">
        <f>IF(Ujian!AS130="","",IF(LEFT(Ujian!AS130,1)=SEKOR!AS$2,1,0))</f>
        <v/>
      </c>
      <c r="AT123" s="125" t="str">
        <f>IF(Ujian!AT130="","",IF(LEFT(Ujian!AT130,1)=SEKOR!AT$2,1,0))</f>
        <v/>
      </c>
      <c r="AU123" s="125" t="str">
        <f>IF(Ujian!AU130="","",IF(LEFT(Ujian!AU130,1)=SEKOR!AU$2,1,0))</f>
        <v/>
      </c>
      <c r="AV123" s="125" t="str">
        <f>IF(Ujian!AV130="","",IF(LEFT(Ujian!AV130,1)=SEKOR!AV$2,1,0))</f>
        <v/>
      </c>
      <c r="AW123" s="125" t="str">
        <f>IF(Ujian!AW130="","",IF(LEFT(Ujian!AW130,1)=SEKOR!AW$2,1,0))</f>
        <v/>
      </c>
      <c r="AX123" s="125" t="str">
        <f>IF(Ujian!AX130="","",IF(LEFT(Ujian!AX130,1)=SEKOR!AX$2,1,0))</f>
        <v/>
      </c>
      <c r="AY123" s="125" t="str">
        <f>IF(Ujian!AY130="","",IF(LEFT(Ujian!AY130,1)=SEKOR!AY$2,1,0))</f>
        <v/>
      </c>
      <c r="AZ123" s="125" t="str">
        <f>IF(Ujian!AZ130="","",IF(LEFT(Ujian!AZ130,1)=SEKOR!AZ$2,1,0))</f>
        <v/>
      </c>
      <c r="BA123" s="125" t="str">
        <f>IF(Ujian!BA130="","",IF(LEFT(Ujian!BA130,1)=SEKOR!BA$2,1,0))</f>
        <v/>
      </c>
      <c r="BB123" s="125" t="str">
        <f>IF(Ujian!BB130="","",IF(LEFT(Ujian!BB130,1)=SEKOR!BB$2,1,0))</f>
        <v/>
      </c>
      <c r="BC123" s="125" t="str">
        <f>IF(Ujian!BC130="","",IF(LEFT(Ujian!BC130,1)=SEKOR!BC$2,1,0))</f>
        <v/>
      </c>
      <c r="BD123" s="125" t="str">
        <f>IF(Ujian!BD130="","",IF(LEFT(Ujian!BD130,1)=SEKOR!BD$2,1,0))</f>
        <v/>
      </c>
      <c r="BE123" s="125" t="str">
        <f>IF(Ujian!BE130="","",IF(LEFT(Ujian!BE130,1)=SEKOR!BE$2,1,0))</f>
        <v/>
      </c>
      <c r="BF123" s="125" t="str">
        <f>IF(Ujian!BF130="","",IF(LEFT(Ujian!BF130,1)=SEKOR!BF$2,1,0))</f>
        <v/>
      </c>
      <c r="BG123" s="125" t="str">
        <f>IF(Ujian!BG130="","",IF(LEFT(Ujian!BG130,1)=SEKOR!BG$2,1,0))</f>
        <v/>
      </c>
      <c r="BH123" s="125" t="str">
        <f>IF(Ujian!BH130="","",IF(LEFT(Ujian!BH130,1)=SEKOR!BH$2,1,0))</f>
        <v/>
      </c>
      <c r="BI123" s="125" t="str">
        <f>IF(Ujian!BI130="","",IF(LEFT(Ujian!BI130,1)=SEKOR!BI$2,1,0))</f>
        <v/>
      </c>
      <c r="BJ123" s="125" t="str">
        <f>IF(Ujian!BJ130="","",IF(LEFT(Ujian!BJ130,1)=SEKOR!BJ$2,1,0))</f>
        <v/>
      </c>
      <c r="BK123" s="125" t="str">
        <f>IF(Ujian!BK130="","",IF(LEFT(Ujian!BK130,1)=SEKOR!BK$2,1,0))</f>
        <v/>
      </c>
      <c r="BL123" s="18">
        <f t="shared" si="2"/>
        <v>0</v>
      </c>
      <c r="BM123" s="18">
        <f>COUNTIF($D123:$BK123,"")+DATA!$F$14-DATA!$F$12</f>
        <v>60</v>
      </c>
      <c r="BN123" s="17">
        <f>IF(COUNTIF($D123:$BK123,1)&gt;DATA!$F$14,DATA!$F$14,COUNTIF($D123:$BK123,1))</f>
        <v>0</v>
      </c>
      <c r="BO123" s="17">
        <f>IF((BN123+COUNTIF($D123:$BK123,0))&lt;=DATA!$F$14,COUNTIF($D123:$BK123,0),DATA!$F$14-SEKOR!BN123)</f>
        <v>0</v>
      </c>
      <c r="BP123" s="4" t="str">
        <f>IF(BL123=0,"",BN123/DATA!$F$14*100)</f>
        <v/>
      </c>
      <c r="BQ123" s="121" t="str">
        <f t="shared" si="3"/>
        <v/>
      </c>
      <c r="BR123" s="2" t="str">
        <f>IF(Praktik!$E123=0,"",Praktik!$E123)</f>
        <v/>
      </c>
      <c r="BS123" s="2" t="str">
        <f>IF(BR123="","",(BP123*DATAINFO!$O$4)+(SEKOR!BR123*DATAINFO!$O$5)/(DATAINFO!$O$4+DATAINFO!$O$5))</f>
        <v/>
      </c>
      <c r="BT123" s="2" t="str">
        <f>IF(BL123=0,"",IF(DATA!$F$18="TIDAK",ROUNDUP((IF!$L$8*SEKOR!$BP123)+IF!$L$9,0),IF($BR123="","",ROUNDUP((IF!$L$20*$BS123)+IF!$L$21,0))))</f>
        <v/>
      </c>
      <c r="BU123" s="47" t="str">
        <f>IF(BP123="","",IF(SEKOR!BP123&gt;=DATA!$J$12,1,0))</f>
        <v/>
      </c>
      <c r="BV123" s="47" t="str">
        <f>IF(BQ123="","",IF(SEKOR!BQ123&gt;=DATA!$J$12,1,0))</f>
        <v/>
      </c>
      <c r="BW123" s="47" t="str">
        <f>IF(BR123="","",IF(SEKOR!BR123&gt;=DATA!$J$12,1,0))</f>
        <v/>
      </c>
      <c r="BX123" s="47" t="str">
        <f>IF(BT123="","",IF(DATA!$J$14="",IF(SEKOR!BT123&gt;=DATA!$J$12,1,0),IF(SEKOR!BT123&gt;=DATA!$J$14,1,0)))</f>
        <v/>
      </c>
    </row>
    <row r="124" spans="1:76" x14ac:dyDescent="0.25">
      <c r="A124" s="20" t="s">
        <v>151</v>
      </c>
      <c r="B124" s="21" t="str">
        <f>IF(Ujian!B131="","",Ujian!B131)</f>
        <v/>
      </c>
      <c r="C124" s="57" t="str">
        <f>IF(Ujian!C131="","",Ujian!C131)</f>
        <v/>
      </c>
      <c r="D124" s="125" t="str">
        <f>IF(Ujian!D131="","",IF(LEFT(Ujian!D131,1)=SEKOR!D$2,1,0))</f>
        <v/>
      </c>
      <c r="E124" s="125" t="str">
        <f>IF(Ujian!E131="","",IF(LEFT(Ujian!E131,1)=SEKOR!E$2,1,0))</f>
        <v/>
      </c>
      <c r="F124" s="125" t="str">
        <f>IF(Ujian!F131="","",IF(LEFT(Ujian!F131,1)=SEKOR!F$2,1,0))</f>
        <v/>
      </c>
      <c r="G124" s="125" t="str">
        <f>IF(Ujian!G131="","",IF(LEFT(Ujian!G131,1)=SEKOR!G$2,1,0))</f>
        <v/>
      </c>
      <c r="H124" s="125" t="str">
        <f>IF(Ujian!H131="","",IF(LEFT(Ujian!H131,1)=SEKOR!H$2,1,0))</f>
        <v/>
      </c>
      <c r="I124" s="125" t="str">
        <f>IF(Ujian!I131="","",IF(LEFT(Ujian!I131,1)=SEKOR!I$2,1,0))</f>
        <v/>
      </c>
      <c r="J124" s="125" t="str">
        <f>IF(Ujian!J131="","",IF(LEFT(Ujian!J131,1)=SEKOR!J$2,1,0))</f>
        <v/>
      </c>
      <c r="K124" s="125" t="str">
        <f>IF(Ujian!K131="","",IF(LEFT(Ujian!K131,1)=SEKOR!K$2,1,0))</f>
        <v/>
      </c>
      <c r="L124" s="125" t="str">
        <f>IF(Ujian!L131="","",IF(LEFT(Ujian!L131,1)=SEKOR!L$2,1,0))</f>
        <v/>
      </c>
      <c r="M124" s="125" t="str">
        <f>IF(Ujian!M131="","",IF(LEFT(Ujian!M131,1)=SEKOR!M$2,1,0))</f>
        <v/>
      </c>
      <c r="N124" s="125" t="str">
        <f>IF(Ujian!N131="","",IF(LEFT(Ujian!N131,1)=SEKOR!N$2,1,0))</f>
        <v/>
      </c>
      <c r="O124" s="125" t="str">
        <f>IF(Ujian!O131="","",IF(LEFT(Ujian!O131,1)=SEKOR!O$2,1,0))</f>
        <v/>
      </c>
      <c r="P124" s="125" t="str">
        <f>IF(Ujian!P131="","",IF(LEFT(Ujian!P131,1)=SEKOR!P$2,1,0))</f>
        <v/>
      </c>
      <c r="Q124" s="125" t="str">
        <f>IF(Ujian!Q131="","",IF(LEFT(Ujian!Q131,1)=SEKOR!Q$2,1,0))</f>
        <v/>
      </c>
      <c r="R124" s="125" t="str">
        <f>IF(Ujian!R131="","",IF(LEFT(Ujian!R131,1)=SEKOR!R$2,1,0))</f>
        <v/>
      </c>
      <c r="S124" s="125" t="str">
        <f>IF(Ujian!S131="","",IF(LEFT(Ujian!S131,1)=SEKOR!S$2,1,0))</f>
        <v/>
      </c>
      <c r="T124" s="125" t="str">
        <f>IF(Ujian!T131="","",IF(LEFT(Ujian!T131,1)=SEKOR!T$2,1,0))</f>
        <v/>
      </c>
      <c r="U124" s="125" t="str">
        <f>IF(Ujian!U131="","",IF(LEFT(Ujian!U131,1)=SEKOR!U$2,1,0))</f>
        <v/>
      </c>
      <c r="V124" s="125" t="str">
        <f>IF(Ujian!V131="","",IF(LEFT(Ujian!V131,1)=SEKOR!V$2,1,0))</f>
        <v/>
      </c>
      <c r="W124" s="125" t="str">
        <f>IF(Ujian!W131="","",IF(LEFT(Ujian!W131,1)=SEKOR!W$2,1,0))</f>
        <v/>
      </c>
      <c r="X124" s="125" t="str">
        <f>IF(Ujian!X131="","",IF(LEFT(Ujian!X131,1)=SEKOR!X$2,1,0))</f>
        <v/>
      </c>
      <c r="Y124" s="125" t="str">
        <f>IF(Ujian!Y131="","",IF(LEFT(Ujian!Y131,1)=SEKOR!Y$2,1,0))</f>
        <v/>
      </c>
      <c r="Z124" s="125" t="str">
        <f>IF(Ujian!Z131="","",IF(LEFT(Ujian!Z131,1)=SEKOR!Z$2,1,0))</f>
        <v/>
      </c>
      <c r="AA124" s="125" t="str">
        <f>IF(Ujian!AA131="","",IF(LEFT(Ujian!AA131,1)=SEKOR!AA$2,1,0))</f>
        <v/>
      </c>
      <c r="AB124" s="125" t="str">
        <f>IF(Ujian!AB131="","",IF(LEFT(Ujian!AB131,1)=SEKOR!AB$2,1,0))</f>
        <v/>
      </c>
      <c r="AC124" s="125" t="str">
        <f>IF(Ujian!AC131="","",IF(LEFT(Ujian!AC131,1)=SEKOR!AC$2,1,0))</f>
        <v/>
      </c>
      <c r="AD124" s="125" t="str">
        <f>IF(Ujian!AD131="","",IF(LEFT(Ujian!AD131,1)=SEKOR!AD$2,1,0))</f>
        <v/>
      </c>
      <c r="AE124" s="125" t="str">
        <f>IF(Ujian!AE131="","",IF(LEFT(Ujian!AE131,1)=SEKOR!AE$2,1,0))</f>
        <v/>
      </c>
      <c r="AF124" s="125" t="str">
        <f>IF(Ujian!AF131="","",IF(LEFT(Ujian!AF131,1)=SEKOR!AF$2,1,0))</f>
        <v/>
      </c>
      <c r="AG124" s="125" t="str">
        <f>IF(Ujian!AG131="","",IF(LEFT(Ujian!AG131,1)=SEKOR!AG$2,1,0))</f>
        <v/>
      </c>
      <c r="AH124" s="125" t="str">
        <f>IF(Ujian!AH131="","",IF(LEFT(Ujian!AH131,1)=SEKOR!AH$2,1,0))</f>
        <v/>
      </c>
      <c r="AI124" s="125" t="str">
        <f>IF(Ujian!AI131="","",IF(LEFT(Ujian!AI131,1)=SEKOR!AI$2,1,0))</f>
        <v/>
      </c>
      <c r="AJ124" s="125" t="str">
        <f>IF(Ujian!AJ131="","",IF(LEFT(Ujian!AJ131,1)=SEKOR!AJ$2,1,0))</f>
        <v/>
      </c>
      <c r="AK124" s="125" t="str">
        <f>IF(Ujian!AK131="","",IF(LEFT(Ujian!AK131,1)=SEKOR!AK$2,1,0))</f>
        <v/>
      </c>
      <c r="AL124" s="125" t="str">
        <f>IF(Ujian!AL131="","",IF(LEFT(Ujian!AL131,1)=SEKOR!AL$2,1,0))</f>
        <v/>
      </c>
      <c r="AM124" s="125" t="str">
        <f>IF(Ujian!AM131="","",IF(LEFT(Ujian!AM131,1)=SEKOR!AM$2,1,0))</f>
        <v/>
      </c>
      <c r="AN124" s="125" t="str">
        <f>IF(Ujian!AN131="","",IF(LEFT(Ujian!AN131,1)=SEKOR!AN$2,1,0))</f>
        <v/>
      </c>
      <c r="AO124" s="125" t="str">
        <f>IF(Ujian!AO131="","",IF(LEFT(Ujian!AO131,1)=SEKOR!AO$2,1,0))</f>
        <v/>
      </c>
      <c r="AP124" s="125" t="str">
        <f>IF(Ujian!AP131="","",IF(LEFT(Ujian!AP131,1)=SEKOR!AP$2,1,0))</f>
        <v/>
      </c>
      <c r="AQ124" s="125" t="str">
        <f>IF(Ujian!AQ131="","",IF(LEFT(Ujian!AQ131,1)=SEKOR!AQ$2,1,0))</f>
        <v/>
      </c>
      <c r="AR124" s="125" t="str">
        <f>IF(Ujian!AR131="","",IF(LEFT(Ujian!AR131,1)=SEKOR!AR$2,1,0))</f>
        <v/>
      </c>
      <c r="AS124" s="125" t="str">
        <f>IF(Ujian!AS131="","",IF(LEFT(Ujian!AS131,1)=SEKOR!AS$2,1,0))</f>
        <v/>
      </c>
      <c r="AT124" s="125" t="str">
        <f>IF(Ujian!AT131="","",IF(LEFT(Ujian!AT131,1)=SEKOR!AT$2,1,0))</f>
        <v/>
      </c>
      <c r="AU124" s="125" t="str">
        <f>IF(Ujian!AU131="","",IF(LEFT(Ujian!AU131,1)=SEKOR!AU$2,1,0))</f>
        <v/>
      </c>
      <c r="AV124" s="125" t="str">
        <f>IF(Ujian!AV131="","",IF(LEFT(Ujian!AV131,1)=SEKOR!AV$2,1,0))</f>
        <v/>
      </c>
      <c r="AW124" s="125" t="str">
        <f>IF(Ujian!AW131="","",IF(LEFT(Ujian!AW131,1)=SEKOR!AW$2,1,0))</f>
        <v/>
      </c>
      <c r="AX124" s="125" t="str">
        <f>IF(Ujian!AX131="","",IF(LEFT(Ujian!AX131,1)=SEKOR!AX$2,1,0))</f>
        <v/>
      </c>
      <c r="AY124" s="125" t="str">
        <f>IF(Ujian!AY131="","",IF(LEFT(Ujian!AY131,1)=SEKOR!AY$2,1,0))</f>
        <v/>
      </c>
      <c r="AZ124" s="125" t="str">
        <f>IF(Ujian!AZ131="","",IF(LEFT(Ujian!AZ131,1)=SEKOR!AZ$2,1,0))</f>
        <v/>
      </c>
      <c r="BA124" s="125" t="str">
        <f>IF(Ujian!BA131="","",IF(LEFT(Ujian!BA131,1)=SEKOR!BA$2,1,0))</f>
        <v/>
      </c>
      <c r="BB124" s="125" t="str">
        <f>IF(Ujian!BB131="","",IF(LEFT(Ujian!BB131,1)=SEKOR!BB$2,1,0))</f>
        <v/>
      </c>
      <c r="BC124" s="125" t="str">
        <f>IF(Ujian!BC131="","",IF(LEFT(Ujian!BC131,1)=SEKOR!BC$2,1,0))</f>
        <v/>
      </c>
      <c r="BD124" s="125" t="str">
        <f>IF(Ujian!BD131="","",IF(LEFT(Ujian!BD131,1)=SEKOR!BD$2,1,0))</f>
        <v/>
      </c>
      <c r="BE124" s="125" t="str">
        <f>IF(Ujian!BE131="","",IF(LEFT(Ujian!BE131,1)=SEKOR!BE$2,1,0))</f>
        <v/>
      </c>
      <c r="BF124" s="125" t="str">
        <f>IF(Ujian!BF131="","",IF(LEFT(Ujian!BF131,1)=SEKOR!BF$2,1,0))</f>
        <v/>
      </c>
      <c r="BG124" s="125" t="str">
        <f>IF(Ujian!BG131="","",IF(LEFT(Ujian!BG131,1)=SEKOR!BG$2,1,0))</f>
        <v/>
      </c>
      <c r="BH124" s="125" t="str">
        <f>IF(Ujian!BH131="","",IF(LEFT(Ujian!BH131,1)=SEKOR!BH$2,1,0))</f>
        <v/>
      </c>
      <c r="BI124" s="125" t="str">
        <f>IF(Ujian!BI131="","",IF(LEFT(Ujian!BI131,1)=SEKOR!BI$2,1,0))</f>
        <v/>
      </c>
      <c r="BJ124" s="125" t="str">
        <f>IF(Ujian!BJ131="","",IF(LEFT(Ujian!BJ131,1)=SEKOR!BJ$2,1,0))</f>
        <v/>
      </c>
      <c r="BK124" s="125" t="str">
        <f>IF(Ujian!BK131="","",IF(LEFT(Ujian!BK131,1)=SEKOR!BK$2,1,0))</f>
        <v/>
      </c>
      <c r="BL124" s="18">
        <f t="shared" si="2"/>
        <v>0</v>
      </c>
      <c r="BM124" s="18">
        <f>COUNTIF($D124:$BK124,"")+DATA!$F$14-DATA!$F$12</f>
        <v>60</v>
      </c>
      <c r="BN124" s="17">
        <f>IF(COUNTIF($D124:$BK124,1)&gt;DATA!$F$14,DATA!$F$14,COUNTIF($D124:$BK124,1))</f>
        <v>0</v>
      </c>
      <c r="BO124" s="17">
        <f>IF((BN124+COUNTIF($D124:$BK124,0))&lt;=DATA!$F$14,COUNTIF($D124:$BK124,0),DATA!$F$14-SEKOR!BN124)</f>
        <v>0</v>
      </c>
      <c r="BP124" s="4" t="str">
        <f>IF(BL124=0,"",BN124/DATA!$F$14*100)</f>
        <v/>
      </c>
      <c r="BQ124" s="121" t="str">
        <f t="shared" si="3"/>
        <v/>
      </c>
      <c r="BR124" s="2" t="str">
        <f>IF(Praktik!$E124=0,"",Praktik!$E124)</f>
        <v/>
      </c>
      <c r="BS124" s="2" t="str">
        <f>IF(BR124="","",(BP124*DATAINFO!$O$4)+(SEKOR!BR124*DATAINFO!$O$5)/(DATAINFO!$O$4+DATAINFO!$O$5))</f>
        <v/>
      </c>
      <c r="BT124" s="2" t="str">
        <f>IF(BL124=0,"",IF(DATA!$F$18="TIDAK",ROUNDUP((IF!$L$8*SEKOR!$BP124)+IF!$L$9,0),IF($BR124="","",ROUNDUP((IF!$L$20*$BS124)+IF!$L$21,0))))</f>
        <v/>
      </c>
      <c r="BU124" s="47" t="str">
        <f>IF(BP124="","",IF(SEKOR!BP124&gt;=DATA!$J$12,1,0))</f>
        <v/>
      </c>
      <c r="BV124" s="47" t="str">
        <f>IF(BQ124="","",IF(SEKOR!BQ124&gt;=DATA!$J$12,1,0))</f>
        <v/>
      </c>
      <c r="BW124" s="47" t="str">
        <f>IF(BR124="","",IF(SEKOR!BR124&gt;=DATA!$J$12,1,0))</f>
        <v/>
      </c>
      <c r="BX124" s="47" t="str">
        <f>IF(BT124="","",IF(DATA!$J$14="",IF(SEKOR!BT124&gt;=DATA!$J$12,1,0),IF(SEKOR!BT124&gt;=DATA!$J$14,1,0)))</f>
        <v/>
      </c>
    </row>
    <row r="125" spans="1:76" x14ac:dyDescent="0.25">
      <c r="A125" s="20" t="s">
        <v>152</v>
      </c>
      <c r="B125" s="21" t="str">
        <f>IF(Ujian!B132="","",Ujian!B132)</f>
        <v/>
      </c>
      <c r="C125" s="57" t="str">
        <f>IF(Ujian!C132="","",Ujian!C132)</f>
        <v/>
      </c>
      <c r="D125" s="125" t="str">
        <f>IF(Ujian!D132="","",IF(LEFT(Ujian!D132,1)=SEKOR!D$2,1,0))</f>
        <v/>
      </c>
      <c r="E125" s="125" t="str">
        <f>IF(Ujian!E132="","",IF(LEFT(Ujian!E132,1)=SEKOR!E$2,1,0))</f>
        <v/>
      </c>
      <c r="F125" s="125" t="str">
        <f>IF(Ujian!F132="","",IF(LEFT(Ujian!F132,1)=SEKOR!F$2,1,0))</f>
        <v/>
      </c>
      <c r="G125" s="125" t="str">
        <f>IF(Ujian!G132="","",IF(LEFT(Ujian!G132,1)=SEKOR!G$2,1,0))</f>
        <v/>
      </c>
      <c r="H125" s="125" t="str">
        <f>IF(Ujian!H132="","",IF(LEFT(Ujian!H132,1)=SEKOR!H$2,1,0))</f>
        <v/>
      </c>
      <c r="I125" s="125" t="str">
        <f>IF(Ujian!I132="","",IF(LEFT(Ujian!I132,1)=SEKOR!I$2,1,0))</f>
        <v/>
      </c>
      <c r="J125" s="125" t="str">
        <f>IF(Ujian!J132="","",IF(LEFT(Ujian!J132,1)=SEKOR!J$2,1,0))</f>
        <v/>
      </c>
      <c r="K125" s="125" t="str">
        <f>IF(Ujian!K132="","",IF(LEFT(Ujian!K132,1)=SEKOR!K$2,1,0))</f>
        <v/>
      </c>
      <c r="L125" s="125" t="str">
        <f>IF(Ujian!L132="","",IF(LEFT(Ujian!L132,1)=SEKOR!L$2,1,0))</f>
        <v/>
      </c>
      <c r="M125" s="125" t="str">
        <f>IF(Ujian!M132="","",IF(LEFT(Ujian!M132,1)=SEKOR!M$2,1,0))</f>
        <v/>
      </c>
      <c r="N125" s="125" t="str">
        <f>IF(Ujian!N132="","",IF(LEFT(Ujian!N132,1)=SEKOR!N$2,1,0))</f>
        <v/>
      </c>
      <c r="O125" s="125" t="str">
        <f>IF(Ujian!O132="","",IF(LEFT(Ujian!O132,1)=SEKOR!O$2,1,0))</f>
        <v/>
      </c>
      <c r="P125" s="125" t="str">
        <f>IF(Ujian!P132="","",IF(LEFT(Ujian!P132,1)=SEKOR!P$2,1,0))</f>
        <v/>
      </c>
      <c r="Q125" s="125" t="str">
        <f>IF(Ujian!Q132="","",IF(LEFT(Ujian!Q132,1)=SEKOR!Q$2,1,0))</f>
        <v/>
      </c>
      <c r="R125" s="125" t="str">
        <f>IF(Ujian!R132="","",IF(LEFT(Ujian!R132,1)=SEKOR!R$2,1,0))</f>
        <v/>
      </c>
      <c r="S125" s="125" t="str">
        <f>IF(Ujian!S132="","",IF(LEFT(Ujian!S132,1)=SEKOR!S$2,1,0))</f>
        <v/>
      </c>
      <c r="T125" s="125" t="str">
        <f>IF(Ujian!T132="","",IF(LEFT(Ujian!T132,1)=SEKOR!T$2,1,0))</f>
        <v/>
      </c>
      <c r="U125" s="125" t="str">
        <f>IF(Ujian!U132="","",IF(LEFT(Ujian!U132,1)=SEKOR!U$2,1,0))</f>
        <v/>
      </c>
      <c r="V125" s="125" t="str">
        <f>IF(Ujian!V132="","",IF(LEFT(Ujian!V132,1)=SEKOR!V$2,1,0))</f>
        <v/>
      </c>
      <c r="W125" s="125" t="str">
        <f>IF(Ujian!W132="","",IF(LEFT(Ujian!W132,1)=SEKOR!W$2,1,0))</f>
        <v/>
      </c>
      <c r="X125" s="125" t="str">
        <f>IF(Ujian!X132="","",IF(LEFT(Ujian!X132,1)=SEKOR!X$2,1,0))</f>
        <v/>
      </c>
      <c r="Y125" s="125" t="str">
        <f>IF(Ujian!Y132="","",IF(LEFT(Ujian!Y132,1)=SEKOR!Y$2,1,0))</f>
        <v/>
      </c>
      <c r="Z125" s="125" t="str">
        <f>IF(Ujian!Z132="","",IF(LEFT(Ujian!Z132,1)=SEKOR!Z$2,1,0))</f>
        <v/>
      </c>
      <c r="AA125" s="125" t="str">
        <f>IF(Ujian!AA132="","",IF(LEFT(Ujian!AA132,1)=SEKOR!AA$2,1,0))</f>
        <v/>
      </c>
      <c r="AB125" s="125" t="str">
        <f>IF(Ujian!AB132="","",IF(LEFT(Ujian!AB132,1)=SEKOR!AB$2,1,0))</f>
        <v/>
      </c>
      <c r="AC125" s="125" t="str">
        <f>IF(Ujian!AC132="","",IF(LEFT(Ujian!AC132,1)=SEKOR!AC$2,1,0))</f>
        <v/>
      </c>
      <c r="AD125" s="125" t="str">
        <f>IF(Ujian!AD132="","",IF(LEFT(Ujian!AD132,1)=SEKOR!AD$2,1,0))</f>
        <v/>
      </c>
      <c r="AE125" s="125" t="str">
        <f>IF(Ujian!AE132="","",IF(LEFT(Ujian!AE132,1)=SEKOR!AE$2,1,0))</f>
        <v/>
      </c>
      <c r="AF125" s="125" t="str">
        <f>IF(Ujian!AF132="","",IF(LEFT(Ujian!AF132,1)=SEKOR!AF$2,1,0))</f>
        <v/>
      </c>
      <c r="AG125" s="125" t="str">
        <f>IF(Ujian!AG132="","",IF(LEFT(Ujian!AG132,1)=SEKOR!AG$2,1,0))</f>
        <v/>
      </c>
      <c r="AH125" s="125" t="str">
        <f>IF(Ujian!AH132="","",IF(LEFT(Ujian!AH132,1)=SEKOR!AH$2,1,0))</f>
        <v/>
      </c>
      <c r="AI125" s="125" t="str">
        <f>IF(Ujian!AI132="","",IF(LEFT(Ujian!AI132,1)=SEKOR!AI$2,1,0))</f>
        <v/>
      </c>
      <c r="AJ125" s="125" t="str">
        <f>IF(Ujian!AJ132="","",IF(LEFT(Ujian!AJ132,1)=SEKOR!AJ$2,1,0))</f>
        <v/>
      </c>
      <c r="AK125" s="125" t="str">
        <f>IF(Ujian!AK132="","",IF(LEFT(Ujian!AK132,1)=SEKOR!AK$2,1,0))</f>
        <v/>
      </c>
      <c r="AL125" s="125" t="str">
        <f>IF(Ujian!AL132="","",IF(LEFT(Ujian!AL132,1)=SEKOR!AL$2,1,0))</f>
        <v/>
      </c>
      <c r="AM125" s="125" t="str">
        <f>IF(Ujian!AM132="","",IF(LEFT(Ujian!AM132,1)=SEKOR!AM$2,1,0))</f>
        <v/>
      </c>
      <c r="AN125" s="125" t="str">
        <f>IF(Ujian!AN132="","",IF(LEFT(Ujian!AN132,1)=SEKOR!AN$2,1,0))</f>
        <v/>
      </c>
      <c r="AO125" s="125" t="str">
        <f>IF(Ujian!AO132="","",IF(LEFT(Ujian!AO132,1)=SEKOR!AO$2,1,0))</f>
        <v/>
      </c>
      <c r="AP125" s="125" t="str">
        <f>IF(Ujian!AP132="","",IF(LEFT(Ujian!AP132,1)=SEKOR!AP$2,1,0))</f>
        <v/>
      </c>
      <c r="AQ125" s="125" t="str">
        <f>IF(Ujian!AQ132="","",IF(LEFT(Ujian!AQ132,1)=SEKOR!AQ$2,1,0))</f>
        <v/>
      </c>
      <c r="AR125" s="125" t="str">
        <f>IF(Ujian!AR132="","",IF(LEFT(Ujian!AR132,1)=SEKOR!AR$2,1,0))</f>
        <v/>
      </c>
      <c r="AS125" s="125" t="str">
        <f>IF(Ujian!AS132="","",IF(LEFT(Ujian!AS132,1)=SEKOR!AS$2,1,0))</f>
        <v/>
      </c>
      <c r="AT125" s="125" t="str">
        <f>IF(Ujian!AT132="","",IF(LEFT(Ujian!AT132,1)=SEKOR!AT$2,1,0))</f>
        <v/>
      </c>
      <c r="AU125" s="125" t="str">
        <f>IF(Ujian!AU132="","",IF(LEFT(Ujian!AU132,1)=SEKOR!AU$2,1,0))</f>
        <v/>
      </c>
      <c r="AV125" s="125" t="str">
        <f>IF(Ujian!AV132="","",IF(LEFT(Ujian!AV132,1)=SEKOR!AV$2,1,0))</f>
        <v/>
      </c>
      <c r="AW125" s="125" t="str">
        <f>IF(Ujian!AW132="","",IF(LEFT(Ujian!AW132,1)=SEKOR!AW$2,1,0))</f>
        <v/>
      </c>
      <c r="AX125" s="125" t="str">
        <f>IF(Ujian!AX132="","",IF(LEFT(Ujian!AX132,1)=SEKOR!AX$2,1,0))</f>
        <v/>
      </c>
      <c r="AY125" s="125" t="str">
        <f>IF(Ujian!AY132="","",IF(LEFT(Ujian!AY132,1)=SEKOR!AY$2,1,0))</f>
        <v/>
      </c>
      <c r="AZ125" s="125" t="str">
        <f>IF(Ujian!AZ132="","",IF(LEFT(Ujian!AZ132,1)=SEKOR!AZ$2,1,0))</f>
        <v/>
      </c>
      <c r="BA125" s="125" t="str">
        <f>IF(Ujian!BA132="","",IF(LEFT(Ujian!BA132,1)=SEKOR!BA$2,1,0))</f>
        <v/>
      </c>
      <c r="BB125" s="125" t="str">
        <f>IF(Ujian!BB132="","",IF(LEFT(Ujian!BB132,1)=SEKOR!BB$2,1,0))</f>
        <v/>
      </c>
      <c r="BC125" s="125" t="str">
        <f>IF(Ujian!BC132="","",IF(LEFT(Ujian!BC132,1)=SEKOR!BC$2,1,0))</f>
        <v/>
      </c>
      <c r="BD125" s="125" t="str">
        <f>IF(Ujian!BD132="","",IF(LEFT(Ujian!BD132,1)=SEKOR!BD$2,1,0))</f>
        <v/>
      </c>
      <c r="BE125" s="125" t="str">
        <f>IF(Ujian!BE132="","",IF(LEFT(Ujian!BE132,1)=SEKOR!BE$2,1,0))</f>
        <v/>
      </c>
      <c r="BF125" s="125" t="str">
        <f>IF(Ujian!BF132="","",IF(LEFT(Ujian!BF132,1)=SEKOR!BF$2,1,0))</f>
        <v/>
      </c>
      <c r="BG125" s="125" t="str">
        <f>IF(Ujian!BG132="","",IF(LEFT(Ujian!BG132,1)=SEKOR!BG$2,1,0))</f>
        <v/>
      </c>
      <c r="BH125" s="125" t="str">
        <f>IF(Ujian!BH132="","",IF(LEFT(Ujian!BH132,1)=SEKOR!BH$2,1,0))</f>
        <v/>
      </c>
      <c r="BI125" s="125" t="str">
        <f>IF(Ujian!BI132="","",IF(LEFT(Ujian!BI132,1)=SEKOR!BI$2,1,0))</f>
        <v/>
      </c>
      <c r="BJ125" s="125" t="str">
        <f>IF(Ujian!BJ132="","",IF(LEFT(Ujian!BJ132,1)=SEKOR!BJ$2,1,0))</f>
        <v/>
      </c>
      <c r="BK125" s="125" t="str">
        <f>IF(Ujian!BK132="","",IF(LEFT(Ujian!BK132,1)=SEKOR!BK$2,1,0))</f>
        <v/>
      </c>
      <c r="BL125" s="18">
        <f t="shared" si="2"/>
        <v>0</v>
      </c>
      <c r="BM125" s="18">
        <f>COUNTIF($D125:$BK125,"")+DATA!$F$14-DATA!$F$12</f>
        <v>60</v>
      </c>
      <c r="BN125" s="17">
        <f>IF(COUNTIF($D125:$BK125,1)&gt;DATA!$F$14,DATA!$F$14,COUNTIF($D125:$BK125,1))</f>
        <v>0</v>
      </c>
      <c r="BO125" s="17">
        <f>IF((BN125+COUNTIF($D125:$BK125,0))&lt;=DATA!$F$14,COUNTIF($D125:$BK125,0),DATA!$F$14-SEKOR!BN125)</f>
        <v>0</v>
      </c>
      <c r="BP125" s="4" t="str">
        <f>IF(BL125=0,"",BN125/DATA!$F$14*100)</f>
        <v/>
      </c>
      <c r="BQ125" s="121" t="str">
        <f t="shared" si="3"/>
        <v/>
      </c>
      <c r="BR125" s="2" t="str">
        <f>IF(Praktik!$E125=0,"",Praktik!$E125)</f>
        <v/>
      </c>
      <c r="BS125" s="2" t="str">
        <f>IF(BR125="","",(BP125*DATAINFO!$O$4)+(SEKOR!BR125*DATAINFO!$O$5)/(DATAINFO!$O$4+DATAINFO!$O$5))</f>
        <v/>
      </c>
      <c r="BT125" s="2" t="str">
        <f>IF(BL125=0,"",IF(DATA!$F$18="TIDAK",ROUNDUP((IF!$L$8*SEKOR!$BP125)+IF!$L$9,0),IF($BR125="","",ROUNDUP((IF!$L$20*$BS125)+IF!$L$21,0))))</f>
        <v/>
      </c>
      <c r="BU125" s="47" t="str">
        <f>IF(BP125="","",IF(SEKOR!BP125&gt;=DATA!$J$12,1,0))</f>
        <v/>
      </c>
      <c r="BV125" s="47" t="str">
        <f>IF(BQ125="","",IF(SEKOR!BQ125&gt;=DATA!$J$12,1,0))</f>
        <v/>
      </c>
      <c r="BW125" s="47" t="str">
        <f>IF(BR125="","",IF(SEKOR!BR125&gt;=DATA!$J$12,1,0))</f>
        <v/>
      </c>
      <c r="BX125" s="47" t="str">
        <f>IF(BT125="","",IF(DATA!$J$14="",IF(SEKOR!BT125&gt;=DATA!$J$12,1,0),IF(SEKOR!BT125&gt;=DATA!$J$14,1,0)))</f>
        <v/>
      </c>
    </row>
    <row r="126" spans="1:76" x14ac:dyDescent="0.25">
      <c r="A126" s="20" t="s">
        <v>153</v>
      </c>
      <c r="B126" s="21" t="str">
        <f>IF(Ujian!B133="","",Ujian!B133)</f>
        <v/>
      </c>
      <c r="C126" s="57" t="str">
        <f>IF(Ujian!C133="","",Ujian!C133)</f>
        <v/>
      </c>
      <c r="D126" s="125" t="str">
        <f>IF(Ujian!D133="","",IF(LEFT(Ujian!D133,1)=SEKOR!D$2,1,0))</f>
        <v/>
      </c>
      <c r="E126" s="125" t="str">
        <f>IF(Ujian!E133="","",IF(LEFT(Ujian!E133,1)=SEKOR!E$2,1,0))</f>
        <v/>
      </c>
      <c r="F126" s="125" t="str">
        <f>IF(Ujian!F133="","",IF(LEFT(Ujian!F133,1)=SEKOR!F$2,1,0))</f>
        <v/>
      </c>
      <c r="G126" s="125" t="str">
        <f>IF(Ujian!G133="","",IF(LEFT(Ujian!G133,1)=SEKOR!G$2,1,0))</f>
        <v/>
      </c>
      <c r="H126" s="125" t="str">
        <f>IF(Ujian!H133="","",IF(LEFT(Ujian!H133,1)=SEKOR!H$2,1,0))</f>
        <v/>
      </c>
      <c r="I126" s="125" t="str">
        <f>IF(Ujian!I133="","",IF(LEFT(Ujian!I133,1)=SEKOR!I$2,1,0))</f>
        <v/>
      </c>
      <c r="J126" s="125" t="str">
        <f>IF(Ujian!J133="","",IF(LEFT(Ujian!J133,1)=SEKOR!J$2,1,0))</f>
        <v/>
      </c>
      <c r="K126" s="125" t="str">
        <f>IF(Ujian!K133="","",IF(LEFT(Ujian!K133,1)=SEKOR!K$2,1,0))</f>
        <v/>
      </c>
      <c r="L126" s="125" t="str">
        <f>IF(Ujian!L133="","",IF(LEFT(Ujian!L133,1)=SEKOR!L$2,1,0))</f>
        <v/>
      </c>
      <c r="M126" s="125" t="str">
        <f>IF(Ujian!M133="","",IF(LEFT(Ujian!M133,1)=SEKOR!M$2,1,0))</f>
        <v/>
      </c>
      <c r="N126" s="125" t="str">
        <f>IF(Ujian!N133="","",IF(LEFT(Ujian!N133,1)=SEKOR!N$2,1,0))</f>
        <v/>
      </c>
      <c r="O126" s="125" t="str">
        <f>IF(Ujian!O133="","",IF(LEFT(Ujian!O133,1)=SEKOR!O$2,1,0))</f>
        <v/>
      </c>
      <c r="P126" s="125" t="str">
        <f>IF(Ujian!P133="","",IF(LEFT(Ujian!P133,1)=SEKOR!P$2,1,0))</f>
        <v/>
      </c>
      <c r="Q126" s="125" t="str">
        <f>IF(Ujian!Q133="","",IF(LEFT(Ujian!Q133,1)=SEKOR!Q$2,1,0))</f>
        <v/>
      </c>
      <c r="R126" s="125" t="str">
        <f>IF(Ujian!R133="","",IF(LEFT(Ujian!R133,1)=SEKOR!R$2,1,0))</f>
        <v/>
      </c>
      <c r="S126" s="125" t="str">
        <f>IF(Ujian!S133="","",IF(LEFT(Ujian!S133,1)=SEKOR!S$2,1,0))</f>
        <v/>
      </c>
      <c r="T126" s="125" t="str">
        <f>IF(Ujian!T133="","",IF(LEFT(Ujian!T133,1)=SEKOR!T$2,1,0))</f>
        <v/>
      </c>
      <c r="U126" s="125" t="str">
        <f>IF(Ujian!U133="","",IF(LEFT(Ujian!U133,1)=SEKOR!U$2,1,0))</f>
        <v/>
      </c>
      <c r="V126" s="125" t="str">
        <f>IF(Ujian!V133="","",IF(LEFT(Ujian!V133,1)=SEKOR!V$2,1,0))</f>
        <v/>
      </c>
      <c r="W126" s="125" t="str">
        <f>IF(Ujian!W133="","",IF(LEFT(Ujian!W133,1)=SEKOR!W$2,1,0))</f>
        <v/>
      </c>
      <c r="X126" s="125" t="str">
        <f>IF(Ujian!X133="","",IF(LEFT(Ujian!X133,1)=SEKOR!X$2,1,0))</f>
        <v/>
      </c>
      <c r="Y126" s="125" t="str">
        <f>IF(Ujian!Y133="","",IF(LEFT(Ujian!Y133,1)=SEKOR!Y$2,1,0))</f>
        <v/>
      </c>
      <c r="Z126" s="125" t="str">
        <f>IF(Ujian!Z133="","",IF(LEFT(Ujian!Z133,1)=SEKOR!Z$2,1,0))</f>
        <v/>
      </c>
      <c r="AA126" s="125" t="str">
        <f>IF(Ujian!AA133="","",IF(LEFT(Ujian!AA133,1)=SEKOR!AA$2,1,0))</f>
        <v/>
      </c>
      <c r="AB126" s="125" t="str">
        <f>IF(Ujian!AB133="","",IF(LEFT(Ujian!AB133,1)=SEKOR!AB$2,1,0))</f>
        <v/>
      </c>
      <c r="AC126" s="125" t="str">
        <f>IF(Ujian!AC133="","",IF(LEFT(Ujian!AC133,1)=SEKOR!AC$2,1,0))</f>
        <v/>
      </c>
      <c r="AD126" s="125" t="str">
        <f>IF(Ujian!AD133="","",IF(LEFT(Ujian!AD133,1)=SEKOR!AD$2,1,0))</f>
        <v/>
      </c>
      <c r="AE126" s="125" t="str">
        <f>IF(Ujian!AE133="","",IF(LEFT(Ujian!AE133,1)=SEKOR!AE$2,1,0))</f>
        <v/>
      </c>
      <c r="AF126" s="125" t="str">
        <f>IF(Ujian!AF133="","",IF(LEFT(Ujian!AF133,1)=SEKOR!AF$2,1,0))</f>
        <v/>
      </c>
      <c r="AG126" s="125" t="str">
        <f>IF(Ujian!AG133="","",IF(LEFT(Ujian!AG133,1)=SEKOR!AG$2,1,0))</f>
        <v/>
      </c>
      <c r="AH126" s="125" t="str">
        <f>IF(Ujian!AH133="","",IF(LEFT(Ujian!AH133,1)=SEKOR!AH$2,1,0))</f>
        <v/>
      </c>
      <c r="AI126" s="125" t="str">
        <f>IF(Ujian!AI133="","",IF(LEFT(Ujian!AI133,1)=SEKOR!AI$2,1,0))</f>
        <v/>
      </c>
      <c r="AJ126" s="125" t="str">
        <f>IF(Ujian!AJ133="","",IF(LEFT(Ujian!AJ133,1)=SEKOR!AJ$2,1,0))</f>
        <v/>
      </c>
      <c r="AK126" s="125" t="str">
        <f>IF(Ujian!AK133="","",IF(LEFT(Ujian!AK133,1)=SEKOR!AK$2,1,0))</f>
        <v/>
      </c>
      <c r="AL126" s="125" t="str">
        <f>IF(Ujian!AL133="","",IF(LEFT(Ujian!AL133,1)=SEKOR!AL$2,1,0))</f>
        <v/>
      </c>
      <c r="AM126" s="125" t="str">
        <f>IF(Ujian!AM133="","",IF(LEFT(Ujian!AM133,1)=SEKOR!AM$2,1,0))</f>
        <v/>
      </c>
      <c r="AN126" s="125" t="str">
        <f>IF(Ujian!AN133="","",IF(LEFT(Ujian!AN133,1)=SEKOR!AN$2,1,0))</f>
        <v/>
      </c>
      <c r="AO126" s="125" t="str">
        <f>IF(Ujian!AO133="","",IF(LEFT(Ujian!AO133,1)=SEKOR!AO$2,1,0))</f>
        <v/>
      </c>
      <c r="AP126" s="125" t="str">
        <f>IF(Ujian!AP133="","",IF(LEFT(Ujian!AP133,1)=SEKOR!AP$2,1,0))</f>
        <v/>
      </c>
      <c r="AQ126" s="125" t="str">
        <f>IF(Ujian!AQ133="","",IF(LEFT(Ujian!AQ133,1)=SEKOR!AQ$2,1,0))</f>
        <v/>
      </c>
      <c r="AR126" s="125" t="str">
        <f>IF(Ujian!AR133="","",IF(LEFT(Ujian!AR133,1)=SEKOR!AR$2,1,0))</f>
        <v/>
      </c>
      <c r="AS126" s="125" t="str">
        <f>IF(Ujian!AS133="","",IF(LEFT(Ujian!AS133,1)=SEKOR!AS$2,1,0))</f>
        <v/>
      </c>
      <c r="AT126" s="125" t="str">
        <f>IF(Ujian!AT133="","",IF(LEFT(Ujian!AT133,1)=SEKOR!AT$2,1,0))</f>
        <v/>
      </c>
      <c r="AU126" s="125" t="str">
        <f>IF(Ujian!AU133="","",IF(LEFT(Ujian!AU133,1)=SEKOR!AU$2,1,0))</f>
        <v/>
      </c>
      <c r="AV126" s="125" t="str">
        <f>IF(Ujian!AV133="","",IF(LEFT(Ujian!AV133,1)=SEKOR!AV$2,1,0))</f>
        <v/>
      </c>
      <c r="AW126" s="125" t="str">
        <f>IF(Ujian!AW133="","",IF(LEFT(Ujian!AW133,1)=SEKOR!AW$2,1,0))</f>
        <v/>
      </c>
      <c r="AX126" s="125" t="str">
        <f>IF(Ujian!AX133="","",IF(LEFT(Ujian!AX133,1)=SEKOR!AX$2,1,0))</f>
        <v/>
      </c>
      <c r="AY126" s="125" t="str">
        <f>IF(Ujian!AY133="","",IF(LEFT(Ujian!AY133,1)=SEKOR!AY$2,1,0))</f>
        <v/>
      </c>
      <c r="AZ126" s="125" t="str">
        <f>IF(Ujian!AZ133="","",IF(LEFT(Ujian!AZ133,1)=SEKOR!AZ$2,1,0))</f>
        <v/>
      </c>
      <c r="BA126" s="125" t="str">
        <f>IF(Ujian!BA133="","",IF(LEFT(Ujian!BA133,1)=SEKOR!BA$2,1,0))</f>
        <v/>
      </c>
      <c r="BB126" s="125" t="str">
        <f>IF(Ujian!BB133="","",IF(LEFT(Ujian!BB133,1)=SEKOR!BB$2,1,0))</f>
        <v/>
      </c>
      <c r="BC126" s="125" t="str">
        <f>IF(Ujian!BC133="","",IF(LEFT(Ujian!BC133,1)=SEKOR!BC$2,1,0))</f>
        <v/>
      </c>
      <c r="BD126" s="125" t="str">
        <f>IF(Ujian!BD133="","",IF(LEFT(Ujian!BD133,1)=SEKOR!BD$2,1,0))</f>
        <v/>
      </c>
      <c r="BE126" s="125" t="str">
        <f>IF(Ujian!BE133="","",IF(LEFT(Ujian!BE133,1)=SEKOR!BE$2,1,0))</f>
        <v/>
      </c>
      <c r="BF126" s="125" t="str">
        <f>IF(Ujian!BF133="","",IF(LEFT(Ujian!BF133,1)=SEKOR!BF$2,1,0))</f>
        <v/>
      </c>
      <c r="BG126" s="125" t="str">
        <f>IF(Ujian!BG133="","",IF(LEFT(Ujian!BG133,1)=SEKOR!BG$2,1,0))</f>
        <v/>
      </c>
      <c r="BH126" s="125" t="str">
        <f>IF(Ujian!BH133="","",IF(LEFT(Ujian!BH133,1)=SEKOR!BH$2,1,0))</f>
        <v/>
      </c>
      <c r="BI126" s="125" t="str">
        <f>IF(Ujian!BI133="","",IF(LEFT(Ujian!BI133,1)=SEKOR!BI$2,1,0))</f>
        <v/>
      </c>
      <c r="BJ126" s="125" t="str">
        <f>IF(Ujian!BJ133="","",IF(LEFT(Ujian!BJ133,1)=SEKOR!BJ$2,1,0))</f>
        <v/>
      </c>
      <c r="BK126" s="125" t="str">
        <f>IF(Ujian!BK133="","",IF(LEFT(Ujian!BK133,1)=SEKOR!BK$2,1,0))</f>
        <v/>
      </c>
      <c r="BL126" s="18">
        <f t="shared" si="2"/>
        <v>0</v>
      </c>
      <c r="BM126" s="18">
        <f>COUNTIF($D126:$BK126,"")+DATA!$F$14-DATA!$F$12</f>
        <v>60</v>
      </c>
      <c r="BN126" s="17">
        <f>IF(COUNTIF($D126:$BK126,1)&gt;DATA!$F$14,DATA!$F$14,COUNTIF($D126:$BK126,1))</f>
        <v>0</v>
      </c>
      <c r="BO126" s="17">
        <f>IF((BN126+COUNTIF($D126:$BK126,0))&lt;=DATA!$F$14,COUNTIF($D126:$BK126,0),DATA!$F$14-SEKOR!BN126)</f>
        <v>0</v>
      </c>
      <c r="BP126" s="4" t="str">
        <f>IF(BL126=0,"",BN126/DATA!$F$14*100)</f>
        <v/>
      </c>
      <c r="BQ126" s="121" t="str">
        <f t="shared" si="3"/>
        <v/>
      </c>
      <c r="BR126" s="2" t="str">
        <f>IF(Praktik!$E126=0,"",Praktik!$E126)</f>
        <v/>
      </c>
      <c r="BS126" s="2" t="str">
        <f>IF(BR126="","",(BP126*DATAINFO!$O$4)+(SEKOR!BR126*DATAINFO!$O$5)/(DATAINFO!$O$4+DATAINFO!$O$5))</f>
        <v/>
      </c>
      <c r="BT126" s="2" t="str">
        <f>IF(BL126=0,"",IF(DATA!$F$18="TIDAK",ROUNDUP((IF!$L$8*SEKOR!$BP126)+IF!$L$9,0),IF($BR126="","",ROUNDUP((IF!$L$20*$BS126)+IF!$L$21,0))))</f>
        <v/>
      </c>
      <c r="BU126" s="47" t="str">
        <f>IF(BP126="","",IF(SEKOR!BP126&gt;=DATA!$J$12,1,0))</f>
        <v/>
      </c>
      <c r="BV126" s="47" t="str">
        <f>IF(BQ126="","",IF(SEKOR!BQ126&gt;=DATA!$J$12,1,0))</f>
        <v/>
      </c>
      <c r="BW126" s="47" t="str">
        <f>IF(BR126="","",IF(SEKOR!BR126&gt;=DATA!$J$12,1,0))</f>
        <v/>
      </c>
      <c r="BX126" s="47" t="str">
        <f>IF(BT126="","",IF(DATA!$J$14="",IF(SEKOR!BT126&gt;=DATA!$J$12,1,0),IF(SEKOR!BT126&gt;=DATA!$J$14,1,0)))</f>
        <v/>
      </c>
    </row>
    <row r="127" spans="1:76" x14ac:dyDescent="0.25">
      <c r="A127" s="20" t="s">
        <v>154</v>
      </c>
      <c r="B127" s="21" t="str">
        <f>IF(Ujian!B134="","",Ujian!B134)</f>
        <v/>
      </c>
      <c r="C127" s="57" t="str">
        <f>IF(Ujian!C134="","",Ujian!C134)</f>
        <v/>
      </c>
      <c r="D127" s="125" t="str">
        <f>IF(Ujian!D134="","",IF(LEFT(Ujian!D134,1)=SEKOR!D$2,1,0))</f>
        <v/>
      </c>
      <c r="E127" s="125" t="str">
        <f>IF(Ujian!E134="","",IF(LEFT(Ujian!E134,1)=SEKOR!E$2,1,0))</f>
        <v/>
      </c>
      <c r="F127" s="125" t="str">
        <f>IF(Ujian!F134="","",IF(LEFT(Ujian!F134,1)=SEKOR!F$2,1,0))</f>
        <v/>
      </c>
      <c r="G127" s="125" t="str">
        <f>IF(Ujian!G134="","",IF(LEFT(Ujian!G134,1)=SEKOR!G$2,1,0))</f>
        <v/>
      </c>
      <c r="H127" s="125" t="str">
        <f>IF(Ujian!H134="","",IF(LEFT(Ujian!H134,1)=SEKOR!H$2,1,0))</f>
        <v/>
      </c>
      <c r="I127" s="125" t="str">
        <f>IF(Ujian!I134="","",IF(LEFT(Ujian!I134,1)=SEKOR!I$2,1,0))</f>
        <v/>
      </c>
      <c r="J127" s="125" t="str">
        <f>IF(Ujian!J134="","",IF(LEFT(Ujian!J134,1)=SEKOR!J$2,1,0))</f>
        <v/>
      </c>
      <c r="K127" s="125" t="str">
        <f>IF(Ujian!K134="","",IF(LEFT(Ujian!K134,1)=SEKOR!K$2,1,0))</f>
        <v/>
      </c>
      <c r="L127" s="125" t="str">
        <f>IF(Ujian!L134="","",IF(LEFT(Ujian!L134,1)=SEKOR!L$2,1,0))</f>
        <v/>
      </c>
      <c r="M127" s="125" t="str">
        <f>IF(Ujian!M134="","",IF(LEFT(Ujian!M134,1)=SEKOR!M$2,1,0))</f>
        <v/>
      </c>
      <c r="N127" s="125" t="str">
        <f>IF(Ujian!N134="","",IF(LEFT(Ujian!N134,1)=SEKOR!N$2,1,0))</f>
        <v/>
      </c>
      <c r="O127" s="125" t="str">
        <f>IF(Ujian!O134="","",IF(LEFT(Ujian!O134,1)=SEKOR!O$2,1,0))</f>
        <v/>
      </c>
      <c r="P127" s="125" t="str">
        <f>IF(Ujian!P134="","",IF(LEFT(Ujian!P134,1)=SEKOR!P$2,1,0))</f>
        <v/>
      </c>
      <c r="Q127" s="125" t="str">
        <f>IF(Ujian!Q134="","",IF(LEFT(Ujian!Q134,1)=SEKOR!Q$2,1,0))</f>
        <v/>
      </c>
      <c r="R127" s="125" t="str">
        <f>IF(Ujian!R134="","",IF(LEFT(Ujian!R134,1)=SEKOR!R$2,1,0))</f>
        <v/>
      </c>
      <c r="S127" s="125" t="str">
        <f>IF(Ujian!S134="","",IF(LEFT(Ujian!S134,1)=SEKOR!S$2,1,0))</f>
        <v/>
      </c>
      <c r="T127" s="125" t="str">
        <f>IF(Ujian!T134="","",IF(LEFT(Ujian!T134,1)=SEKOR!T$2,1,0))</f>
        <v/>
      </c>
      <c r="U127" s="125" t="str">
        <f>IF(Ujian!U134="","",IF(LEFT(Ujian!U134,1)=SEKOR!U$2,1,0))</f>
        <v/>
      </c>
      <c r="V127" s="125" t="str">
        <f>IF(Ujian!V134="","",IF(LEFT(Ujian!V134,1)=SEKOR!V$2,1,0))</f>
        <v/>
      </c>
      <c r="W127" s="125" t="str">
        <f>IF(Ujian!W134="","",IF(LEFT(Ujian!W134,1)=SEKOR!W$2,1,0))</f>
        <v/>
      </c>
      <c r="X127" s="125" t="str">
        <f>IF(Ujian!X134="","",IF(LEFT(Ujian!X134,1)=SEKOR!X$2,1,0))</f>
        <v/>
      </c>
      <c r="Y127" s="125" t="str">
        <f>IF(Ujian!Y134="","",IF(LEFT(Ujian!Y134,1)=SEKOR!Y$2,1,0))</f>
        <v/>
      </c>
      <c r="Z127" s="125" t="str">
        <f>IF(Ujian!Z134="","",IF(LEFT(Ujian!Z134,1)=SEKOR!Z$2,1,0))</f>
        <v/>
      </c>
      <c r="AA127" s="125" t="str">
        <f>IF(Ujian!AA134="","",IF(LEFT(Ujian!AA134,1)=SEKOR!AA$2,1,0))</f>
        <v/>
      </c>
      <c r="AB127" s="125" t="str">
        <f>IF(Ujian!AB134="","",IF(LEFT(Ujian!AB134,1)=SEKOR!AB$2,1,0))</f>
        <v/>
      </c>
      <c r="AC127" s="125" t="str">
        <f>IF(Ujian!AC134="","",IF(LEFT(Ujian!AC134,1)=SEKOR!AC$2,1,0))</f>
        <v/>
      </c>
      <c r="AD127" s="125" t="str">
        <f>IF(Ujian!AD134="","",IF(LEFT(Ujian!AD134,1)=SEKOR!AD$2,1,0))</f>
        <v/>
      </c>
      <c r="AE127" s="125" t="str">
        <f>IF(Ujian!AE134="","",IF(LEFT(Ujian!AE134,1)=SEKOR!AE$2,1,0))</f>
        <v/>
      </c>
      <c r="AF127" s="125" t="str">
        <f>IF(Ujian!AF134="","",IF(LEFT(Ujian!AF134,1)=SEKOR!AF$2,1,0))</f>
        <v/>
      </c>
      <c r="AG127" s="125" t="str">
        <f>IF(Ujian!AG134="","",IF(LEFT(Ujian!AG134,1)=SEKOR!AG$2,1,0))</f>
        <v/>
      </c>
      <c r="AH127" s="125" t="str">
        <f>IF(Ujian!AH134="","",IF(LEFT(Ujian!AH134,1)=SEKOR!AH$2,1,0))</f>
        <v/>
      </c>
      <c r="AI127" s="125" t="str">
        <f>IF(Ujian!AI134="","",IF(LEFT(Ujian!AI134,1)=SEKOR!AI$2,1,0))</f>
        <v/>
      </c>
      <c r="AJ127" s="125" t="str">
        <f>IF(Ujian!AJ134="","",IF(LEFT(Ujian!AJ134,1)=SEKOR!AJ$2,1,0))</f>
        <v/>
      </c>
      <c r="AK127" s="125" t="str">
        <f>IF(Ujian!AK134="","",IF(LEFT(Ujian!AK134,1)=SEKOR!AK$2,1,0))</f>
        <v/>
      </c>
      <c r="AL127" s="125" t="str">
        <f>IF(Ujian!AL134="","",IF(LEFT(Ujian!AL134,1)=SEKOR!AL$2,1,0))</f>
        <v/>
      </c>
      <c r="AM127" s="125" t="str">
        <f>IF(Ujian!AM134="","",IF(LEFT(Ujian!AM134,1)=SEKOR!AM$2,1,0))</f>
        <v/>
      </c>
      <c r="AN127" s="125" t="str">
        <f>IF(Ujian!AN134="","",IF(LEFT(Ujian!AN134,1)=SEKOR!AN$2,1,0))</f>
        <v/>
      </c>
      <c r="AO127" s="125" t="str">
        <f>IF(Ujian!AO134="","",IF(LEFT(Ujian!AO134,1)=SEKOR!AO$2,1,0))</f>
        <v/>
      </c>
      <c r="AP127" s="125" t="str">
        <f>IF(Ujian!AP134="","",IF(LEFT(Ujian!AP134,1)=SEKOR!AP$2,1,0))</f>
        <v/>
      </c>
      <c r="AQ127" s="125" t="str">
        <f>IF(Ujian!AQ134="","",IF(LEFT(Ujian!AQ134,1)=SEKOR!AQ$2,1,0))</f>
        <v/>
      </c>
      <c r="AR127" s="125" t="str">
        <f>IF(Ujian!AR134="","",IF(LEFT(Ujian!AR134,1)=SEKOR!AR$2,1,0))</f>
        <v/>
      </c>
      <c r="AS127" s="125" t="str">
        <f>IF(Ujian!AS134="","",IF(LEFT(Ujian!AS134,1)=SEKOR!AS$2,1,0))</f>
        <v/>
      </c>
      <c r="AT127" s="125" t="str">
        <f>IF(Ujian!AT134="","",IF(LEFT(Ujian!AT134,1)=SEKOR!AT$2,1,0))</f>
        <v/>
      </c>
      <c r="AU127" s="125" t="str">
        <f>IF(Ujian!AU134="","",IF(LEFT(Ujian!AU134,1)=SEKOR!AU$2,1,0))</f>
        <v/>
      </c>
      <c r="AV127" s="125" t="str">
        <f>IF(Ujian!AV134="","",IF(LEFT(Ujian!AV134,1)=SEKOR!AV$2,1,0))</f>
        <v/>
      </c>
      <c r="AW127" s="125" t="str">
        <f>IF(Ujian!AW134="","",IF(LEFT(Ujian!AW134,1)=SEKOR!AW$2,1,0))</f>
        <v/>
      </c>
      <c r="AX127" s="125" t="str">
        <f>IF(Ujian!AX134="","",IF(LEFT(Ujian!AX134,1)=SEKOR!AX$2,1,0))</f>
        <v/>
      </c>
      <c r="AY127" s="125" t="str">
        <f>IF(Ujian!AY134="","",IF(LEFT(Ujian!AY134,1)=SEKOR!AY$2,1,0))</f>
        <v/>
      </c>
      <c r="AZ127" s="125" t="str">
        <f>IF(Ujian!AZ134="","",IF(LEFT(Ujian!AZ134,1)=SEKOR!AZ$2,1,0))</f>
        <v/>
      </c>
      <c r="BA127" s="125" t="str">
        <f>IF(Ujian!BA134="","",IF(LEFT(Ujian!BA134,1)=SEKOR!BA$2,1,0))</f>
        <v/>
      </c>
      <c r="BB127" s="125" t="str">
        <f>IF(Ujian!BB134="","",IF(LEFT(Ujian!BB134,1)=SEKOR!BB$2,1,0))</f>
        <v/>
      </c>
      <c r="BC127" s="125" t="str">
        <f>IF(Ujian!BC134="","",IF(LEFT(Ujian!BC134,1)=SEKOR!BC$2,1,0))</f>
        <v/>
      </c>
      <c r="BD127" s="125" t="str">
        <f>IF(Ujian!BD134="","",IF(LEFT(Ujian!BD134,1)=SEKOR!BD$2,1,0))</f>
        <v/>
      </c>
      <c r="BE127" s="125" t="str">
        <f>IF(Ujian!BE134="","",IF(LEFT(Ujian!BE134,1)=SEKOR!BE$2,1,0))</f>
        <v/>
      </c>
      <c r="BF127" s="125" t="str">
        <f>IF(Ujian!BF134="","",IF(LEFT(Ujian!BF134,1)=SEKOR!BF$2,1,0))</f>
        <v/>
      </c>
      <c r="BG127" s="125" t="str">
        <f>IF(Ujian!BG134="","",IF(LEFT(Ujian!BG134,1)=SEKOR!BG$2,1,0))</f>
        <v/>
      </c>
      <c r="BH127" s="125" t="str">
        <f>IF(Ujian!BH134="","",IF(LEFT(Ujian!BH134,1)=SEKOR!BH$2,1,0))</f>
        <v/>
      </c>
      <c r="BI127" s="125" t="str">
        <f>IF(Ujian!BI134="","",IF(LEFT(Ujian!BI134,1)=SEKOR!BI$2,1,0))</f>
        <v/>
      </c>
      <c r="BJ127" s="125" t="str">
        <f>IF(Ujian!BJ134="","",IF(LEFT(Ujian!BJ134,1)=SEKOR!BJ$2,1,0))</f>
        <v/>
      </c>
      <c r="BK127" s="125" t="str">
        <f>IF(Ujian!BK134="","",IF(LEFT(Ujian!BK134,1)=SEKOR!BK$2,1,0))</f>
        <v/>
      </c>
      <c r="BL127" s="18">
        <f t="shared" si="2"/>
        <v>0</v>
      </c>
      <c r="BM127" s="18">
        <f>COUNTIF($D127:$BK127,"")+DATA!$F$14-DATA!$F$12</f>
        <v>60</v>
      </c>
      <c r="BN127" s="17">
        <f>IF(COUNTIF($D127:$BK127,1)&gt;DATA!$F$14,DATA!$F$14,COUNTIF($D127:$BK127,1))</f>
        <v>0</v>
      </c>
      <c r="BO127" s="17">
        <f>IF((BN127+COUNTIF($D127:$BK127,0))&lt;=DATA!$F$14,COUNTIF($D127:$BK127,0),DATA!$F$14-SEKOR!BN127)</f>
        <v>0</v>
      </c>
      <c r="BP127" s="4" t="str">
        <f>IF(BL127=0,"",BN127/DATA!$F$14*100)</f>
        <v/>
      </c>
      <c r="BQ127" s="121" t="str">
        <f t="shared" si="3"/>
        <v/>
      </c>
      <c r="BR127" s="2" t="str">
        <f>IF(Praktik!$E127=0,"",Praktik!$E127)</f>
        <v/>
      </c>
      <c r="BS127" s="2" t="str">
        <f>IF(BR127="","",(BP127*DATAINFO!$O$4)+(SEKOR!BR127*DATAINFO!$O$5)/(DATAINFO!$O$4+DATAINFO!$O$5))</f>
        <v/>
      </c>
      <c r="BT127" s="2" t="str">
        <f>IF(BL127=0,"",IF(DATA!$F$18="TIDAK",ROUNDUP((IF!$L$8*SEKOR!$BP127)+IF!$L$9,0),IF($BR127="","",ROUNDUP((IF!$L$20*$BS127)+IF!$L$21,0))))</f>
        <v/>
      </c>
      <c r="BU127" s="47" t="str">
        <f>IF(BP127="","",IF(SEKOR!BP127&gt;=DATA!$J$12,1,0))</f>
        <v/>
      </c>
      <c r="BV127" s="47" t="str">
        <f>IF(BQ127="","",IF(SEKOR!BQ127&gt;=DATA!$J$12,1,0))</f>
        <v/>
      </c>
      <c r="BW127" s="47" t="str">
        <f>IF(BR127="","",IF(SEKOR!BR127&gt;=DATA!$J$12,1,0))</f>
        <v/>
      </c>
      <c r="BX127" s="47" t="str">
        <f>IF(BT127="","",IF(DATA!$J$14="",IF(SEKOR!BT127&gt;=DATA!$J$12,1,0),IF(SEKOR!BT127&gt;=DATA!$J$14,1,0)))</f>
        <v/>
      </c>
    </row>
    <row r="128" spans="1:76" x14ac:dyDescent="0.25">
      <c r="A128" s="20" t="s">
        <v>155</v>
      </c>
      <c r="B128" s="21" t="str">
        <f>IF(Ujian!B135="","",Ujian!B135)</f>
        <v/>
      </c>
      <c r="C128" s="57" t="str">
        <f>IF(Ujian!C135="","",Ujian!C135)</f>
        <v/>
      </c>
      <c r="D128" s="125" t="str">
        <f>IF(Ujian!D135="","",IF(LEFT(Ujian!D135,1)=SEKOR!D$2,1,0))</f>
        <v/>
      </c>
      <c r="E128" s="125" t="str">
        <f>IF(Ujian!E135="","",IF(LEFT(Ujian!E135,1)=SEKOR!E$2,1,0))</f>
        <v/>
      </c>
      <c r="F128" s="125" t="str">
        <f>IF(Ujian!F135="","",IF(LEFT(Ujian!F135,1)=SEKOR!F$2,1,0))</f>
        <v/>
      </c>
      <c r="G128" s="125" t="str">
        <f>IF(Ujian!G135="","",IF(LEFT(Ujian!G135,1)=SEKOR!G$2,1,0))</f>
        <v/>
      </c>
      <c r="H128" s="125" t="str">
        <f>IF(Ujian!H135="","",IF(LEFT(Ujian!H135,1)=SEKOR!H$2,1,0))</f>
        <v/>
      </c>
      <c r="I128" s="125" t="str">
        <f>IF(Ujian!I135="","",IF(LEFT(Ujian!I135,1)=SEKOR!I$2,1,0))</f>
        <v/>
      </c>
      <c r="J128" s="125" t="str">
        <f>IF(Ujian!J135="","",IF(LEFT(Ujian!J135,1)=SEKOR!J$2,1,0))</f>
        <v/>
      </c>
      <c r="K128" s="125" t="str">
        <f>IF(Ujian!K135="","",IF(LEFT(Ujian!K135,1)=SEKOR!K$2,1,0))</f>
        <v/>
      </c>
      <c r="L128" s="125" t="str">
        <f>IF(Ujian!L135="","",IF(LEFT(Ujian!L135,1)=SEKOR!L$2,1,0))</f>
        <v/>
      </c>
      <c r="M128" s="125" t="str">
        <f>IF(Ujian!M135="","",IF(LEFT(Ujian!M135,1)=SEKOR!M$2,1,0))</f>
        <v/>
      </c>
      <c r="N128" s="125" t="str">
        <f>IF(Ujian!N135="","",IF(LEFT(Ujian!N135,1)=SEKOR!N$2,1,0))</f>
        <v/>
      </c>
      <c r="O128" s="125" t="str">
        <f>IF(Ujian!O135="","",IF(LEFT(Ujian!O135,1)=SEKOR!O$2,1,0))</f>
        <v/>
      </c>
      <c r="P128" s="125" t="str">
        <f>IF(Ujian!P135="","",IF(LEFT(Ujian!P135,1)=SEKOR!P$2,1,0))</f>
        <v/>
      </c>
      <c r="Q128" s="125" t="str">
        <f>IF(Ujian!Q135="","",IF(LEFT(Ujian!Q135,1)=SEKOR!Q$2,1,0))</f>
        <v/>
      </c>
      <c r="R128" s="125" t="str">
        <f>IF(Ujian!R135="","",IF(LEFT(Ujian!R135,1)=SEKOR!R$2,1,0))</f>
        <v/>
      </c>
      <c r="S128" s="125" t="str">
        <f>IF(Ujian!S135="","",IF(LEFT(Ujian!S135,1)=SEKOR!S$2,1,0))</f>
        <v/>
      </c>
      <c r="T128" s="125" t="str">
        <f>IF(Ujian!T135="","",IF(LEFT(Ujian!T135,1)=SEKOR!T$2,1,0))</f>
        <v/>
      </c>
      <c r="U128" s="125" t="str">
        <f>IF(Ujian!U135="","",IF(LEFT(Ujian!U135,1)=SEKOR!U$2,1,0))</f>
        <v/>
      </c>
      <c r="V128" s="125" t="str">
        <f>IF(Ujian!V135="","",IF(LEFT(Ujian!V135,1)=SEKOR!V$2,1,0))</f>
        <v/>
      </c>
      <c r="W128" s="125" t="str">
        <f>IF(Ujian!W135="","",IF(LEFT(Ujian!W135,1)=SEKOR!W$2,1,0))</f>
        <v/>
      </c>
      <c r="X128" s="125" t="str">
        <f>IF(Ujian!X135="","",IF(LEFT(Ujian!X135,1)=SEKOR!X$2,1,0))</f>
        <v/>
      </c>
      <c r="Y128" s="125" t="str">
        <f>IF(Ujian!Y135="","",IF(LEFT(Ujian!Y135,1)=SEKOR!Y$2,1,0))</f>
        <v/>
      </c>
      <c r="Z128" s="125" t="str">
        <f>IF(Ujian!Z135="","",IF(LEFT(Ujian!Z135,1)=SEKOR!Z$2,1,0))</f>
        <v/>
      </c>
      <c r="AA128" s="125" t="str">
        <f>IF(Ujian!AA135="","",IF(LEFT(Ujian!AA135,1)=SEKOR!AA$2,1,0))</f>
        <v/>
      </c>
      <c r="AB128" s="125" t="str">
        <f>IF(Ujian!AB135="","",IF(LEFT(Ujian!AB135,1)=SEKOR!AB$2,1,0))</f>
        <v/>
      </c>
      <c r="AC128" s="125" t="str">
        <f>IF(Ujian!AC135="","",IF(LEFT(Ujian!AC135,1)=SEKOR!AC$2,1,0))</f>
        <v/>
      </c>
      <c r="AD128" s="125" t="str">
        <f>IF(Ujian!AD135="","",IF(LEFT(Ujian!AD135,1)=SEKOR!AD$2,1,0))</f>
        <v/>
      </c>
      <c r="AE128" s="125" t="str">
        <f>IF(Ujian!AE135="","",IF(LEFT(Ujian!AE135,1)=SEKOR!AE$2,1,0))</f>
        <v/>
      </c>
      <c r="AF128" s="125" t="str">
        <f>IF(Ujian!AF135="","",IF(LEFT(Ujian!AF135,1)=SEKOR!AF$2,1,0))</f>
        <v/>
      </c>
      <c r="AG128" s="125" t="str">
        <f>IF(Ujian!AG135="","",IF(LEFT(Ujian!AG135,1)=SEKOR!AG$2,1,0))</f>
        <v/>
      </c>
      <c r="AH128" s="125" t="str">
        <f>IF(Ujian!AH135="","",IF(LEFT(Ujian!AH135,1)=SEKOR!AH$2,1,0))</f>
        <v/>
      </c>
      <c r="AI128" s="125" t="str">
        <f>IF(Ujian!AI135="","",IF(LEFT(Ujian!AI135,1)=SEKOR!AI$2,1,0))</f>
        <v/>
      </c>
      <c r="AJ128" s="125" t="str">
        <f>IF(Ujian!AJ135="","",IF(LEFT(Ujian!AJ135,1)=SEKOR!AJ$2,1,0))</f>
        <v/>
      </c>
      <c r="AK128" s="125" t="str">
        <f>IF(Ujian!AK135="","",IF(LEFT(Ujian!AK135,1)=SEKOR!AK$2,1,0))</f>
        <v/>
      </c>
      <c r="AL128" s="125" t="str">
        <f>IF(Ujian!AL135="","",IF(LEFT(Ujian!AL135,1)=SEKOR!AL$2,1,0))</f>
        <v/>
      </c>
      <c r="AM128" s="125" t="str">
        <f>IF(Ujian!AM135="","",IF(LEFT(Ujian!AM135,1)=SEKOR!AM$2,1,0))</f>
        <v/>
      </c>
      <c r="AN128" s="125" t="str">
        <f>IF(Ujian!AN135="","",IF(LEFT(Ujian!AN135,1)=SEKOR!AN$2,1,0))</f>
        <v/>
      </c>
      <c r="AO128" s="125" t="str">
        <f>IF(Ujian!AO135="","",IF(LEFT(Ujian!AO135,1)=SEKOR!AO$2,1,0))</f>
        <v/>
      </c>
      <c r="AP128" s="125" t="str">
        <f>IF(Ujian!AP135="","",IF(LEFT(Ujian!AP135,1)=SEKOR!AP$2,1,0))</f>
        <v/>
      </c>
      <c r="AQ128" s="125" t="str">
        <f>IF(Ujian!AQ135="","",IF(LEFT(Ujian!AQ135,1)=SEKOR!AQ$2,1,0))</f>
        <v/>
      </c>
      <c r="AR128" s="125" t="str">
        <f>IF(Ujian!AR135="","",IF(LEFT(Ujian!AR135,1)=SEKOR!AR$2,1,0))</f>
        <v/>
      </c>
      <c r="AS128" s="125" t="str">
        <f>IF(Ujian!AS135="","",IF(LEFT(Ujian!AS135,1)=SEKOR!AS$2,1,0))</f>
        <v/>
      </c>
      <c r="AT128" s="125" t="str">
        <f>IF(Ujian!AT135="","",IF(LEFT(Ujian!AT135,1)=SEKOR!AT$2,1,0))</f>
        <v/>
      </c>
      <c r="AU128" s="125" t="str">
        <f>IF(Ujian!AU135="","",IF(LEFT(Ujian!AU135,1)=SEKOR!AU$2,1,0))</f>
        <v/>
      </c>
      <c r="AV128" s="125" t="str">
        <f>IF(Ujian!AV135="","",IF(LEFT(Ujian!AV135,1)=SEKOR!AV$2,1,0))</f>
        <v/>
      </c>
      <c r="AW128" s="125" t="str">
        <f>IF(Ujian!AW135="","",IF(LEFT(Ujian!AW135,1)=SEKOR!AW$2,1,0))</f>
        <v/>
      </c>
      <c r="AX128" s="125" t="str">
        <f>IF(Ujian!AX135="","",IF(LEFT(Ujian!AX135,1)=SEKOR!AX$2,1,0))</f>
        <v/>
      </c>
      <c r="AY128" s="125" t="str">
        <f>IF(Ujian!AY135="","",IF(LEFT(Ujian!AY135,1)=SEKOR!AY$2,1,0))</f>
        <v/>
      </c>
      <c r="AZ128" s="125" t="str">
        <f>IF(Ujian!AZ135="","",IF(LEFT(Ujian!AZ135,1)=SEKOR!AZ$2,1,0))</f>
        <v/>
      </c>
      <c r="BA128" s="125" t="str">
        <f>IF(Ujian!BA135="","",IF(LEFT(Ujian!BA135,1)=SEKOR!BA$2,1,0))</f>
        <v/>
      </c>
      <c r="BB128" s="125" t="str">
        <f>IF(Ujian!BB135="","",IF(LEFT(Ujian!BB135,1)=SEKOR!BB$2,1,0))</f>
        <v/>
      </c>
      <c r="BC128" s="125" t="str">
        <f>IF(Ujian!BC135="","",IF(LEFT(Ujian!BC135,1)=SEKOR!BC$2,1,0))</f>
        <v/>
      </c>
      <c r="BD128" s="125" t="str">
        <f>IF(Ujian!BD135="","",IF(LEFT(Ujian!BD135,1)=SEKOR!BD$2,1,0))</f>
        <v/>
      </c>
      <c r="BE128" s="125" t="str">
        <f>IF(Ujian!BE135="","",IF(LEFT(Ujian!BE135,1)=SEKOR!BE$2,1,0))</f>
        <v/>
      </c>
      <c r="BF128" s="125" t="str">
        <f>IF(Ujian!BF135="","",IF(LEFT(Ujian!BF135,1)=SEKOR!BF$2,1,0))</f>
        <v/>
      </c>
      <c r="BG128" s="125" t="str">
        <f>IF(Ujian!BG135="","",IF(LEFT(Ujian!BG135,1)=SEKOR!BG$2,1,0))</f>
        <v/>
      </c>
      <c r="BH128" s="125" t="str">
        <f>IF(Ujian!BH135="","",IF(LEFT(Ujian!BH135,1)=SEKOR!BH$2,1,0))</f>
        <v/>
      </c>
      <c r="BI128" s="125" t="str">
        <f>IF(Ujian!BI135="","",IF(LEFT(Ujian!BI135,1)=SEKOR!BI$2,1,0))</f>
        <v/>
      </c>
      <c r="BJ128" s="125" t="str">
        <f>IF(Ujian!BJ135="","",IF(LEFT(Ujian!BJ135,1)=SEKOR!BJ$2,1,0))</f>
        <v/>
      </c>
      <c r="BK128" s="125" t="str">
        <f>IF(Ujian!BK135="","",IF(LEFT(Ujian!BK135,1)=SEKOR!BK$2,1,0))</f>
        <v/>
      </c>
      <c r="BL128" s="18">
        <f t="shared" si="2"/>
        <v>0</v>
      </c>
      <c r="BM128" s="18">
        <f>COUNTIF($D128:$BK128,"")+DATA!$F$14-DATA!$F$12</f>
        <v>60</v>
      </c>
      <c r="BN128" s="17">
        <f>IF(COUNTIF($D128:$BK128,1)&gt;DATA!$F$14,DATA!$F$14,COUNTIF($D128:$BK128,1))</f>
        <v>0</v>
      </c>
      <c r="BO128" s="17">
        <f>IF((BN128+COUNTIF($D128:$BK128,0))&lt;=DATA!$F$14,COUNTIF($D128:$BK128,0),DATA!$F$14-SEKOR!BN128)</f>
        <v>0</v>
      </c>
      <c r="BP128" s="4" t="str">
        <f>IF(BL128=0,"",BN128/DATA!$F$14*100)</f>
        <v/>
      </c>
      <c r="BQ128" s="121" t="str">
        <f t="shared" si="3"/>
        <v/>
      </c>
      <c r="BR128" s="2" t="str">
        <f>IF(Praktik!$E128=0,"",Praktik!$E128)</f>
        <v/>
      </c>
      <c r="BS128" s="2" t="str">
        <f>IF(BR128="","",(BP128*DATAINFO!$O$4)+(SEKOR!BR128*DATAINFO!$O$5)/(DATAINFO!$O$4+DATAINFO!$O$5))</f>
        <v/>
      </c>
      <c r="BT128" s="2" t="str">
        <f>IF(BL128=0,"",IF(DATA!$F$18="TIDAK",ROUNDUP((IF!$L$8*SEKOR!$BP128)+IF!$L$9,0),IF($BR128="","",ROUNDUP((IF!$L$20*$BS128)+IF!$L$21,0))))</f>
        <v/>
      </c>
      <c r="BU128" s="47" t="str">
        <f>IF(BP128="","",IF(SEKOR!BP128&gt;=DATA!$J$12,1,0))</f>
        <v/>
      </c>
      <c r="BV128" s="47" t="str">
        <f>IF(BQ128="","",IF(SEKOR!BQ128&gt;=DATA!$J$12,1,0))</f>
        <v/>
      </c>
      <c r="BW128" s="47" t="str">
        <f>IF(BR128="","",IF(SEKOR!BR128&gt;=DATA!$J$12,1,0))</f>
        <v/>
      </c>
      <c r="BX128" s="47" t="str">
        <f>IF(BT128="","",IF(DATA!$J$14="",IF(SEKOR!BT128&gt;=DATA!$J$12,1,0),IF(SEKOR!BT128&gt;=DATA!$J$14,1,0)))</f>
        <v/>
      </c>
    </row>
    <row r="129" spans="1:76" x14ac:dyDescent="0.25">
      <c r="A129" s="20" t="s">
        <v>156</v>
      </c>
      <c r="B129" s="21" t="str">
        <f>IF(Ujian!B136="","",Ujian!B136)</f>
        <v/>
      </c>
      <c r="C129" s="57" t="str">
        <f>IF(Ujian!C136="","",Ujian!C136)</f>
        <v/>
      </c>
      <c r="D129" s="125" t="str">
        <f>IF(Ujian!D136="","",IF(LEFT(Ujian!D136,1)=SEKOR!D$2,1,0))</f>
        <v/>
      </c>
      <c r="E129" s="125" t="str">
        <f>IF(Ujian!E136="","",IF(LEFT(Ujian!E136,1)=SEKOR!E$2,1,0))</f>
        <v/>
      </c>
      <c r="F129" s="125" t="str">
        <f>IF(Ujian!F136="","",IF(LEFT(Ujian!F136,1)=SEKOR!F$2,1,0))</f>
        <v/>
      </c>
      <c r="G129" s="125" t="str">
        <f>IF(Ujian!G136="","",IF(LEFT(Ujian!G136,1)=SEKOR!G$2,1,0))</f>
        <v/>
      </c>
      <c r="H129" s="125" t="str">
        <f>IF(Ujian!H136="","",IF(LEFT(Ujian!H136,1)=SEKOR!H$2,1,0))</f>
        <v/>
      </c>
      <c r="I129" s="125" t="str">
        <f>IF(Ujian!I136="","",IF(LEFT(Ujian!I136,1)=SEKOR!I$2,1,0))</f>
        <v/>
      </c>
      <c r="J129" s="125" t="str">
        <f>IF(Ujian!J136="","",IF(LEFT(Ujian!J136,1)=SEKOR!J$2,1,0))</f>
        <v/>
      </c>
      <c r="K129" s="125" t="str">
        <f>IF(Ujian!K136="","",IF(LEFT(Ujian!K136,1)=SEKOR!K$2,1,0))</f>
        <v/>
      </c>
      <c r="L129" s="125" t="str">
        <f>IF(Ujian!L136="","",IF(LEFT(Ujian!L136,1)=SEKOR!L$2,1,0))</f>
        <v/>
      </c>
      <c r="M129" s="125" t="str">
        <f>IF(Ujian!M136="","",IF(LEFT(Ujian!M136,1)=SEKOR!M$2,1,0))</f>
        <v/>
      </c>
      <c r="N129" s="125" t="str">
        <f>IF(Ujian!N136="","",IF(LEFT(Ujian!N136,1)=SEKOR!N$2,1,0))</f>
        <v/>
      </c>
      <c r="O129" s="125" t="str">
        <f>IF(Ujian!O136="","",IF(LEFT(Ujian!O136,1)=SEKOR!O$2,1,0))</f>
        <v/>
      </c>
      <c r="P129" s="125" t="str">
        <f>IF(Ujian!P136="","",IF(LEFT(Ujian!P136,1)=SEKOR!P$2,1,0))</f>
        <v/>
      </c>
      <c r="Q129" s="125" t="str">
        <f>IF(Ujian!Q136="","",IF(LEFT(Ujian!Q136,1)=SEKOR!Q$2,1,0))</f>
        <v/>
      </c>
      <c r="R129" s="125" t="str">
        <f>IF(Ujian!R136="","",IF(LEFT(Ujian!R136,1)=SEKOR!R$2,1,0))</f>
        <v/>
      </c>
      <c r="S129" s="125" t="str">
        <f>IF(Ujian!S136="","",IF(LEFT(Ujian!S136,1)=SEKOR!S$2,1,0))</f>
        <v/>
      </c>
      <c r="T129" s="125" t="str">
        <f>IF(Ujian!T136="","",IF(LEFT(Ujian!T136,1)=SEKOR!T$2,1,0))</f>
        <v/>
      </c>
      <c r="U129" s="125" t="str">
        <f>IF(Ujian!U136="","",IF(LEFT(Ujian!U136,1)=SEKOR!U$2,1,0))</f>
        <v/>
      </c>
      <c r="V129" s="125" t="str">
        <f>IF(Ujian!V136="","",IF(LEFT(Ujian!V136,1)=SEKOR!V$2,1,0))</f>
        <v/>
      </c>
      <c r="W129" s="125" t="str">
        <f>IF(Ujian!W136="","",IF(LEFT(Ujian!W136,1)=SEKOR!W$2,1,0))</f>
        <v/>
      </c>
      <c r="X129" s="125" t="str">
        <f>IF(Ujian!X136="","",IF(LEFT(Ujian!X136,1)=SEKOR!X$2,1,0))</f>
        <v/>
      </c>
      <c r="Y129" s="125" t="str">
        <f>IF(Ujian!Y136="","",IF(LEFT(Ujian!Y136,1)=SEKOR!Y$2,1,0))</f>
        <v/>
      </c>
      <c r="Z129" s="125" t="str">
        <f>IF(Ujian!Z136="","",IF(LEFT(Ujian!Z136,1)=SEKOR!Z$2,1,0))</f>
        <v/>
      </c>
      <c r="AA129" s="125" t="str">
        <f>IF(Ujian!AA136="","",IF(LEFT(Ujian!AA136,1)=SEKOR!AA$2,1,0))</f>
        <v/>
      </c>
      <c r="AB129" s="125" t="str">
        <f>IF(Ujian!AB136="","",IF(LEFT(Ujian!AB136,1)=SEKOR!AB$2,1,0))</f>
        <v/>
      </c>
      <c r="AC129" s="125" t="str">
        <f>IF(Ujian!AC136="","",IF(LEFT(Ujian!AC136,1)=SEKOR!AC$2,1,0))</f>
        <v/>
      </c>
      <c r="AD129" s="125" t="str">
        <f>IF(Ujian!AD136="","",IF(LEFT(Ujian!AD136,1)=SEKOR!AD$2,1,0))</f>
        <v/>
      </c>
      <c r="AE129" s="125" t="str">
        <f>IF(Ujian!AE136="","",IF(LEFT(Ujian!AE136,1)=SEKOR!AE$2,1,0))</f>
        <v/>
      </c>
      <c r="AF129" s="125" t="str">
        <f>IF(Ujian!AF136="","",IF(LEFT(Ujian!AF136,1)=SEKOR!AF$2,1,0))</f>
        <v/>
      </c>
      <c r="AG129" s="125" t="str">
        <f>IF(Ujian!AG136="","",IF(LEFT(Ujian!AG136,1)=SEKOR!AG$2,1,0))</f>
        <v/>
      </c>
      <c r="AH129" s="125" t="str">
        <f>IF(Ujian!AH136="","",IF(LEFT(Ujian!AH136,1)=SEKOR!AH$2,1,0))</f>
        <v/>
      </c>
      <c r="AI129" s="125" t="str">
        <f>IF(Ujian!AI136="","",IF(LEFT(Ujian!AI136,1)=SEKOR!AI$2,1,0))</f>
        <v/>
      </c>
      <c r="AJ129" s="125" t="str">
        <f>IF(Ujian!AJ136="","",IF(LEFT(Ujian!AJ136,1)=SEKOR!AJ$2,1,0))</f>
        <v/>
      </c>
      <c r="AK129" s="125" t="str">
        <f>IF(Ujian!AK136="","",IF(LEFT(Ujian!AK136,1)=SEKOR!AK$2,1,0))</f>
        <v/>
      </c>
      <c r="AL129" s="125" t="str">
        <f>IF(Ujian!AL136="","",IF(LEFT(Ujian!AL136,1)=SEKOR!AL$2,1,0))</f>
        <v/>
      </c>
      <c r="AM129" s="125" t="str">
        <f>IF(Ujian!AM136="","",IF(LEFT(Ujian!AM136,1)=SEKOR!AM$2,1,0))</f>
        <v/>
      </c>
      <c r="AN129" s="125" t="str">
        <f>IF(Ujian!AN136="","",IF(LEFT(Ujian!AN136,1)=SEKOR!AN$2,1,0))</f>
        <v/>
      </c>
      <c r="AO129" s="125" t="str">
        <f>IF(Ujian!AO136="","",IF(LEFT(Ujian!AO136,1)=SEKOR!AO$2,1,0))</f>
        <v/>
      </c>
      <c r="AP129" s="125" t="str">
        <f>IF(Ujian!AP136="","",IF(LEFT(Ujian!AP136,1)=SEKOR!AP$2,1,0))</f>
        <v/>
      </c>
      <c r="AQ129" s="125" t="str">
        <f>IF(Ujian!AQ136="","",IF(LEFT(Ujian!AQ136,1)=SEKOR!AQ$2,1,0))</f>
        <v/>
      </c>
      <c r="AR129" s="125" t="str">
        <f>IF(Ujian!AR136="","",IF(LEFT(Ujian!AR136,1)=SEKOR!AR$2,1,0))</f>
        <v/>
      </c>
      <c r="AS129" s="125" t="str">
        <f>IF(Ujian!AS136="","",IF(LEFT(Ujian!AS136,1)=SEKOR!AS$2,1,0))</f>
        <v/>
      </c>
      <c r="AT129" s="125" t="str">
        <f>IF(Ujian!AT136="","",IF(LEFT(Ujian!AT136,1)=SEKOR!AT$2,1,0))</f>
        <v/>
      </c>
      <c r="AU129" s="125" t="str">
        <f>IF(Ujian!AU136="","",IF(LEFT(Ujian!AU136,1)=SEKOR!AU$2,1,0))</f>
        <v/>
      </c>
      <c r="AV129" s="125" t="str">
        <f>IF(Ujian!AV136="","",IF(LEFT(Ujian!AV136,1)=SEKOR!AV$2,1,0))</f>
        <v/>
      </c>
      <c r="AW129" s="125" t="str">
        <f>IF(Ujian!AW136="","",IF(LEFT(Ujian!AW136,1)=SEKOR!AW$2,1,0))</f>
        <v/>
      </c>
      <c r="AX129" s="125" t="str">
        <f>IF(Ujian!AX136="","",IF(LEFT(Ujian!AX136,1)=SEKOR!AX$2,1,0))</f>
        <v/>
      </c>
      <c r="AY129" s="125" t="str">
        <f>IF(Ujian!AY136="","",IF(LEFT(Ujian!AY136,1)=SEKOR!AY$2,1,0))</f>
        <v/>
      </c>
      <c r="AZ129" s="125" t="str">
        <f>IF(Ujian!AZ136="","",IF(LEFT(Ujian!AZ136,1)=SEKOR!AZ$2,1,0))</f>
        <v/>
      </c>
      <c r="BA129" s="125" t="str">
        <f>IF(Ujian!BA136="","",IF(LEFT(Ujian!BA136,1)=SEKOR!BA$2,1,0))</f>
        <v/>
      </c>
      <c r="BB129" s="125" t="str">
        <f>IF(Ujian!BB136="","",IF(LEFT(Ujian!BB136,1)=SEKOR!BB$2,1,0))</f>
        <v/>
      </c>
      <c r="BC129" s="125" t="str">
        <f>IF(Ujian!BC136="","",IF(LEFT(Ujian!BC136,1)=SEKOR!BC$2,1,0))</f>
        <v/>
      </c>
      <c r="BD129" s="125" t="str">
        <f>IF(Ujian!BD136="","",IF(LEFT(Ujian!BD136,1)=SEKOR!BD$2,1,0))</f>
        <v/>
      </c>
      <c r="BE129" s="125" t="str">
        <f>IF(Ujian!BE136="","",IF(LEFT(Ujian!BE136,1)=SEKOR!BE$2,1,0))</f>
        <v/>
      </c>
      <c r="BF129" s="125" t="str">
        <f>IF(Ujian!BF136="","",IF(LEFT(Ujian!BF136,1)=SEKOR!BF$2,1,0))</f>
        <v/>
      </c>
      <c r="BG129" s="125" t="str">
        <f>IF(Ujian!BG136="","",IF(LEFT(Ujian!BG136,1)=SEKOR!BG$2,1,0))</f>
        <v/>
      </c>
      <c r="BH129" s="125" t="str">
        <f>IF(Ujian!BH136="","",IF(LEFT(Ujian!BH136,1)=SEKOR!BH$2,1,0))</f>
        <v/>
      </c>
      <c r="BI129" s="125" t="str">
        <f>IF(Ujian!BI136="","",IF(LEFT(Ujian!BI136,1)=SEKOR!BI$2,1,0))</f>
        <v/>
      </c>
      <c r="BJ129" s="125" t="str">
        <f>IF(Ujian!BJ136="","",IF(LEFT(Ujian!BJ136,1)=SEKOR!BJ$2,1,0))</f>
        <v/>
      </c>
      <c r="BK129" s="125" t="str">
        <f>IF(Ujian!BK136="","",IF(LEFT(Ujian!BK136,1)=SEKOR!BK$2,1,0))</f>
        <v/>
      </c>
      <c r="BL129" s="18">
        <f t="shared" si="2"/>
        <v>0</v>
      </c>
      <c r="BM129" s="18">
        <f>COUNTIF($D129:$BK129,"")+DATA!$F$14-DATA!$F$12</f>
        <v>60</v>
      </c>
      <c r="BN129" s="17">
        <f>IF(COUNTIF($D129:$BK129,1)&gt;DATA!$F$14,DATA!$F$14,COUNTIF($D129:$BK129,1))</f>
        <v>0</v>
      </c>
      <c r="BO129" s="17">
        <f>IF((BN129+COUNTIF($D129:$BK129,0))&lt;=DATA!$F$14,COUNTIF($D129:$BK129,0),DATA!$F$14-SEKOR!BN129)</f>
        <v>0</v>
      </c>
      <c r="BP129" s="4" t="str">
        <f>IF(BL129=0,"",BN129/DATA!$F$14*100)</f>
        <v/>
      </c>
      <c r="BQ129" s="121" t="str">
        <f t="shared" si="3"/>
        <v/>
      </c>
      <c r="BR129" s="2" t="str">
        <f>IF(Praktik!$E129=0,"",Praktik!$E129)</f>
        <v/>
      </c>
      <c r="BS129" s="2" t="str">
        <f>IF(BR129="","",(BP129*DATAINFO!$O$4)+(SEKOR!BR129*DATAINFO!$O$5)/(DATAINFO!$O$4+DATAINFO!$O$5))</f>
        <v/>
      </c>
      <c r="BT129" s="2" t="str">
        <f>IF(BL129=0,"",IF(DATA!$F$18="TIDAK",ROUNDUP((IF!$L$8*SEKOR!$BP129)+IF!$L$9,0),IF($BR129="","",ROUNDUP((IF!$L$20*$BS129)+IF!$L$21,0))))</f>
        <v/>
      </c>
      <c r="BU129" s="47" t="str">
        <f>IF(BP129="","",IF(SEKOR!BP129&gt;=DATA!$J$12,1,0))</f>
        <v/>
      </c>
      <c r="BV129" s="47" t="str">
        <f>IF(BQ129="","",IF(SEKOR!BQ129&gt;=DATA!$J$12,1,0))</f>
        <v/>
      </c>
      <c r="BW129" s="47" t="str">
        <f>IF(BR129="","",IF(SEKOR!BR129&gt;=DATA!$J$12,1,0))</f>
        <v/>
      </c>
      <c r="BX129" s="47" t="str">
        <f>IF(BT129="","",IF(DATA!$J$14="",IF(SEKOR!BT129&gt;=DATA!$J$12,1,0),IF(SEKOR!BT129&gt;=DATA!$J$14,1,0)))</f>
        <v/>
      </c>
    </row>
    <row r="130" spans="1:76" x14ac:dyDescent="0.25">
      <c r="A130" s="20" t="s">
        <v>157</v>
      </c>
      <c r="B130" s="21" t="str">
        <f>IF(Ujian!B137="","",Ujian!B137)</f>
        <v/>
      </c>
      <c r="C130" s="57" t="str">
        <f>IF(Ujian!C137="","",Ujian!C137)</f>
        <v/>
      </c>
      <c r="D130" s="125" t="str">
        <f>IF(Ujian!D137="","",IF(LEFT(Ujian!D137,1)=SEKOR!D$2,1,0))</f>
        <v/>
      </c>
      <c r="E130" s="125" t="str">
        <f>IF(Ujian!E137="","",IF(LEFT(Ujian!E137,1)=SEKOR!E$2,1,0))</f>
        <v/>
      </c>
      <c r="F130" s="125" t="str">
        <f>IF(Ujian!F137="","",IF(LEFT(Ujian!F137,1)=SEKOR!F$2,1,0))</f>
        <v/>
      </c>
      <c r="G130" s="125" t="str">
        <f>IF(Ujian!G137="","",IF(LEFT(Ujian!G137,1)=SEKOR!G$2,1,0))</f>
        <v/>
      </c>
      <c r="H130" s="125" t="str">
        <f>IF(Ujian!H137="","",IF(LEFT(Ujian!H137,1)=SEKOR!H$2,1,0))</f>
        <v/>
      </c>
      <c r="I130" s="125" t="str">
        <f>IF(Ujian!I137="","",IF(LEFT(Ujian!I137,1)=SEKOR!I$2,1,0))</f>
        <v/>
      </c>
      <c r="J130" s="125" t="str">
        <f>IF(Ujian!J137="","",IF(LEFT(Ujian!J137,1)=SEKOR!J$2,1,0))</f>
        <v/>
      </c>
      <c r="K130" s="125" t="str">
        <f>IF(Ujian!K137="","",IF(LEFT(Ujian!K137,1)=SEKOR!K$2,1,0))</f>
        <v/>
      </c>
      <c r="L130" s="125" t="str">
        <f>IF(Ujian!L137="","",IF(LEFT(Ujian!L137,1)=SEKOR!L$2,1,0))</f>
        <v/>
      </c>
      <c r="M130" s="125" t="str">
        <f>IF(Ujian!M137="","",IF(LEFT(Ujian!M137,1)=SEKOR!M$2,1,0))</f>
        <v/>
      </c>
      <c r="N130" s="125" t="str">
        <f>IF(Ujian!N137="","",IF(LEFT(Ujian!N137,1)=SEKOR!N$2,1,0))</f>
        <v/>
      </c>
      <c r="O130" s="125" t="str">
        <f>IF(Ujian!O137="","",IF(LEFT(Ujian!O137,1)=SEKOR!O$2,1,0))</f>
        <v/>
      </c>
      <c r="P130" s="125" t="str">
        <f>IF(Ujian!P137="","",IF(LEFT(Ujian!P137,1)=SEKOR!P$2,1,0))</f>
        <v/>
      </c>
      <c r="Q130" s="125" t="str">
        <f>IF(Ujian!Q137="","",IF(LEFT(Ujian!Q137,1)=SEKOR!Q$2,1,0))</f>
        <v/>
      </c>
      <c r="R130" s="125" t="str">
        <f>IF(Ujian!R137="","",IF(LEFT(Ujian!R137,1)=SEKOR!R$2,1,0))</f>
        <v/>
      </c>
      <c r="S130" s="125" t="str">
        <f>IF(Ujian!S137="","",IF(LEFT(Ujian!S137,1)=SEKOR!S$2,1,0))</f>
        <v/>
      </c>
      <c r="T130" s="125" t="str">
        <f>IF(Ujian!T137="","",IF(LEFT(Ujian!T137,1)=SEKOR!T$2,1,0))</f>
        <v/>
      </c>
      <c r="U130" s="125" t="str">
        <f>IF(Ujian!U137="","",IF(LEFT(Ujian!U137,1)=SEKOR!U$2,1,0))</f>
        <v/>
      </c>
      <c r="V130" s="125" t="str">
        <f>IF(Ujian!V137="","",IF(LEFT(Ujian!V137,1)=SEKOR!V$2,1,0))</f>
        <v/>
      </c>
      <c r="W130" s="125" t="str">
        <f>IF(Ujian!W137="","",IF(LEFT(Ujian!W137,1)=SEKOR!W$2,1,0))</f>
        <v/>
      </c>
      <c r="X130" s="125" t="str">
        <f>IF(Ujian!X137="","",IF(LEFT(Ujian!X137,1)=SEKOR!X$2,1,0))</f>
        <v/>
      </c>
      <c r="Y130" s="125" t="str">
        <f>IF(Ujian!Y137="","",IF(LEFT(Ujian!Y137,1)=SEKOR!Y$2,1,0))</f>
        <v/>
      </c>
      <c r="Z130" s="125" t="str">
        <f>IF(Ujian!Z137="","",IF(LEFT(Ujian!Z137,1)=SEKOR!Z$2,1,0))</f>
        <v/>
      </c>
      <c r="AA130" s="125" t="str">
        <f>IF(Ujian!AA137="","",IF(LEFT(Ujian!AA137,1)=SEKOR!AA$2,1,0))</f>
        <v/>
      </c>
      <c r="AB130" s="125" t="str">
        <f>IF(Ujian!AB137="","",IF(LEFT(Ujian!AB137,1)=SEKOR!AB$2,1,0))</f>
        <v/>
      </c>
      <c r="AC130" s="125" t="str">
        <f>IF(Ujian!AC137="","",IF(LEFT(Ujian!AC137,1)=SEKOR!AC$2,1,0))</f>
        <v/>
      </c>
      <c r="AD130" s="125" t="str">
        <f>IF(Ujian!AD137="","",IF(LEFT(Ujian!AD137,1)=SEKOR!AD$2,1,0))</f>
        <v/>
      </c>
      <c r="AE130" s="125" t="str">
        <f>IF(Ujian!AE137="","",IF(LEFT(Ujian!AE137,1)=SEKOR!AE$2,1,0))</f>
        <v/>
      </c>
      <c r="AF130" s="125" t="str">
        <f>IF(Ujian!AF137="","",IF(LEFT(Ujian!AF137,1)=SEKOR!AF$2,1,0))</f>
        <v/>
      </c>
      <c r="AG130" s="125" t="str">
        <f>IF(Ujian!AG137="","",IF(LEFT(Ujian!AG137,1)=SEKOR!AG$2,1,0))</f>
        <v/>
      </c>
      <c r="AH130" s="125" t="str">
        <f>IF(Ujian!AH137="","",IF(LEFT(Ujian!AH137,1)=SEKOR!AH$2,1,0))</f>
        <v/>
      </c>
      <c r="AI130" s="125" t="str">
        <f>IF(Ujian!AI137="","",IF(LEFT(Ujian!AI137,1)=SEKOR!AI$2,1,0))</f>
        <v/>
      </c>
      <c r="AJ130" s="125" t="str">
        <f>IF(Ujian!AJ137="","",IF(LEFT(Ujian!AJ137,1)=SEKOR!AJ$2,1,0))</f>
        <v/>
      </c>
      <c r="AK130" s="125" t="str">
        <f>IF(Ujian!AK137="","",IF(LEFT(Ujian!AK137,1)=SEKOR!AK$2,1,0))</f>
        <v/>
      </c>
      <c r="AL130" s="125" t="str">
        <f>IF(Ujian!AL137="","",IF(LEFT(Ujian!AL137,1)=SEKOR!AL$2,1,0))</f>
        <v/>
      </c>
      <c r="AM130" s="125" t="str">
        <f>IF(Ujian!AM137="","",IF(LEFT(Ujian!AM137,1)=SEKOR!AM$2,1,0))</f>
        <v/>
      </c>
      <c r="AN130" s="125" t="str">
        <f>IF(Ujian!AN137="","",IF(LEFT(Ujian!AN137,1)=SEKOR!AN$2,1,0))</f>
        <v/>
      </c>
      <c r="AO130" s="125" t="str">
        <f>IF(Ujian!AO137="","",IF(LEFT(Ujian!AO137,1)=SEKOR!AO$2,1,0))</f>
        <v/>
      </c>
      <c r="AP130" s="125" t="str">
        <f>IF(Ujian!AP137="","",IF(LEFT(Ujian!AP137,1)=SEKOR!AP$2,1,0))</f>
        <v/>
      </c>
      <c r="AQ130" s="125" t="str">
        <f>IF(Ujian!AQ137="","",IF(LEFT(Ujian!AQ137,1)=SEKOR!AQ$2,1,0))</f>
        <v/>
      </c>
      <c r="AR130" s="125" t="str">
        <f>IF(Ujian!AR137="","",IF(LEFT(Ujian!AR137,1)=SEKOR!AR$2,1,0))</f>
        <v/>
      </c>
      <c r="AS130" s="125" t="str">
        <f>IF(Ujian!AS137="","",IF(LEFT(Ujian!AS137,1)=SEKOR!AS$2,1,0))</f>
        <v/>
      </c>
      <c r="AT130" s="125" t="str">
        <f>IF(Ujian!AT137="","",IF(LEFT(Ujian!AT137,1)=SEKOR!AT$2,1,0))</f>
        <v/>
      </c>
      <c r="AU130" s="125" t="str">
        <f>IF(Ujian!AU137="","",IF(LEFT(Ujian!AU137,1)=SEKOR!AU$2,1,0))</f>
        <v/>
      </c>
      <c r="AV130" s="125" t="str">
        <f>IF(Ujian!AV137="","",IF(LEFT(Ujian!AV137,1)=SEKOR!AV$2,1,0))</f>
        <v/>
      </c>
      <c r="AW130" s="125" t="str">
        <f>IF(Ujian!AW137="","",IF(LEFT(Ujian!AW137,1)=SEKOR!AW$2,1,0))</f>
        <v/>
      </c>
      <c r="AX130" s="125" t="str">
        <f>IF(Ujian!AX137="","",IF(LEFT(Ujian!AX137,1)=SEKOR!AX$2,1,0))</f>
        <v/>
      </c>
      <c r="AY130" s="125" t="str">
        <f>IF(Ujian!AY137="","",IF(LEFT(Ujian!AY137,1)=SEKOR!AY$2,1,0))</f>
        <v/>
      </c>
      <c r="AZ130" s="125" t="str">
        <f>IF(Ujian!AZ137="","",IF(LEFT(Ujian!AZ137,1)=SEKOR!AZ$2,1,0))</f>
        <v/>
      </c>
      <c r="BA130" s="125" t="str">
        <f>IF(Ujian!BA137="","",IF(LEFT(Ujian!BA137,1)=SEKOR!BA$2,1,0))</f>
        <v/>
      </c>
      <c r="BB130" s="125" t="str">
        <f>IF(Ujian!BB137="","",IF(LEFT(Ujian!BB137,1)=SEKOR!BB$2,1,0))</f>
        <v/>
      </c>
      <c r="BC130" s="125" t="str">
        <f>IF(Ujian!BC137="","",IF(LEFT(Ujian!BC137,1)=SEKOR!BC$2,1,0))</f>
        <v/>
      </c>
      <c r="BD130" s="125" t="str">
        <f>IF(Ujian!BD137="","",IF(LEFT(Ujian!BD137,1)=SEKOR!BD$2,1,0))</f>
        <v/>
      </c>
      <c r="BE130" s="125" t="str">
        <f>IF(Ujian!BE137="","",IF(LEFT(Ujian!BE137,1)=SEKOR!BE$2,1,0))</f>
        <v/>
      </c>
      <c r="BF130" s="125" t="str">
        <f>IF(Ujian!BF137="","",IF(LEFT(Ujian!BF137,1)=SEKOR!BF$2,1,0))</f>
        <v/>
      </c>
      <c r="BG130" s="125" t="str">
        <f>IF(Ujian!BG137="","",IF(LEFT(Ujian!BG137,1)=SEKOR!BG$2,1,0))</f>
        <v/>
      </c>
      <c r="BH130" s="125" t="str">
        <f>IF(Ujian!BH137="","",IF(LEFT(Ujian!BH137,1)=SEKOR!BH$2,1,0))</f>
        <v/>
      </c>
      <c r="BI130" s="125" t="str">
        <f>IF(Ujian!BI137="","",IF(LEFT(Ujian!BI137,1)=SEKOR!BI$2,1,0))</f>
        <v/>
      </c>
      <c r="BJ130" s="125" t="str">
        <f>IF(Ujian!BJ137="","",IF(LEFT(Ujian!BJ137,1)=SEKOR!BJ$2,1,0))</f>
        <v/>
      </c>
      <c r="BK130" s="125" t="str">
        <f>IF(Ujian!BK137="","",IF(LEFT(Ujian!BK137,1)=SEKOR!BK$2,1,0))</f>
        <v/>
      </c>
      <c r="BL130" s="18">
        <f t="shared" si="2"/>
        <v>0</v>
      </c>
      <c r="BM130" s="18">
        <f>COUNTIF($D130:$BK130,"")+DATA!$F$14-DATA!$F$12</f>
        <v>60</v>
      </c>
      <c r="BN130" s="17">
        <f>IF(COUNTIF($D130:$BK130,1)&gt;DATA!$F$14,DATA!$F$14,COUNTIF($D130:$BK130,1))</f>
        <v>0</v>
      </c>
      <c r="BO130" s="17">
        <f>IF((BN130+COUNTIF($D130:$BK130,0))&lt;=DATA!$F$14,COUNTIF($D130:$BK130,0),DATA!$F$14-SEKOR!BN130)</f>
        <v>0</v>
      </c>
      <c r="BP130" s="4" t="str">
        <f>IF(BL130=0,"",BN130/DATA!$F$14*100)</f>
        <v/>
      </c>
      <c r="BQ130" s="121" t="str">
        <f t="shared" si="3"/>
        <v/>
      </c>
      <c r="BR130" s="2" t="str">
        <f>IF(Praktik!$E130=0,"",Praktik!$E130)</f>
        <v/>
      </c>
      <c r="BS130" s="2" t="str">
        <f>IF(BR130="","",(BP130*DATAINFO!$O$4)+(SEKOR!BR130*DATAINFO!$O$5)/(DATAINFO!$O$4+DATAINFO!$O$5))</f>
        <v/>
      </c>
      <c r="BT130" s="2" t="str">
        <f>IF(BL130=0,"",IF(DATA!$F$18="TIDAK",ROUNDUP((IF!$L$8*SEKOR!$BP130)+IF!$L$9,0),IF($BR130="","",ROUNDUP((IF!$L$20*$BS130)+IF!$L$21,0))))</f>
        <v/>
      </c>
      <c r="BU130" s="47" t="str">
        <f>IF(BP130="","",IF(SEKOR!BP130&gt;=DATA!$J$12,1,0))</f>
        <v/>
      </c>
      <c r="BV130" s="47" t="str">
        <f>IF(BQ130="","",IF(SEKOR!BQ130&gt;=DATA!$J$12,1,0))</f>
        <v/>
      </c>
      <c r="BW130" s="47" t="str">
        <f>IF(BR130="","",IF(SEKOR!BR130&gt;=DATA!$J$12,1,0))</f>
        <v/>
      </c>
      <c r="BX130" s="47" t="str">
        <f>IF(BT130="","",IF(DATA!$J$14="",IF(SEKOR!BT130&gt;=DATA!$J$12,1,0),IF(SEKOR!BT130&gt;=DATA!$J$14,1,0)))</f>
        <v/>
      </c>
    </row>
    <row r="131" spans="1:76" x14ac:dyDescent="0.25">
      <c r="A131" s="20" t="s">
        <v>158</v>
      </c>
      <c r="B131" s="21" t="str">
        <f>IF(Ujian!B138="","",Ujian!B138)</f>
        <v/>
      </c>
      <c r="C131" s="57" t="str">
        <f>IF(Ujian!C138="","",Ujian!C138)</f>
        <v/>
      </c>
      <c r="D131" s="125" t="str">
        <f>IF(Ujian!D138="","",IF(LEFT(Ujian!D138,1)=SEKOR!D$2,1,0))</f>
        <v/>
      </c>
      <c r="E131" s="125" t="str">
        <f>IF(Ujian!E138="","",IF(LEFT(Ujian!E138,1)=SEKOR!E$2,1,0))</f>
        <v/>
      </c>
      <c r="F131" s="125" t="str">
        <f>IF(Ujian!F138="","",IF(LEFT(Ujian!F138,1)=SEKOR!F$2,1,0))</f>
        <v/>
      </c>
      <c r="G131" s="125" t="str">
        <f>IF(Ujian!G138="","",IF(LEFT(Ujian!G138,1)=SEKOR!G$2,1,0))</f>
        <v/>
      </c>
      <c r="H131" s="125" t="str">
        <f>IF(Ujian!H138="","",IF(LEFT(Ujian!H138,1)=SEKOR!H$2,1,0))</f>
        <v/>
      </c>
      <c r="I131" s="125" t="str">
        <f>IF(Ujian!I138="","",IF(LEFT(Ujian!I138,1)=SEKOR!I$2,1,0))</f>
        <v/>
      </c>
      <c r="J131" s="125" t="str">
        <f>IF(Ujian!J138="","",IF(LEFT(Ujian!J138,1)=SEKOR!J$2,1,0))</f>
        <v/>
      </c>
      <c r="K131" s="125" t="str">
        <f>IF(Ujian!K138="","",IF(LEFT(Ujian!K138,1)=SEKOR!K$2,1,0))</f>
        <v/>
      </c>
      <c r="L131" s="125" t="str">
        <f>IF(Ujian!L138="","",IF(LEFT(Ujian!L138,1)=SEKOR!L$2,1,0))</f>
        <v/>
      </c>
      <c r="M131" s="125" t="str">
        <f>IF(Ujian!M138="","",IF(LEFT(Ujian!M138,1)=SEKOR!M$2,1,0))</f>
        <v/>
      </c>
      <c r="N131" s="125" t="str">
        <f>IF(Ujian!N138="","",IF(LEFT(Ujian!N138,1)=SEKOR!N$2,1,0))</f>
        <v/>
      </c>
      <c r="O131" s="125" t="str">
        <f>IF(Ujian!O138="","",IF(LEFT(Ujian!O138,1)=SEKOR!O$2,1,0))</f>
        <v/>
      </c>
      <c r="P131" s="125" t="str">
        <f>IF(Ujian!P138="","",IF(LEFT(Ujian!P138,1)=SEKOR!P$2,1,0))</f>
        <v/>
      </c>
      <c r="Q131" s="125" t="str">
        <f>IF(Ujian!Q138="","",IF(LEFT(Ujian!Q138,1)=SEKOR!Q$2,1,0))</f>
        <v/>
      </c>
      <c r="R131" s="125" t="str">
        <f>IF(Ujian!R138="","",IF(LEFT(Ujian!R138,1)=SEKOR!R$2,1,0))</f>
        <v/>
      </c>
      <c r="S131" s="125" t="str">
        <f>IF(Ujian!S138="","",IF(LEFT(Ujian!S138,1)=SEKOR!S$2,1,0))</f>
        <v/>
      </c>
      <c r="T131" s="125" t="str">
        <f>IF(Ujian!T138="","",IF(LEFT(Ujian!T138,1)=SEKOR!T$2,1,0))</f>
        <v/>
      </c>
      <c r="U131" s="125" t="str">
        <f>IF(Ujian!U138="","",IF(LEFT(Ujian!U138,1)=SEKOR!U$2,1,0))</f>
        <v/>
      </c>
      <c r="V131" s="125" t="str">
        <f>IF(Ujian!V138="","",IF(LEFT(Ujian!V138,1)=SEKOR!V$2,1,0))</f>
        <v/>
      </c>
      <c r="W131" s="125" t="str">
        <f>IF(Ujian!W138="","",IF(LEFT(Ujian!W138,1)=SEKOR!W$2,1,0))</f>
        <v/>
      </c>
      <c r="X131" s="125" t="str">
        <f>IF(Ujian!X138="","",IF(LEFT(Ujian!X138,1)=SEKOR!X$2,1,0))</f>
        <v/>
      </c>
      <c r="Y131" s="125" t="str">
        <f>IF(Ujian!Y138="","",IF(LEFT(Ujian!Y138,1)=SEKOR!Y$2,1,0))</f>
        <v/>
      </c>
      <c r="Z131" s="125" t="str">
        <f>IF(Ujian!Z138="","",IF(LEFT(Ujian!Z138,1)=SEKOR!Z$2,1,0))</f>
        <v/>
      </c>
      <c r="AA131" s="125" t="str">
        <f>IF(Ujian!AA138="","",IF(LEFT(Ujian!AA138,1)=SEKOR!AA$2,1,0))</f>
        <v/>
      </c>
      <c r="AB131" s="125" t="str">
        <f>IF(Ujian!AB138="","",IF(LEFT(Ujian!AB138,1)=SEKOR!AB$2,1,0))</f>
        <v/>
      </c>
      <c r="AC131" s="125" t="str">
        <f>IF(Ujian!AC138="","",IF(LEFT(Ujian!AC138,1)=SEKOR!AC$2,1,0))</f>
        <v/>
      </c>
      <c r="AD131" s="125" t="str">
        <f>IF(Ujian!AD138="","",IF(LEFT(Ujian!AD138,1)=SEKOR!AD$2,1,0))</f>
        <v/>
      </c>
      <c r="AE131" s="125" t="str">
        <f>IF(Ujian!AE138="","",IF(LEFT(Ujian!AE138,1)=SEKOR!AE$2,1,0))</f>
        <v/>
      </c>
      <c r="AF131" s="125" t="str">
        <f>IF(Ujian!AF138="","",IF(LEFT(Ujian!AF138,1)=SEKOR!AF$2,1,0))</f>
        <v/>
      </c>
      <c r="AG131" s="125" t="str">
        <f>IF(Ujian!AG138="","",IF(LEFT(Ujian!AG138,1)=SEKOR!AG$2,1,0))</f>
        <v/>
      </c>
      <c r="AH131" s="125" t="str">
        <f>IF(Ujian!AH138="","",IF(LEFT(Ujian!AH138,1)=SEKOR!AH$2,1,0))</f>
        <v/>
      </c>
      <c r="AI131" s="125" t="str">
        <f>IF(Ujian!AI138="","",IF(LEFT(Ujian!AI138,1)=SEKOR!AI$2,1,0))</f>
        <v/>
      </c>
      <c r="AJ131" s="125" t="str">
        <f>IF(Ujian!AJ138="","",IF(LEFT(Ujian!AJ138,1)=SEKOR!AJ$2,1,0))</f>
        <v/>
      </c>
      <c r="AK131" s="125" t="str">
        <f>IF(Ujian!AK138="","",IF(LEFT(Ujian!AK138,1)=SEKOR!AK$2,1,0))</f>
        <v/>
      </c>
      <c r="AL131" s="125" t="str">
        <f>IF(Ujian!AL138="","",IF(LEFT(Ujian!AL138,1)=SEKOR!AL$2,1,0))</f>
        <v/>
      </c>
      <c r="AM131" s="125" t="str">
        <f>IF(Ujian!AM138="","",IF(LEFT(Ujian!AM138,1)=SEKOR!AM$2,1,0))</f>
        <v/>
      </c>
      <c r="AN131" s="125" t="str">
        <f>IF(Ujian!AN138="","",IF(LEFT(Ujian!AN138,1)=SEKOR!AN$2,1,0))</f>
        <v/>
      </c>
      <c r="AO131" s="125" t="str">
        <f>IF(Ujian!AO138="","",IF(LEFT(Ujian!AO138,1)=SEKOR!AO$2,1,0))</f>
        <v/>
      </c>
      <c r="AP131" s="125" t="str">
        <f>IF(Ujian!AP138="","",IF(LEFT(Ujian!AP138,1)=SEKOR!AP$2,1,0))</f>
        <v/>
      </c>
      <c r="AQ131" s="125" t="str">
        <f>IF(Ujian!AQ138="","",IF(LEFT(Ujian!AQ138,1)=SEKOR!AQ$2,1,0))</f>
        <v/>
      </c>
      <c r="AR131" s="125" t="str">
        <f>IF(Ujian!AR138="","",IF(LEFT(Ujian!AR138,1)=SEKOR!AR$2,1,0))</f>
        <v/>
      </c>
      <c r="AS131" s="125" t="str">
        <f>IF(Ujian!AS138="","",IF(LEFT(Ujian!AS138,1)=SEKOR!AS$2,1,0))</f>
        <v/>
      </c>
      <c r="AT131" s="125" t="str">
        <f>IF(Ujian!AT138="","",IF(LEFT(Ujian!AT138,1)=SEKOR!AT$2,1,0))</f>
        <v/>
      </c>
      <c r="AU131" s="125" t="str">
        <f>IF(Ujian!AU138="","",IF(LEFT(Ujian!AU138,1)=SEKOR!AU$2,1,0))</f>
        <v/>
      </c>
      <c r="AV131" s="125" t="str">
        <f>IF(Ujian!AV138="","",IF(LEFT(Ujian!AV138,1)=SEKOR!AV$2,1,0))</f>
        <v/>
      </c>
      <c r="AW131" s="125" t="str">
        <f>IF(Ujian!AW138="","",IF(LEFT(Ujian!AW138,1)=SEKOR!AW$2,1,0))</f>
        <v/>
      </c>
      <c r="AX131" s="125" t="str">
        <f>IF(Ujian!AX138="","",IF(LEFT(Ujian!AX138,1)=SEKOR!AX$2,1,0))</f>
        <v/>
      </c>
      <c r="AY131" s="125" t="str">
        <f>IF(Ujian!AY138="","",IF(LEFT(Ujian!AY138,1)=SEKOR!AY$2,1,0))</f>
        <v/>
      </c>
      <c r="AZ131" s="125" t="str">
        <f>IF(Ujian!AZ138="","",IF(LEFT(Ujian!AZ138,1)=SEKOR!AZ$2,1,0))</f>
        <v/>
      </c>
      <c r="BA131" s="125" t="str">
        <f>IF(Ujian!BA138="","",IF(LEFT(Ujian!BA138,1)=SEKOR!BA$2,1,0))</f>
        <v/>
      </c>
      <c r="BB131" s="125" t="str">
        <f>IF(Ujian!BB138="","",IF(LEFT(Ujian!BB138,1)=SEKOR!BB$2,1,0))</f>
        <v/>
      </c>
      <c r="BC131" s="125" t="str">
        <f>IF(Ujian!BC138="","",IF(LEFT(Ujian!BC138,1)=SEKOR!BC$2,1,0))</f>
        <v/>
      </c>
      <c r="BD131" s="125" t="str">
        <f>IF(Ujian!BD138="","",IF(LEFT(Ujian!BD138,1)=SEKOR!BD$2,1,0))</f>
        <v/>
      </c>
      <c r="BE131" s="125" t="str">
        <f>IF(Ujian!BE138="","",IF(LEFT(Ujian!BE138,1)=SEKOR!BE$2,1,0))</f>
        <v/>
      </c>
      <c r="BF131" s="125" t="str">
        <f>IF(Ujian!BF138="","",IF(LEFT(Ujian!BF138,1)=SEKOR!BF$2,1,0))</f>
        <v/>
      </c>
      <c r="BG131" s="125" t="str">
        <f>IF(Ujian!BG138="","",IF(LEFT(Ujian!BG138,1)=SEKOR!BG$2,1,0))</f>
        <v/>
      </c>
      <c r="BH131" s="125" t="str">
        <f>IF(Ujian!BH138="","",IF(LEFT(Ujian!BH138,1)=SEKOR!BH$2,1,0))</f>
        <v/>
      </c>
      <c r="BI131" s="125" t="str">
        <f>IF(Ujian!BI138="","",IF(LEFT(Ujian!BI138,1)=SEKOR!BI$2,1,0))</f>
        <v/>
      </c>
      <c r="BJ131" s="125" t="str">
        <f>IF(Ujian!BJ138="","",IF(LEFT(Ujian!BJ138,1)=SEKOR!BJ$2,1,0))</f>
        <v/>
      </c>
      <c r="BK131" s="125" t="str">
        <f>IF(Ujian!BK138="","",IF(LEFT(Ujian!BK138,1)=SEKOR!BK$2,1,0))</f>
        <v/>
      </c>
      <c r="BL131" s="18">
        <f t="shared" si="2"/>
        <v>0</v>
      </c>
      <c r="BM131" s="18">
        <f>COUNTIF($D131:$BK131,"")+DATA!$F$14-DATA!$F$12</f>
        <v>60</v>
      </c>
      <c r="BN131" s="17">
        <f>IF(COUNTIF($D131:$BK131,1)&gt;DATA!$F$14,DATA!$F$14,COUNTIF($D131:$BK131,1))</f>
        <v>0</v>
      </c>
      <c r="BO131" s="17">
        <f>IF((BN131+COUNTIF($D131:$BK131,0))&lt;=DATA!$F$14,COUNTIF($D131:$BK131,0),DATA!$F$14-SEKOR!BN131)</f>
        <v>0</v>
      </c>
      <c r="BP131" s="4" t="str">
        <f>IF(BL131=0,"",BN131/DATA!$F$14*100)</f>
        <v/>
      </c>
      <c r="BQ131" s="121" t="str">
        <f t="shared" si="3"/>
        <v/>
      </c>
      <c r="BR131" s="2" t="str">
        <f>IF(Praktik!$E131=0,"",Praktik!$E131)</f>
        <v/>
      </c>
      <c r="BS131" s="2" t="str">
        <f>IF(BR131="","",(BP131*DATAINFO!$O$4)+(SEKOR!BR131*DATAINFO!$O$5)/(DATAINFO!$O$4+DATAINFO!$O$5))</f>
        <v/>
      </c>
      <c r="BT131" s="2" t="str">
        <f>IF(BL131=0,"",IF(DATA!$F$18="TIDAK",ROUNDUP((IF!$L$8*SEKOR!$BP131)+IF!$L$9,0),IF($BR131="","",ROUNDUP((IF!$L$20*$BS131)+IF!$L$21,0))))</f>
        <v/>
      </c>
      <c r="BU131" s="47" t="str">
        <f>IF(BP131="","",IF(SEKOR!BP131&gt;=DATA!$J$12,1,0))</f>
        <v/>
      </c>
      <c r="BV131" s="47" t="str">
        <f>IF(BQ131="","",IF(SEKOR!BQ131&gt;=DATA!$J$12,1,0))</f>
        <v/>
      </c>
      <c r="BW131" s="47" t="str">
        <f>IF(BR131="","",IF(SEKOR!BR131&gt;=DATA!$J$12,1,0))</f>
        <v/>
      </c>
      <c r="BX131" s="47" t="str">
        <f>IF(BT131="","",IF(DATA!$J$14="",IF(SEKOR!BT131&gt;=DATA!$J$12,1,0),IF(SEKOR!BT131&gt;=DATA!$J$14,1,0)))</f>
        <v/>
      </c>
    </row>
    <row r="132" spans="1:76" x14ac:dyDescent="0.25">
      <c r="A132" s="20" t="s">
        <v>159</v>
      </c>
      <c r="B132" s="21" t="str">
        <f>IF(Ujian!B139="","",Ujian!B139)</f>
        <v/>
      </c>
      <c r="C132" s="57" t="str">
        <f>IF(Ujian!C139="","",Ujian!C139)</f>
        <v/>
      </c>
      <c r="D132" s="125" t="str">
        <f>IF(Ujian!D139="","",IF(LEFT(Ujian!D139,1)=SEKOR!D$2,1,0))</f>
        <v/>
      </c>
      <c r="E132" s="125" t="str">
        <f>IF(Ujian!E139="","",IF(LEFT(Ujian!E139,1)=SEKOR!E$2,1,0))</f>
        <v/>
      </c>
      <c r="F132" s="125" t="str">
        <f>IF(Ujian!F139="","",IF(LEFT(Ujian!F139,1)=SEKOR!F$2,1,0))</f>
        <v/>
      </c>
      <c r="G132" s="125" t="str">
        <f>IF(Ujian!G139="","",IF(LEFT(Ujian!G139,1)=SEKOR!G$2,1,0))</f>
        <v/>
      </c>
      <c r="H132" s="125" t="str">
        <f>IF(Ujian!H139="","",IF(LEFT(Ujian!H139,1)=SEKOR!H$2,1,0))</f>
        <v/>
      </c>
      <c r="I132" s="125" t="str">
        <f>IF(Ujian!I139="","",IF(LEFT(Ujian!I139,1)=SEKOR!I$2,1,0))</f>
        <v/>
      </c>
      <c r="J132" s="125" t="str">
        <f>IF(Ujian!J139="","",IF(LEFT(Ujian!J139,1)=SEKOR!J$2,1,0))</f>
        <v/>
      </c>
      <c r="K132" s="125" t="str">
        <f>IF(Ujian!K139="","",IF(LEFT(Ujian!K139,1)=SEKOR!K$2,1,0))</f>
        <v/>
      </c>
      <c r="L132" s="125" t="str">
        <f>IF(Ujian!L139="","",IF(LEFT(Ujian!L139,1)=SEKOR!L$2,1,0))</f>
        <v/>
      </c>
      <c r="M132" s="125" t="str">
        <f>IF(Ujian!M139="","",IF(LEFT(Ujian!M139,1)=SEKOR!M$2,1,0))</f>
        <v/>
      </c>
      <c r="N132" s="125" t="str">
        <f>IF(Ujian!N139="","",IF(LEFT(Ujian!N139,1)=SEKOR!N$2,1,0))</f>
        <v/>
      </c>
      <c r="O132" s="125" t="str">
        <f>IF(Ujian!O139="","",IF(LEFT(Ujian!O139,1)=SEKOR!O$2,1,0))</f>
        <v/>
      </c>
      <c r="P132" s="125" t="str">
        <f>IF(Ujian!P139="","",IF(LEFT(Ujian!P139,1)=SEKOR!P$2,1,0))</f>
        <v/>
      </c>
      <c r="Q132" s="125" t="str">
        <f>IF(Ujian!Q139="","",IF(LEFT(Ujian!Q139,1)=SEKOR!Q$2,1,0))</f>
        <v/>
      </c>
      <c r="R132" s="125" t="str">
        <f>IF(Ujian!R139="","",IF(LEFT(Ujian!R139,1)=SEKOR!R$2,1,0))</f>
        <v/>
      </c>
      <c r="S132" s="125" t="str">
        <f>IF(Ujian!S139="","",IF(LEFT(Ujian!S139,1)=SEKOR!S$2,1,0))</f>
        <v/>
      </c>
      <c r="T132" s="125" t="str">
        <f>IF(Ujian!T139="","",IF(LEFT(Ujian!T139,1)=SEKOR!T$2,1,0))</f>
        <v/>
      </c>
      <c r="U132" s="125" t="str">
        <f>IF(Ujian!U139="","",IF(LEFT(Ujian!U139,1)=SEKOR!U$2,1,0))</f>
        <v/>
      </c>
      <c r="V132" s="125" t="str">
        <f>IF(Ujian!V139="","",IF(LEFT(Ujian!V139,1)=SEKOR!V$2,1,0))</f>
        <v/>
      </c>
      <c r="W132" s="125" t="str">
        <f>IF(Ujian!W139="","",IF(LEFT(Ujian!W139,1)=SEKOR!W$2,1,0))</f>
        <v/>
      </c>
      <c r="X132" s="125" t="str">
        <f>IF(Ujian!X139="","",IF(LEFT(Ujian!X139,1)=SEKOR!X$2,1,0))</f>
        <v/>
      </c>
      <c r="Y132" s="125" t="str">
        <f>IF(Ujian!Y139="","",IF(LEFT(Ujian!Y139,1)=SEKOR!Y$2,1,0))</f>
        <v/>
      </c>
      <c r="Z132" s="125" t="str">
        <f>IF(Ujian!Z139="","",IF(LEFT(Ujian!Z139,1)=SEKOR!Z$2,1,0))</f>
        <v/>
      </c>
      <c r="AA132" s="125" t="str">
        <f>IF(Ujian!AA139="","",IF(LEFT(Ujian!AA139,1)=SEKOR!AA$2,1,0))</f>
        <v/>
      </c>
      <c r="AB132" s="125" t="str">
        <f>IF(Ujian!AB139="","",IF(LEFT(Ujian!AB139,1)=SEKOR!AB$2,1,0))</f>
        <v/>
      </c>
      <c r="AC132" s="125" t="str">
        <f>IF(Ujian!AC139="","",IF(LEFT(Ujian!AC139,1)=SEKOR!AC$2,1,0))</f>
        <v/>
      </c>
      <c r="AD132" s="125" t="str">
        <f>IF(Ujian!AD139="","",IF(LEFT(Ujian!AD139,1)=SEKOR!AD$2,1,0))</f>
        <v/>
      </c>
      <c r="AE132" s="125" t="str">
        <f>IF(Ujian!AE139="","",IF(LEFT(Ujian!AE139,1)=SEKOR!AE$2,1,0))</f>
        <v/>
      </c>
      <c r="AF132" s="125" t="str">
        <f>IF(Ujian!AF139="","",IF(LEFT(Ujian!AF139,1)=SEKOR!AF$2,1,0))</f>
        <v/>
      </c>
      <c r="AG132" s="125" t="str">
        <f>IF(Ujian!AG139="","",IF(LEFT(Ujian!AG139,1)=SEKOR!AG$2,1,0))</f>
        <v/>
      </c>
      <c r="AH132" s="125" t="str">
        <f>IF(Ujian!AH139="","",IF(LEFT(Ujian!AH139,1)=SEKOR!AH$2,1,0))</f>
        <v/>
      </c>
      <c r="AI132" s="125" t="str">
        <f>IF(Ujian!AI139="","",IF(LEFT(Ujian!AI139,1)=SEKOR!AI$2,1,0))</f>
        <v/>
      </c>
      <c r="AJ132" s="125" t="str">
        <f>IF(Ujian!AJ139="","",IF(LEFT(Ujian!AJ139,1)=SEKOR!AJ$2,1,0))</f>
        <v/>
      </c>
      <c r="AK132" s="125" t="str">
        <f>IF(Ujian!AK139="","",IF(LEFT(Ujian!AK139,1)=SEKOR!AK$2,1,0))</f>
        <v/>
      </c>
      <c r="AL132" s="125" t="str">
        <f>IF(Ujian!AL139="","",IF(LEFT(Ujian!AL139,1)=SEKOR!AL$2,1,0))</f>
        <v/>
      </c>
      <c r="AM132" s="125" t="str">
        <f>IF(Ujian!AM139="","",IF(LEFT(Ujian!AM139,1)=SEKOR!AM$2,1,0))</f>
        <v/>
      </c>
      <c r="AN132" s="125" t="str">
        <f>IF(Ujian!AN139="","",IF(LEFT(Ujian!AN139,1)=SEKOR!AN$2,1,0))</f>
        <v/>
      </c>
      <c r="AO132" s="125" t="str">
        <f>IF(Ujian!AO139="","",IF(LEFT(Ujian!AO139,1)=SEKOR!AO$2,1,0))</f>
        <v/>
      </c>
      <c r="AP132" s="125" t="str">
        <f>IF(Ujian!AP139="","",IF(LEFT(Ujian!AP139,1)=SEKOR!AP$2,1,0))</f>
        <v/>
      </c>
      <c r="AQ132" s="125" t="str">
        <f>IF(Ujian!AQ139="","",IF(LEFT(Ujian!AQ139,1)=SEKOR!AQ$2,1,0))</f>
        <v/>
      </c>
      <c r="AR132" s="125" t="str">
        <f>IF(Ujian!AR139="","",IF(LEFT(Ujian!AR139,1)=SEKOR!AR$2,1,0))</f>
        <v/>
      </c>
      <c r="AS132" s="125" t="str">
        <f>IF(Ujian!AS139="","",IF(LEFT(Ujian!AS139,1)=SEKOR!AS$2,1,0))</f>
        <v/>
      </c>
      <c r="AT132" s="125" t="str">
        <f>IF(Ujian!AT139="","",IF(LEFT(Ujian!AT139,1)=SEKOR!AT$2,1,0))</f>
        <v/>
      </c>
      <c r="AU132" s="125" t="str">
        <f>IF(Ujian!AU139="","",IF(LEFT(Ujian!AU139,1)=SEKOR!AU$2,1,0))</f>
        <v/>
      </c>
      <c r="AV132" s="125" t="str">
        <f>IF(Ujian!AV139="","",IF(LEFT(Ujian!AV139,1)=SEKOR!AV$2,1,0))</f>
        <v/>
      </c>
      <c r="AW132" s="125" t="str">
        <f>IF(Ujian!AW139="","",IF(LEFT(Ujian!AW139,1)=SEKOR!AW$2,1,0))</f>
        <v/>
      </c>
      <c r="AX132" s="125" t="str">
        <f>IF(Ujian!AX139="","",IF(LEFT(Ujian!AX139,1)=SEKOR!AX$2,1,0))</f>
        <v/>
      </c>
      <c r="AY132" s="125" t="str">
        <f>IF(Ujian!AY139="","",IF(LEFT(Ujian!AY139,1)=SEKOR!AY$2,1,0))</f>
        <v/>
      </c>
      <c r="AZ132" s="125" t="str">
        <f>IF(Ujian!AZ139="","",IF(LEFT(Ujian!AZ139,1)=SEKOR!AZ$2,1,0))</f>
        <v/>
      </c>
      <c r="BA132" s="125" t="str">
        <f>IF(Ujian!BA139="","",IF(LEFT(Ujian!BA139,1)=SEKOR!BA$2,1,0))</f>
        <v/>
      </c>
      <c r="BB132" s="125" t="str">
        <f>IF(Ujian!BB139="","",IF(LEFT(Ujian!BB139,1)=SEKOR!BB$2,1,0))</f>
        <v/>
      </c>
      <c r="BC132" s="125" t="str">
        <f>IF(Ujian!BC139="","",IF(LEFT(Ujian!BC139,1)=SEKOR!BC$2,1,0))</f>
        <v/>
      </c>
      <c r="BD132" s="125" t="str">
        <f>IF(Ujian!BD139="","",IF(LEFT(Ujian!BD139,1)=SEKOR!BD$2,1,0))</f>
        <v/>
      </c>
      <c r="BE132" s="125" t="str">
        <f>IF(Ujian!BE139="","",IF(LEFT(Ujian!BE139,1)=SEKOR!BE$2,1,0))</f>
        <v/>
      </c>
      <c r="BF132" s="125" t="str">
        <f>IF(Ujian!BF139="","",IF(LEFT(Ujian!BF139,1)=SEKOR!BF$2,1,0))</f>
        <v/>
      </c>
      <c r="BG132" s="125" t="str">
        <f>IF(Ujian!BG139="","",IF(LEFT(Ujian!BG139,1)=SEKOR!BG$2,1,0))</f>
        <v/>
      </c>
      <c r="BH132" s="125" t="str">
        <f>IF(Ujian!BH139="","",IF(LEFT(Ujian!BH139,1)=SEKOR!BH$2,1,0))</f>
        <v/>
      </c>
      <c r="BI132" s="125" t="str">
        <f>IF(Ujian!BI139="","",IF(LEFT(Ujian!BI139,1)=SEKOR!BI$2,1,0))</f>
        <v/>
      </c>
      <c r="BJ132" s="125" t="str">
        <f>IF(Ujian!BJ139="","",IF(LEFT(Ujian!BJ139,1)=SEKOR!BJ$2,1,0))</f>
        <v/>
      </c>
      <c r="BK132" s="125" t="str">
        <f>IF(Ujian!BK139="","",IF(LEFT(Ujian!BK139,1)=SEKOR!BK$2,1,0))</f>
        <v/>
      </c>
      <c r="BL132" s="18">
        <f t="shared" ref="BL132:BL195" si="4">COUNT($D132:$BK132)</f>
        <v>0</v>
      </c>
      <c r="BM132" s="18">
        <f>COUNTIF($D132:$BK132,"")+DATA!$F$14-DATA!$F$12</f>
        <v>60</v>
      </c>
      <c r="BN132" s="17">
        <f>IF(COUNTIF($D132:$BK132,1)&gt;DATA!$F$14,DATA!$F$14,COUNTIF($D132:$BK132,1))</f>
        <v>0</v>
      </c>
      <c r="BO132" s="17">
        <f>IF((BN132+COUNTIF($D132:$BK132,0))&lt;=DATA!$F$14,COUNTIF($D132:$BK132,0),DATA!$F$14-SEKOR!BN132)</f>
        <v>0</v>
      </c>
      <c r="BP132" s="4" t="str">
        <f>IF(BL132=0,"",BN132/DATA!$F$14*100)</f>
        <v/>
      </c>
      <c r="BQ132" s="121" t="str">
        <f t="shared" ref="BQ132:BQ195" si="5">IF(BL132=0,"",BN132/MAX($BN$3:$BN$222)*100)</f>
        <v/>
      </c>
      <c r="BR132" s="2" t="str">
        <f>IF(Praktik!$E132=0,"",Praktik!$E132)</f>
        <v/>
      </c>
      <c r="BS132" s="2" t="str">
        <f>IF(BR132="","",(BP132*DATAINFO!$O$4)+(SEKOR!BR132*DATAINFO!$O$5)/(DATAINFO!$O$4+DATAINFO!$O$5))</f>
        <v/>
      </c>
      <c r="BT132" s="2" t="str">
        <f>IF(BL132=0,"",IF(DATA!$F$18="TIDAK",ROUNDUP((IF!$L$8*SEKOR!$BP132)+IF!$L$9,0),IF($BR132="","",ROUNDUP((IF!$L$20*$BS132)+IF!$L$21,0))))</f>
        <v/>
      </c>
      <c r="BU132" s="47" t="str">
        <f>IF(BP132="","",IF(SEKOR!BP132&gt;=DATA!$J$12,1,0))</f>
        <v/>
      </c>
      <c r="BV132" s="47" t="str">
        <f>IF(BQ132="","",IF(SEKOR!BQ132&gt;=DATA!$J$12,1,0))</f>
        <v/>
      </c>
      <c r="BW132" s="47" t="str">
        <f>IF(BR132="","",IF(SEKOR!BR132&gt;=DATA!$J$12,1,0))</f>
        <v/>
      </c>
      <c r="BX132" s="47" t="str">
        <f>IF(BT132="","",IF(DATA!$J$14="",IF(SEKOR!BT132&gt;=DATA!$J$12,1,0),IF(SEKOR!BT132&gt;=DATA!$J$14,1,0)))</f>
        <v/>
      </c>
    </row>
    <row r="133" spans="1:76" x14ac:dyDescent="0.25">
      <c r="A133" s="20" t="s">
        <v>160</v>
      </c>
      <c r="B133" s="21" t="str">
        <f>IF(Ujian!B140="","",Ujian!B140)</f>
        <v/>
      </c>
      <c r="C133" s="57" t="str">
        <f>IF(Ujian!C140="","",Ujian!C140)</f>
        <v/>
      </c>
      <c r="D133" s="125" t="str">
        <f>IF(Ujian!D140="","",IF(LEFT(Ujian!D140,1)=SEKOR!D$2,1,0))</f>
        <v/>
      </c>
      <c r="E133" s="125" t="str">
        <f>IF(Ujian!E140="","",IF(LEFT(Ujian!E140,1)=SEKOR!E$2,1,0))</f>
        <v/>
      </c>
      <c r="F133" s="125" t="str">
        <f>IF(Ujian!F140="","",IF(LEFT(Ujian!F140,1)=SEKOR!F$2,1,0))</f>
        <v/>
      </c>
      <c r="G133" s="125" t="str">
        <f>IF(Ujian!G140="","",IF(LEFT(Ujian!G140,1)=SEKOR!G$2,1,0))</f>
        <v/>
      </c>
      <c r="H133" s="125" t="str">
        <f>IF(Ujian!H140="","",IF(LEFT(Ujian!H140,1)=SEKOR!H$2,1,0))</f>
        <v/>
      </c>
      <c r="I133" s="125" t="str">
        <f>IF(Ujian!I140="","",IF(LEFT(Ujian!I140,1)=SEKOR!I$2,1,0))</f>
        <v/>
      </c>
      <c r="J133" s="125" t="str">
        <f>IF(Ujian!J140="","",IF(LEFT(Ujian!J140,1)=SEKOR!J$2,1,0))</f>
        <v/>
      </c>
      <c r="K133" s="125" t="str">
        <f>IF(Ujian!K140="","",IF(LEFT(Ujian!K140,1)=SEKOR!K$2,1,0))</f>
        <v/>
      </c>
      <c r="L133" s="125" t="str">
        <f>IF(Ujian!L140="","",IF(LEFT(Ujian!L140,1)=SEKOR!L$2,1,0))</f>
        <v/>
      </c>
      <c r="M133" s="125" t="str">
        <f>IF(Ujian!M140="","",IF(LEFT(Ujian!M140,1)=SEKOR!M$2,1,0))</f>
        <v/>
      </c>
      <c r="N133" s="125" t="str">
        <f>IF(Ujian!N140="","",IF(LEFT(Ujian!N140,1)=SEKOR!N$2,1,0))</f>
        <v/>
      </c>
      <c r="O133" s="125" t="str">
        <f>IF(Ujian!O140="","",IF(LEFT(Ujian!O140,1)=SEKOR!O$2,1,0))</f>
        <v/>
      </c>
      <c r="P133" s="125" t="str">
        <f>IF(Ujian!P140="","",IF(LEFT(Ujian!P140,1)=SEKOR!P$2,1,0))</f>
        <v/>
      </c>
      <c r="Q133" s="125" t="str">
        <f>IF(Ujian!Q140="","",IF(LEFT(Ujian!Q140,1)=SEKOR!Q$2,1,0))</f>
        <v/>
      </c>
      <c r="R133" s="125" t="str">
        <f>IF(Ujian!R140="","",IF(LEFT(Ujian!R140,1)=SEKOR!R$2,1,0))</f>
        <v/>
      </c>
      <c r="S133" s="125" t="str">
        <f>IF(Ujian!S140="","",IF(LEFT(Ujian!S140,1)=SEKOR!S$2,1,0))</f>
        <v/>
      </c>
      <c r="T133" s="125" t="str">
        <f>IF(Ujian!T140="","",IF(LEFT(Ujian!T140,1)=SEKOR!T$2,1,0))</f>
        <v/>
      </c>
      <c r="U133" s="125" t="str">
        <f>IF(Ujian!U140="","",IF(LEFT(Ujian!U140,1)=SEKOR!U$2,1,0))</f>
        <v/>
      </c>
      <c r="V133" s="125" t="str">
        <f>IF(Ujian!V140="","",IF(LEFT(Ujian!V140,1)=SEKOR!V$2,1,0))</f>
        <v/>
      </c>
      <c r="W133" s="125" t="str">
        <f>IF(Ujian!W140="","",IF(LEFT(Ujian!W140,1)=SEKOR!W$2,1,0))</f>
        <v/>
      </c>
      <c r="X133" s="125" t="str">
        <f>IF(Ujian!X140="","",IF(LEFT(Ujian!X140,1)=SEKOR!X$2,1,0))</f>
        <v/>
      </c>
      <c r="Y133" s="125" t="str">
        <f>IF(Ujian!Y140="","",IF(LEFT(Ujian!Y140,1)=SEKOR!Y$2,1,0))</f>
        <v/>
      </c>
      <c r="Z133" s="125" t="str">
        <f>IF(Ujian!Z140="","",IF(LEFT(Ujian!Z140,1)=SEKOR!Z$2,1,0))</f>
        <v/>
      </c>
      <c r="AA133" s="125" t="str">
        <f>IF(Ujian!AA140="","",IF(LEFT(Ujian!AA140,1)=SEKOR!AA$2,1,0))</f>
        <v/>
      </c>
      <c r="AB133" s="125" t="str">
        <f>IF(Ujian!AB140="","",IF(LEFT(Ujian!AB140,1)=SEKOR!AB$2,1,0))</f>
        <v/>
      </c>
      <c r="AC133" s="125" t="str">
        <f>IF(Ujian!AC140="","",IF(LEFT(Ujian!AC140,1)=SEKOR!AC$2,1,0))</f>
        <v/>
      </c>
      <c r="AD133" s="125" t="str">
        <f>IF(Ujian!AD140="","",IF(LEFT(Ujian!AD140,1)=SEKOR!AD$2,1,0))</f>
        <v/>
      </c>
      <c r="AE133" s="125" t="str">
        <f>IF(Ujian!AE140="","",IF(LEFT(Ujian!AE140,1)=SEKOR!AE$2,1,0))</f>
        <v/>
      </c>
      <c r="AF133" s="125" t="str">
        <f>IF(Ujian!AF140="","",IF(LEFT(Ujian!AF140,1)=SEKOR!AF$2,1,0))</f>
        <v/>
      </c>
      <c r="AG133" s="125" t="str">
        <f>IF(Ujian!AG140="","",IF(LEFT(Ujian!AG140,1)=SEKOR!AG$2,1,0))</f>
        <v/>
      </c>
      <c r="AH133" s="125" t="str">
        <f>IF(Ujian!AH140="","",IF(LEFT(Ujian!AH140,1)=SEKOR!AH$2,1,0))</f>
        <v/>
      </c>
      <c r="AI133" s="125" t="str">
        <f>IF(Ujian!AI140="","",IF(LEFT(Ujian!AI140,1)=SEKOR!AI$2,1,0))</f>
        <v/>
      </c>
      <c r="AJ133" s="125" t="str">
        <f>IF(Ujian!AJ140="","",IF(LEFT(Ujian!AJ140,1)=SEKOR!AJ$2,1,0))</f>
        <v/>
      </c>
      <c r="AK133" s="125" t="str">
        <f>IF(Ujian!AK140="","",IF(LEFT(Ujian!AK140,1)=SEKOR!AK$2,1,0))</f>
        <v/>
      </c>
      <c r="AL133" s="125" t="str">
        <f>IF(Ujian!AL140="","",IF(LEFT(Ujian!AL140,1)=SEKOR!AL$2,1,0))</f>
        <v/>
      </c>
      <c r="AM133" s="125" t="str">
        <f>IF(Ujian!AM140="","",IF(LEFT(Ujian!AM140,1)=SEKOR!AM$2,1,0))</f>
        <v/>
      </c>
      <c r="AN133" s="125" t="str">
        <f>IF(Ujian!AN140="","",IF(LEFT(Ujian!AN140,1)=SEKOR!AN$2,1,0))</f>
        <v/>
      </c>
      <c r="AO133" s="125" t="str">
        <f>IF(Ujian!AO140="","",IF(LEFT(Ujian!AO140,1)=SEKOR!AO$2,1,0))</f>
        <v/>
      </c>
      <c r="AP133" s="125" t="str">
        <f>IF(Ujian!AP140="","",IF(LEFT(Ujian!AP140,1)=SEKOR!AP$2,1,0))</f>
        <v/>
      </c>
      <c r="AQ133" s="125" t="str">
        <f>IF(Ujian!AQ140="","",IF(LEFT(Ujian!AQ140,1)=SEKOR!AQ$2,1,0))</f>
        <v/>
      </c>
      <c r="AR133" s="125" t="str">
        <f>IF(Ujian!AR140="","",IF(LEFT(Ujian!AR140,1)=SEKOR!AR$2,1,0))</f>
        <v/>
      </c>
      <c r="AS133" s="125" t="str">
        <f>IF(Ujian!AS140="","",IF(LEFT(Ujian!AS140,1)=SEKOR!AS$2,1,0))</f>
        <v/>
      </c>
      <c r="AT133" s="125" t="str">
        <f>IF(Ujian!AT140="","",IF(LEFT(Ujian!AT140,1)=SEKOR!AT$2,1,0))</f>
        <v/>
      </c>
      <c r="AU133" s="125" t="str">
        <f>IF(Ujian!AU140="","",IF(LEFT(Ujian!AU140,1)=SEKOR!AU$2,1,0))</f>
        <v/>
      </c>
      <c r="AV133" s="125" t="str">
        <f>IF(Ujian!AV140="","",IF(LEFT(Ujian!AV140,1)=SEKOR!AV$2,1,0))</f>
        <v/>
      </c>
      <c r="AW133" s="125" t="str">
        <f>IF(Ujian!AW140="","",IF(LEFT(Ujian!AW140,1)=SEKOR!AW$2,1,0))</f>
        <v/>
      </c>
      <c r="AX133" s="125" t="str">
        <f>IF(Ujian!AX140="","",IF(LEFT(Ujian!AX140,1)=SEKOR!AX$2,1,0))</f>
        <v/>
      </c>
      <c r="AY133" s="125" t="str">
        <f>IF(Ujian!AY140="","",IF(LEFT(Ujian!AY140,1)=SEKOR!AY$2,1,0))</f>
        <v/>
      </c>
      <c r="AZ133" s="125" t="str">
        <f>IF(Ujian!AZ140="","",IF(LEFT(Ujian!AZ140,1)=SEKOR!AZ$2,1,0))</f>
        <v/>
      </c>
      <c r="BA133" s="125" t="str">
        <f>IF(Ujian!BA140="","",IF(LEFT(Ujian!BA140,1)=SEKOR!BA$2,1,0))</f>
        <v/>
      </c>
      <c r="BB133" s="125" t="str">
        <f>IF(Ujian!BB140="","",IF(LEFT(Ujian!BB140,1)=SEKOR!BB$2,1,0))</f>
        <v/>
      </c>
      <c r="BC133" s="125" t="str">
        <f>IF(Ujian!BC140="","",IF(LEFT(Ujian!BC140,1)=SEKOR!BC$2,1,0))</f>
        <v/>
      </c>
      <c r="BD133" s="125" t="str">
        <f>IF(Ujian!BD140="","",IF(LEFT(Ujian!BD140,1)=SEKOR!BD$2,1,0))</f>
        <v/>
      </c>
      <c r="BE133" s="125" t="str">
        <f>IF(Ujian!BE140="","",IF(LEFT(Ujian!BE140,1)=SEKOR!BE$2,1,0))</f>
        <v/>
      </c>
      <c r="BF133" s="125" t="str">
        <f>IF(Ujian!BF140="","",IF(LEFT(Ujian!BF140,1)=SEKOR!BF$2,1,0))</f>
        <v/>
      </c>
      <c r="BG133" s="125" t="str">
        <f>IF(Ujian!BG140="","",IF(LEFT(Ujian!BG140,1)=SEKOR!BG$2,1,0))</f>
        <v/>
      </c>
      <c r="BH133" s="125" t="str">
        <f>IF(Ujian!BH140="","",IF(LEFT(Ujian!BH140,1)=SEKOR!BH$2,1,0))</f>
        <v/>
      </c>
      <c r="BI133" s="125" t="str">
        <f>IF(Ujian!BI140="","",IF(LEFT(Ujian!BI140,1)=SEKOR!BI$2,1,0))</f>
        <v/>
      </c>
      <c r="BJ133" s="125" t="str">
        <f>IF(Ujian!BJ140="","",IF(LEFT(Ujian!BJ140,1)=SEKOR!BJ$2,1,0))</f>
        <v/>
      </c>
      <c r="BK133" s="125" t="str">
        <f>IF(Ujian!BK140="","",IF(LEFT(Ujian!BK140,1)=SEKOR!BK$2,1,0))</f>
        <v/>
      </c>
      <c r="BL133" s="18">
        <f t="shared" si="4"/>
        <v>0</v>
      </c>
      <c r="BM133" s="18">
        <f>COUNTIF($D133:$BK133,"")+DATA!$F$14-DATA!$F$12</f>
        <v>60</v>
      </c>
      <c r="BN133" s="17">
        <f>IF(COUNTIF($D133:$BK133,1)&gt;DATA!$F$14,DATA!$F$14,COUNTIF($D133:$BK133,1))</f>
        <v>0</v>
      </c>
      <c r="BO133" s="17">
        <f>IF((BN133+COUNTIF($D133:$BK133,0))&lt;=DATA!$F$14,COUNTIF($D133:$BK133,0),DATA!$F$14-SEKOR!BN133)</f>
        <v>0</v>
      </c>
      <c r="BP133" s="4" t="str">
        <f>IF(BL133=0,"",BN133/DATA!$F$14*100)</f>
        <v/>
      </c>
      <c r="BQ133" s="121" t="str">
        <f t="shared" si="5"/>
        <v/>
      </c>
      <c r="BR133" s="2" t="str">
        <f>IF(Praktik!$E133=0,"",Praktik!$E133)</f>
        <v/>
      </c>
      <c r="BS133" s="2" t="str">
        <f>IF(BR133="","",(BP133*DATAINFO!$O$4)+(SEKOR!BR133*DATAINFO!$O$5)/(DATAINFO!$O$4+DATAINFO!$O$5))</f>
        <v/>
      </c>
      <c r="BT133" s="2" t="str">
        <f>IF(BL133=0,"",IF(DATA!$F$18="TIDAK",ROUNDUP((IF!$L$8*SEKOR!$BP133)+IF!$L$9,0),IF($BR133="","",ROUNDUP((IF!$L$20*$BS133)+IF!$L$21,0))))</f>
        <v/>
      </c>
      <c r="BU133" s="47" t="str">
        <f>IF(BP133="","",IF(SEKOR!BP133&gt;=DATA!$J$12,1,0))</f>
        <v/>
      </c>
      <c r="BV133" s="47" t="str">
        <f>IF(BQ133="","",IF(SEKOR!BQ133&gt;=DATA!$J$12,1,0))</f>
        <v/>
      </c>
      <c r="BW133" s="47" t="str">
        <f>IF(BR133="","",IF(SEKOR!BR133&gt;=DATA!$J$12,1,0))</f>
        <v/>
      </c>
      <c r="BX133" s="47" t="str">
        <f>IF(BT133="","",IF(DATA!$J$14="",IF(SEKOR!BT133&gt;=DATA!$J$12,1,0),IF(SEKOR!BT133&gt;=DATA!$J$14,1,0)))</f>
        <v/>
      </c>
    </row>
    <row r="134" spans="1:76" x14ac:dyDescent="0.25">
      <c r="A134" s="20" t="s">
        <v>161</v>
      </c>
      <c r="B134" s="21" t="str">
        <f>IF(Ujian!B141="","",Ujian!B141)</f>
        <v/>
      </c>
      <c r="C134" s="57" t="str">
        <f>IF(Ujian!C141="","",Ujian!C141)</f>
        <v/>
      </c>
      <c r="D134" s="125" t="str">
        <f>IF(Ujian!D141="","",IF(LEFT(Ujian!D141,1)=SEKOR!D$2,1,0))</f>
        <v/>
      </c>
      <c r="E134" s="125" t="str">
        <f>IF(Ujian!E141="","",IF(LEFT(Ujian!E141,1)=SEKOR!E$2,1,0))</f>
        <v/>
      </c>
      <c r="F134" s="125" t="str">
        <f>IF(Ujian!F141="","",IF(LEFT(Ujian!F141,1)=SEKOR!F$2,1,0))</f>
        <v/>
      </c>
      <c r="G134" s="125" t="str">
        <f>IF(Ujian!G141="","",IF(LEFT(Ujian!G141,1)=SEKOR!G$2,1,0))</f>
        <v/>
      </c>
      <c r="H134" s="125" t="str">
        <f>IF(Ujian!H141="","",IF(LEFT(Ujian!H141,1)=SEKOR!H$2,1,0))</f>
        <v/>
      </c>
      <c r="I134" s="125" t="str">
        <f>IF(Ujian!I141="","",IF(LEFT(Ujian!I141,1)=SEKOR!I$2,1,0))</f>
        <v/>
      </c>
      <c r="J134" s="125" t="str">
        <f>IF(Ujian!J141="","",IF(LEFT(Ujian!J141,1)=SEKOR!J$2,1,0))</f>
        <v/>
      </c>
      <c r="K134" s="125" t="str">
        <f>IF(Ujian!K141="","",IF(LEFT(Ujian!K141,1)=SEKOR!K$2,1,0))</f>
        <v/>
      </c>
      <c r="L134" s="125" t="str">
        <f>IF(Ujian!L141="","",IF(LEFT(Ujian!L141,1)=SEKOR!L$2,1,0))</f>
        <v/>
      </c>
      <c r="M134" s="125" t="str">
        <f>IF(Ujian!M141="","",IF(LEFT(Ujian!M141,1)=SEKOR!M$2,1,0))</f>
        <v/>
      </c>
      <c r="N134" s="125" t="str">
        <f>IF(Ujian!N141="","",IF(LEFT(Ujian!N141,1)=SEKOR!N$2,1,0))</f>
        <v/>
      </c>
      <c r="O134" s="125" t="str">
        <f>IF(Ujian!O141="","",IF(LEFT(Ujian!O141,1)=SEKOR!O$2,1,0))</f>
        <v/>
      </c>
      <c r="P134" s="125" t="str">
        <f>IF(Ujian!P141="","",IF(LEFT(Ujian!P141,1)=SEKOR!P$2,1,0))</f>
        <v/>
      </c>
      <c r="Q134" s="125" t="str">
        <f>IF(Ujian!Q141="","",IF(LEFT(Ujian!Q141,1)=SEKOR!Q$2,1,0))</f>
        <v/>
      </c>
      <c r="R134" s="125" t="str">
        <f>IF(Ujian!R141="","",IF(LEFT(Ujian!R141,1)=SEKOR!R$2,1,0))</f>
        <v/>
      </c>
      <c r="S134" s="125" t="str">
        <f>IF(Ujian!S141="","",IF(LEFT(Ujian!S141,1)=SEKOR!S$2,1,0))</f>
        <v/>
      </c>
      <c r="T134" s="125" t="str">
        <f>IF(Ujian!T141="","",IF(LEFT(Ujian!T141,1)=SEKOR!T$2,1,0))</f>
        <v/>
      </c>
      <c r="U134" s="125" t="str">
        <f>IF(Ujian!U141="","",IF(LEFT(Ujian!U141,1)=SEKOR!U$2,1,0))</f>
        <v/>
      </c>
      <c r="V134" s="125" t="str">
        <f>IF(Ujian!V141="","",IF(LEFT(Ujian!V141,1)=SEKOR!V$2,1,0))</f>
        <v/>
      </c>
      <c r="W134" s="125" t="str">
        <f>IF(Ujian!W141="","",IF(LEFT(Ujian!W141,1)=SEKOR!W$2,1,0))</f>
        <v/>
      </c>
      <c r="X134" s="125" t="str">
        <f>IF(Ujian!X141="","",IF(LEFT(Ujian!X141,1)=SEKOR!X$2,1,0))</f>
        <v/>
      </c>
      <c r="Y134" s="125" t="str">
        <f>IF(Ujian!Y141="","",IF(LEFT(Ujian!Y141,1)=SEKOR!Y$2,1,0))</f>
        <v/>
      </c>
      <c r="Z134" s="125" t="str">
        <f>IF(Ujian!Z141="","",IF(LEFT(Ujian!Z141,1)=SEKOR!Z$2,1,0))</f>
        <v/>
      </c>
      <c r="AA134" s="125" t="str">
        <f>IF(Ujian!AA141="","",IF(LEFT(Ujian!AA141,1)=SEKOR!AA$2,1,0))</f>
        <v/>
      </c>
      <c r="AB134" s="125" t="str">
        <f>IF(Ujian!AB141="","",IF(LEFT(Ujian!AB141,1)=SEKOR!AB$2,1,0))</f>
        <v/>
      </c>
      <c r="AC134" s="125" t="str">
        <f>IF(Ujian!AC141="","",IF(LEFT(Ujian!AC141,1)=SEKOR!AC$2,1,0))</f>
        <v/>
      </c>
      <c r="AD134" s="125" t="str">
        <f>IF(Ujian!AD141="","",IF(LEFT(Ujian!AD141,1)=SEKOR!AD$2,1,0))</f>
        <v/>
      </c>
      <c r="AE134" s="125" t="str">
        <f>IF(Ujian!AE141="","",IF(LEFT(Ujian!AE141,1)=SEKOR!AE$2,1,0))</f>
        <v/>
      </c>
      <c r="AF134" s="125" t="str">
        <f>IF(Ujian!AF141="","",IF(LEFT(Ujian!AF141,1)=SEKOR!AF$2,1,0))</f>
        <v/>
      </c>
      <c r="AG134" s="125" t="str">
        <f>IF(Ujian!AG141="","",IF(LEFT(Ujian!AG141,1)=SEKOR!AG$2,1,0))</f>
        <v/>
      </c>
      <c r="AH134" s="125" t="str">
        <f>IF(Ujian!AH141="","",IF(LEFT(Ujian!AH141,1)=SEKOR!AH$2,1,0))</f>
        <v/>
      </c>
      <c r="AI134" s="125" t="str">
        <f>IF(Ujian!AI141="","",IF(LEFT(Ujian!AI141,1)=SEKOR!AI$2,1,0))</f>
        <v/>
      </c>
      <c r="AJ134" s="125" t="str">
        <f>IF(Ujian!AJ141="","",IF(LEFT(Ujian!AJ141,1)=SEKOR!AJ$2,1,0))</f>
        <v/>
      </c>
      <c r="AK134" s="125" t="str">
        <f>IF(Ujian!AK141="","",IF(LEFT(Ujian!AK141,1)=SEKOR!AK$2,1,0))</f>
        <v/>
      </c>
      <c r="AL134" s="125" t="str">
        <f>IF(Ujian!AL141="","",IF(LEFT(Ujian!AL141,1)=SEKOR!AL$2,1,0))</f>
        <v/>
      </c>
      <c r="AM134" s="125" t="str">
        <f>IF(Ujian!AM141="","",IF(LEFT(Ujian!AM141,1)=SEKOR!AM$2,1,0))</f>
        <v/>
      </c>
      <c r="AN134" s="125" t="str">
        <f>IF(Ujian!AN141="","",IF(LEFT(Ujian!AN141,1)=SEKOR!AN$2,1,0))</f>
        <v/>
      </c>
      <c r="AO134" s="125" t="str">
        <f>IF(Ujian!AO141="","",IF(LEFT(Ujian!AO141,1)=SEKOR!AO$2,1,0))</f>
        <v/>
      </c>
      <c r="AP134" s="125" t="str">
        <f>IF(Ujian!AP141="","",IF(LEFT(Ujian!AP141,1)=SEKOR!AP$2,1,0))</f>
        <v/>
      </c>
      <c r="AQ134" s="125" t="str">
        <f>IF(Ujian!AQ141="","",IF(LEFT(Ujian!AQ141,1)=SEKOR!AQ$2,1,0))</f>
        <v/>
      </c>
      <c r="AR134" s="125" t="str">
        <f>IF(Ujian!AR141="","",IF(LEFT(Ujian!AR141,1)=SEKOR!AR$2,1,0))</f>
        <v/>
      </c>
      <c r="AS134" s="125" t="str">
        <f>IF(Ujian!AS141="","",IF(LEFT(Ujian!AS141,1)=SEKOR!AS$2,1,0))</f>
        <v/>
      </c>
      <c r="AT134" s="125" t="str">
        <f>IF(Ujian!AT141="","",IF(LEFT(Ujian!AT141,1)=SEKOR!AT$2,1,0))</f>
        <v/>
      </c>
      <c r="AU134" s="125" t="str">
        <f>IF(Ujian!AU141="","",IF(LEFT(Ujian!AU141,1)=SEKOR!AU$2,1,0))</f>
        <v/>
      </c>
      <c r="AV134" s="125" t="str">
        <f>IF(Ujian!AV141="","",IF(LEFT(Ujian!AV141,1)=SEKOR!AV$2,1,0))</f>
        <v/>
      </c>
      <c r="AW134" s="125" t="str">
        <f>IF(Ujian!AW141="","",IF(LEFT(Ujian!AW141,1)=SEKOR!AW$2,1,0))</f>
        <v/>
      </c>
      <c r="AX134" s="125" t="str">
        <f>IF(Ujian!AX141="","",IF(LEFT(Ujian!AX141,1)=SEKOR!AX$2,1,0))</f>
        <v/>
      </c>
      <c r="AY134" s="125" t="str">
        <f>IF(Ujian!AY141="","",IF(LEFT(Ujian!AY141,1)=SEKOR!AY$2,1,0))</f>
        <v/>
      </c>
      <c r="AZ134" s="125" t="str">
        <f>IF(Ujian!AZ141="","",IF(LEFT(Ujian!AZ141,1)=SEKOR!AZ$2,1,0))</f>
        <v/>
      </c>
      <c r="BA134" s="125" t="str">
        <f>IF(Ujian!BA141="","",IF(LEFT(Ujian!BA141,1)=SEKOR!BA$2,1,0))</f>
        <v/>
      </c>
      <c r="BB134" s="125" t="str">
        <f>IF(Ujian!BB141="","",IF(LEFT(Ujian!BB141,1)=SEKOR!BB$2,1,0))</f>
        <v/>
      </c>
      <c r="BC134" s="125" t="str">
        <f>IF(Ujian!BC141="","",IF(LEFT(Ujian!BC141,1)=SEKOR!BC$2,1,0))</f>
        <v/>
      </c>
      <c r="BD134" s="125" t="str">
        <f>IF(Ujian!BD141="","",IF(LEFT(Ujian!BD141,1)=SEKOR!BD$2,1,0))</f>
        <v/>
      </c>
      <c r="BE134" s="125" t="str">
        <f>IF(Ujian!BE141="","",IF(LEFT(Ujian!BE141,1)=SEKOR!BE$2,1,0))</f>
        <v/>
      </c>
      <c r="BF134" s="125" t="str">
        <f>IF(Ujian!BF141="","",IF(LEFT(Ujian!BF141,1)=SEKOR!BF$2,1,0))</f>
        <v/>
      </c>
      <c r="BG134" s="125" t="str">
        <f>IF(Ujian!BG141="","",IF(LEFT(Ujian!BG141,1)=SEKOR!BG$2,1,0))</f>
        <v/>
      </c>
      <c r="BH134" s="125" t="str">
        <f>IF(Ujian!BH141="","",IF(LEFT(Ujian!BH141,1)=SEKOR!BH$2,1,0))</f>
        <v/>
      </c>
      <c r="BI134" s="125" t="str">
        <f>IF(Ujian!BI141="","",IF(LEFT(Ujian!BI141,1)=SEKOR!BI$2,1,0))</f>
        <v/>
      </c>
      <c r="BJ134" s="125" t="str">
        <f>IF(Ujian!BJ141="","",IF(LEFT(Ujian!BJ141,1)=SEKOR!BJ$2,1,0))</f>
        <v/>
      </c>
      <c r="BK134" s="125" t="str">
        <f>IF(Ujian!BK141="","",IF(LEFT(Ujian!BK141,1)=SEKOR!BK$2,1,0))</f>
        <v/>
      </c>
      <c r="BL134" s="18">
        <f t="shared" si="4"/>
        <v>0</v>
      </c>
      <c r="BM134" s="18">
        <f>COUNTIF($D134:$BK134,"")+DATA!$F$14-DATA!$F$12</f>
        <v>60</v>
      </c>
      <c r="BN134" s="17">
        <f>IF(COUNTIF($D134:$BK134,1)&gt;DATA!$F$14,DATA!$F$14,COUNTIF($D134:$BK134,1))</f>
        <v>0</v>
      </c>
      <c r="BO134" s="17">
        <f>IF((BN134+COUNTIF($D134:$BK134,0))&lt;=DATA!$F$14,COUNTIF($D134:$BK134,0),DATA!$F$14-SEKOR!BN134)</f>
        <v>0</v>
      </c>
      <c r="BP134" s="4" t="str">
        <f>IF(BL134=0,"",BN134/DATA!$F$14*100)</f>
        <v/>
      </c>
      <c r="BQ134" s="121" t="str">
        <f t="shared" si="5"/>
        <v/>
      </c>
      <c r="BR134" s="2" t="str">
        <f>IF(Praktik!$E134=0,"",Praktik!$E134)</f>
        <v/>
      </c>
      <c r="BS134" s="2" t="str">
        <f>IF(BR134="","",(BP134*DATAINFO!$O$4)+(SEKOR!BR134*DATAINFO!$O$5)/(DATAINFO!$O$4+DATAINFO!$O$5))</f>
        <v/>
      </c>
      <c r="BT134" s="2" t="str">
        <f>IF(BL134=0,"",IF(DATA!$F$18="TIDAK",ROUNDUP((IF!$L$8*SEKOR!$BP134)+IF!$L$9,0),IF($BR134="","",ROUNDUP((IF!$L$20*$BS134)+IF!$L$21,0))))</f>
        <v/>
      </c>
      <c r="BU134" s="47" t="str">
        <f>IF(BP134="","",IF(SEKOR!BP134&gt;=DATA!$J$12,1,0))</f>
        <v/>
      </c>
      <c r="BV134" s="47" t="str">
        <f>IF(BQ134="","",IF(SEKOR!BQ134&gt;=DATA!$J$12,1,0))</f>
        <v/>
      </c>
      <c r="BW134" s="47" t="str">
        <f>IF(BR134="","",IF(SEKOR!BR134&gt;=DATA!$J$12,1,0))</f>
        <v/>
      </c>
      <c r="BX134" s="47" t="str">
        <f>IF(BT134="","",IF(DATA!$J$14="",IF(SEKOR!BT134&gt;=DATA!$J$12,1,0),IF(SEKOR!BT134&gt;=DATA!$J$14,1,0)))</f>
        <v/>
      </c>
    </row>
    <row r="135" spans="1:76" x14ac:dyDescent="0.25">
      <c r="A135" s="20" t="s">
        <v>162</v>
      </c>
      <c r="B135" s="21" t="str">
        <f>IF(Ujian!B142="","",Ujian!B142)</f>
        <v/>
      </c>
      <c r="C135" s="57" t="str">
        <f>IF(Ujian!C142="","",Ujian!C142)</f>
        <v/>
      </c>
      <c r="D135" s="125" t="str">
        <f>IF(Ujian!D142="","",IF(LEFT(Ujian!D142,1)=SEKOR!D$2,1,0))</f>
        <v/>
      </c>
      <c r="E135" s="125" t="str">
        <f>IF(Ujian!E142="","",IF(LEFT(Ujian!E142,1)=SEKOR!E$2,1,0))</f>
        <v/>
      </c>
      <c r="F135" s="125" t="str">
        <f>IF(Ujian!F142="","",IF(LEFT(Ujian!F142,1)=SEKOR!F$2,1,0))</f>
        <v/>
      </c>
      <c r="G135" s="125" t="str">
        <f>IF(Ujian!G142="","",IF(LEFT(Ujian!G142,1)=SEKOR!G$2,1,0))</f>
        <v/>
      </c>
      <c r="H135" s="125" t="str">
        <f>IF(Ujian!H142="","",IF(LEFT(Ujian!H142,1)=SEKOR!H$2,1,0))</f>
        <v/>
      </c>
      <c r="I135" s="125" t="str">
        <f>IF(Ujian!I142="","",IF(LEFT(Ujian!I142,1)=SEKOR!I$2,1,0))</f>
        <v/>
      </c>
      <c r="J135" s="125" t="str">
        <f>IF(Ujian!J142="","",IF(LEFT(Ujian!J142,1)=SEKOR!J$2,1,0))</f>
        <v/>
      </c>
      <c r="K135" s="125" t="str">
        <f>IF(Ujian!K142="","",IF(LEFT(Ujian!K142,1)=SEKOR!K$2,1,0))</f>
        <v/>
      </c>
      <c r="L135" s="125" t="str">
        <f>IF(Ujian!L142="","",IF(LEFT(Ujian!L142,1)=SEKOR!L$2,1,0))</f>
        <v/>
      </c>
      <c r="M135" s="125" t="str">
        <f>IF(Ujian!M142="","",IF(LEFT(Ujian!M142,1)=SEKOR!M$2,1,0))</f>
        <v/>
      </c>
      <c r="N135" s="125" t="str">
        <f>IF(Ujian!N142="","",IF(LEFT(Ujian!N142,1)=SEKOR!N$2,1,0))</f>
        <v/>
      </c>
      <c r="O135" s="125" t="str">
        <f>IF(Ujian!O142="","",IF(LEFT(Ujian!O142,1)=SEKOR!O$2,1,0))</f>
        <v/>
      </c>
      <c r="P135" s="125" t="str">
        <f>IF(Ujian!P142="","",IF(LEFT(Ujian!P142,1)=SEKOR!P$2,1,0))</f>
        <v/>
      </c>
      <c r="Q135" s="125" t="str">
        <f>IF(Ujian!Q142="","",IF(LEFT(Ujian!Q142,1)=SEKOR!Q$2,1,0))</f>
        <v/>
      </c>
      <c r="R135" s="125" t="str">
        <f>IF(Ujian!R142="","",IF(LEFT(Ujian!R142,1)=SEKOR!R$2,1,0))</f>
        <v/>
      </c>
      <c r="S135" s="125" t="str">
        <f>IF(Ujian!S142="","",IF(LEFT(Ujian!S142,1)=SEKOR!S$2,1,0))</f>
        <v/>
      </c>
      <c r="T135" s="125" t="str">
        <f>IF(Ujian!T142="","",IF(LEFT(Ujian!T142,1)=SEKOR!T$2,1,0))</f>
        <v/>
      </c>
      <c r="U135" s="125" t="str">
        <f>IF(Ujian!U142="","",IF(LEFT(Ujian!U142,1)=SEKOR!U$2,1,0))</f>
        <v/>
      </c>
      <c r="V135" s="125" t="str">
        <f>IF(Ujian!V142="","",IF(LEFT(Ujian!V142,1)=SEKOR!V$2,1,0))</f>
        <v/>
      </c>
      <c r="W135" s="125" t="str">
        <f>IF(Ujian!W142="","",IF(LEFT(Ujian!W142,1)=SEKOR!W$2,1,0))</f>
        <v/>
      </c>
      <c r="X135" s="125" t="str">
        <f>IF(Ujian!X142="","",IF(LEFT(Ujian!X142,1)=SEKOR!X$2,1,0))</f>
        <v/>
      </c>
      <c r="Y135" s="125" t="str">
        <f>IF(Ujian!Y142="","",IF(LEFT(Ujian!Y142,1)=SEKOR!Y$2,1,0))</f>
        <v/>
      </c>
      <c r="Z135" s="125" t="str">
        <f>IF(Ujian!Z142="","",IF(LEFT(Ujian!Z142,1)=SEKOR!Z$2,1,0))</f>
        <v/>
      </c>
      <c r="AA135" s="125" t="str">
        <f>IF(Ujian!AA142="","",IF(LEFT(Ujian!AA142,1)=SEKOR!AA$2,1,0))</f>
        <v/>
      </c>
      <c r="AB135" s="125" t="str">
        <f>IF(Ujian!AB142="","",IF(LEFT(Ujian!AB142,1)=SEKOR!AB$2,1,0))</f>
        <v/>
      </c>
      <c r="AC135" s="125" t="str">
        <f>IF(Ujian!AC142="","",IF(LEFT(Ujian!AC142,1)=SEKOR!AC$2,1,0))</f>
        <v/>
      </c>
      <c r="AD135" s="125" t="str">
        <f>IF(Ujian!AD142="","",IF(LEFT(Ujian!AD142,1)=SEKOR!AD$2,1,0))</f>
        <v/>
      </c>
      <c r="AE135" s="125" t="str">
        <f>IF(Ujian!AE142="","",IF(LEFT(Ujian!AE142,1)=SEKOR!AE$2,1,0))</f>
        <v/>
      </c>
      <c r="AF135" s="125" t="str">
        <f>IF(Ujian!AF142="","",IF(LEFT(Ujian!AF142,1)=SEKOR!AF$2,1,0))</f>
        <v/>
      </c>
      <c r="AG135" s="125" t="str">
        <f>IF(Ujian!AG142="","",IF(LEFT(Ujian!AG142,1)=SEKOR!AG$2,1,0))</f>
        <v/>
      </c>
      <c r="AH135" s="125" t="str">
        <f>IF(Ujian!AH142="","",IF(LEFT(Ujian!AH142,1)=SEKOR!AH$2,1,0))</f>
        <v/>
      </c>
      <c r="AI135" s="125" t="str">
        <f>IF(Ujian!AI142="","",IF(LEFT(Ujian!AI142,1)=SEKOR!AI$2,1,0))</f>
        <v/>
      </c>
      <c r="AJ135" s="125" t="str">
        <f>IF(Ujian!AJ142="","",IF(LEFT(Ujian!AJ142,1)=SEKOR!AJ$2,1,0))</f>
        <v/>
      </c>
      <c r="AK135" s="125" t="str">
        <f>IF(Ujian!AK142="","",IF(LEFT(Ujian!AK142,1)=SEKOR!AK$2,1,0))</f>
        <v/>
      </c>
      <c r="AL135" s="125" t="str">
        <f>IF(Ujian!AL142="","",IF(LEFT(Ujian!AL142,1)=SEKOR!AL$2,1,0))</f>
        <v/>
      </c>
      <c r="AM135" s="125" t="str">
        <f>IF(Ujian!AM142="","",IF(LEFT(Ujian!AM142,1)=SEKOR!AM$2,1,0))</f>
        <v/>
      </c>
      <c r="AN135" s="125" t="str">
        <f>IF(Ujian!AN142="","",IF(LEFT(Ujian!AN142,1)=SEKOR!AN$2,1,0))</f>
        <v/>
      </c>
      <c r="AO135" s="125" t="str">
        <f>IF(Ujian!AO142="","",IF(LEFT(Ujian!AO142,1)=SEKOR!AO$2,1,0))</f>
        <v/>
      </c>
      <c r="AP135" s="125" t="str">
        <f>IF(Ujian!AP142="","",IF(LEFT(Ujian!AP142,1)=SEKOR!AP$2,1,0))</f>
        <v/>
      </c>
      <c r="AQ135" s="125" t="str">
        <f>IF(Ujian!AQ142="","",IF(LEFT(Ujian!AQ142,1)=SEKOR!AQ$2,1,0))</f>
        <v/>
      </c>
      <c r="AR135" s="125" t="str">
        <f>IF(Ujian!AR142="","",IF(LEFT(Ujian!AR142,1)=SEKOR!AR$2,1,0))</f>
        <v/>
      </c>
      <c r="AS135" s="125" t="str">
        <f>IF(Ujian!AS142="","",IF(LEFT(Ujian!AS142,1)=SEKOR!AS$2,1,0))</f>
        <v/>
      </c>
      <c r="AT135" s="125" t="str">
        <f>IF(Ujian!AT142="","",IF(LEFT(Ujian!AT142,1)=SEKOR!AT$2,1,0))</f>
        <v/>
      </c>
      <c r="AU135" s="125" t="str">
        <f>IF(Ujian!AU142="","",IF(LEFT(Ujian!AU142,1)=SEKOR!AU$2,1,0))</f>
        <v/>
      </c>
      <c r="AV135" s="125" t="str">
        <f>IF(Ujian!AV142="","",IF(LEFT(Ujian!AV142,1)=SEKOR!AV$2,1,0))</f>
        <v/>
      </c>
      <c r="AW135" s="125" t="str">
        <f>IF(Ujian!AW142="","",IF(LEFT(Ujian!AW142,1)=SEKOR!AW$2,1,0))</f>
        <v/>
      </c>
      <c r="AX135" s="125" t="str">
        <f>IF(Ujian!AX142="","",IF(LEFT(Ujian!AX142,1)=SEKOR!AX$2,1,0))</f>
        <v/>
      </c>
      <c r="AY135" s="125" t="str">
        <f>IF(Ujian!AY142="","",IF(LEFT(Ujian!AY142,1)=SEKOR!AY$2,1,0))</f>
        <v/>
      </c>
      <c r="AZ135" s="125" t="str">
        <f>IF(Ujian!AZ142="","",IF(LEFT(Ujian!AZ142,1)=SEKOR!AZ$2,1,0))</f>
        <v/>
      </c>
      <c r="BA135" s="125" t="str">
        <f>IF(Ujian!BA142="","",IF(LEFT(Ujian!BA142,1)=SEKOR!BA$2,1,0))</f>
        <v/>
      </c>
      <c r="BB135" s="125" t="str">
        <f>IF(Ujian!BB142="","",IF(LEFT(Ujian!BB142,1)=SEKOR!BB$2,1,0))</f>
        <v/>
      </c>
      <c r="BC135" s="125" t="str">
        <f>IF(Ujian!BC142="","",IF(LEFT(Ujian!BC142,1)=SEKOR!BC$2,1,0))</f>
        <v/>
      </c>
      <c r="BD135" s="125" t="str">
        <f>IF(Ujian!BD142="","",IF(LEFT(Ujian!BD142,1)=SEKOR!BD$2,1,0))</f>
        <v/>
      </c>
      <c r="BE135" s="125" t="str">
        <f>IF(Ujian!BE142="","",IF(LEFT(Ujian!BE142,1)=SEKOR!BE$2,1,0))</f>
        <v/>
      </c>
      <c r="BF135" s="125" t="str">
        <f>IF(Ujian!BF142="","",IF(LEFT(Ujian!BF142,1)=SEKOR!BF$2,1,0))</f>
        <v/>
      </c>
      <c r="BG135" s="125" t="str">
        <f>IF(Ujian!BG142="","",IF(LEFT(Ujian!BG142,1)=SEKOR!BG$2,1,0))</f>
        <v/>
      </c>
      <c r="BH135" s="125" t="str">
        <f>IF(Ujian!BH142="","",IF(LEFT(Ujian!BH142,1)=SEKOR!BH$2,1,0))</f>
        <v/>
      </c>
      <c r="BI135" s="125" t="str">
        <f>IF(Ujian!BI142="","",IF(LEFT(Ujian!BI142,1)=SEKOR!BI$2,1,0))</f>
        <v/>
      </c>
      <c r="BJ135" s="125" t="str">
        <f>IF(Ujian!BJ142="","",IF(LEFT(Ujian!BJ142,1)=SEKOR!BJ$2,1,0))</f>
        <v/>
      </c>
      <c r="BK135" s="125" t="str">
        <f>IF(Ujian!BK142="","",IF(LEFT(Ujian!BK142,1)=SEKOR!BK$2,1,0))</f>
        <v/>
      </c>
      <c r="BL135" s="18">
        <f t="shared" si="4"/>
        <v>0</v>
      </c>
      <c r="BM135" s="18">
        <f>COUNTIF($D135:$BK135,"")+DATA!$F$14-DATA!$F$12</f>
        <v>60</v>
      </c>
      <c r="BN135" s="17">
        <f>IF(COUNTIF($D135:$BK135,1)&gt;DATA!$F$14,DATA!$F$14,COUNTIF($D135:$BK135,1))</f>
        <v>0</v>
      </c>
      <c r="BO135" s="17">
        <f>IF((BN135+COUNTIF($D135:$BK135,0))&lt;=DATA!$F$14,COUNTIF($D135:$BK135,0),DATA!$F$14-SEKOR!BN135)</f>
        <v>0</v>
      </c>
      <c r="BP135" s="4" t="str">
        <f>IF(BL135=0,"",BN135/DATA!$F$14*100)</f>
        <v/>
      </c>
      <c r="BQ135" s="121" t="str">
        <f t="shared" si="5"/>
        <v/>
      </c>
      <c r="BR135" s="2" t="str">
        <f>IF(Praktik!$E135=0,"",Praktik!$E135)</f>
        <v/>
      </c>
      <c r="BS135" s="2" t="str">
        <f>IF(BR135="","",(BP135*DATAINFO!$O$4)+(SEKOR!BR135*DATAINFO!$O$5)/(DATAINFO!$O$4+DATAINFO!$O$5))</f>
        <v/>
      </c>
      <c r="BT135" s="2" t="str">
        <f>IF(BL135=0,"",IF(DATA!$F$18="TIDAK",ROUNDUP((IF!$L$8*SEKOR!$BP135)+IF!$L$9,0),IF($BR135="","",ROUNDUP((IF!$L$20*$BS135)+IF!$L$21,0))))</f>
        <v/>
      </c>
      <c r="BU135" s="47" t="str">
        <f>IF(BP135="","",IF(SEKOR!BP135&gt;=DATA!$J$12,1,0))</f>
        <v/>
      </c>
      <c r="BV135" s="47" t="str">
        <f>IF(BQ135="","",IF(SEKOR!BQ135&gt;=DATA!$J$12,1,0))</f>
        <v/>
      </c>
      <c r="BW135" s="47" t="str">
        <f>IF(BR135="","",IF(SEKOR!BR135&gt;=DATA!$J$12,1,0))</f>
        <v/>
      </c>
      <c r="BX135" s="47" t="str">
        <f>IF(BT135="","",IF(DATA!$J$14="",IF(SEKOR!BT135&gt;=DATA!$J$12,1,0),IF(SEKOR!BT135&gt;=DATA!$J$14,1,0)))</f>
        <v/>
      </c>
    </row>
    <row r="136" spans="1:76" x14ac:dyDescent="0.25">
      <c r="A136" s="20" t="s">
        <v>163</v>
      </c>
      <c r="B136" s="21" t="str">
        <f>IF(Ujian!B143="","",Ujian!B143)</f>
        <v/>
      </c>
      <c r="C136" s="57" t="str">
        <f>IF(Ujian!C143="","",Ujian!C143)</f>
        <v/>
      </c>
      <c r="D136" s="125" t="str">
        <f>IF(Ujian!D143="","",IF(LEFT(Ujian!D143,1)=SEKOR!D$2,1,0))</f>
        <v/>
      </c>
      <c r="E136" s="125" t="str">
        <f>IF(Ujian!E143="","",IF(LEFT(Ujian!E143,1)=SEKOR!E$2,1,0))</f>
        <v/>
      </c>
      <c r="F136" s="125" t="str">
        <f>IF(Ujian!F143="","",IF(LEFT(Ujian!F143,1)=SEKOR!F$2,1,0))</f>
        <v/>
      </c>
      <c r="G136" s="125" t="str">
        <f>IF(Ujian!G143="","",IF(LEFT(Ujian!G143,1)=SEKOR!G$2,1,0))</f>
        <v/>
      </c>
      <c r="H136" s="125" t="str">
        <f>IF(Ujian!H143="","",IF(LEFT(Ujian!H143,1)=SEKOR!H$2,1,0))</f>
        <v/>
      </c>
      <c r="I136" s="125" t="str">
        <f>IF(Ujian!I143="","",IF(LEFT(Ujian!I143,1)=SEKOR!I$2,1,0))</f>
        <v/>
      </c>
      <c r="J136" s="125" t="str">
        <f>IF(Ujian!J143="","",IF(LEFT(Ujian!J143,1)=SEKOR!J$2,1,0))</f>
        <v/>
      </c>
      <c r="K136" s="125" t="str">
        <f>IF(Ujian!K143="","",IF(LEFT(Ujian!K143,1)=SEKOR!K$2,1,0))</f>
        <v/>
      </c>
      <c r="L136" s="125" t="str">
        <f>IF(Ujian!L143="","",IF(LEFT(Ujian!L143,1)=SEKOR!L$2,1,0))</f>
        <v/>
      </c>
      <c r="M136" s="125" t="str">
        <f>IF(Ujian!M143="","",IF(LEFT(Ujian!M143,1)=SEKOR!M$2,1,0))</f>
        <v/>
      </c>
      <c r="N136" s="125" t="str">
        <f>IF(Ujian!N143="","",IF(LEFT(Ujian!N143,1)=SEKOR!N$2,1,0))</f>
        <v/>
      </c>
      <c r="O136" s="125" t="str">
        <f>IF(Ujian!O143="","",IF(LEFT(Ujian!O143,1)=SEKOR!O$2,1,0))</f>
        <v/>
      </c>
      <c r="P136" s="125" t="str">
        <f>IF(Ujian!P143="","",IF(LEFT(Ujian!P143,1)=SEKOR!P$2,1,0))</f>
        <v/>
      </c>
      <c r="Q136" s="125" t="str">
        <f>IF(Ujian!Q143="","",IF(LEFT(Ujian!Q143,1)=SEKOR!Q$2,1,0))</f>
        <v/>
      </c>
      <c r="R136" s="125" t="str">
        <f>IF(Ujian!R143="","",IF(LEFT(Ujian!R143,1)=SEKOR!R$2,1,0))</f>
        <v/>
      </c>
      <c r="S136" s="125" t="str">
        <f>IF(Ujian!S143="","",IF(LEFT(Ujian!S143,1)=SEKOR!S$2,1,0))</f>
        <v/>
      </c>
      <c r="T136" s="125" t="str">
        <f>IF(Ujian!T143="","",IF(LEFT(Ujian!T143,1)=SEKOR!T$2,1,0))</f>
        <v/>
      </c>
      <c r="U136" s="125" t="str">
        <f>IF(Ujian!U143="","",IF(LEFT(Ujian!U143,1)=SEKOR!U$2,1,0))</f>
        <v/>
      </c>
      <c r="V136" s="125" t="str">
        <f>IF(Ujian!V143="","",IF(LEFT(Ujian!V143,1)=SEKOR!V$2,1,0))</f>
        <v/>
      </c>
      <c r="W136" s="125" t="str">
        <f>IF(Ujian!W143="","",IF(LEFT(Ujian!W143,1)=SEKOR!W$2,1,0))</f>
        <v/>
      </c>
      <c r="X136" s="125" t="str">
        <f>IF(Ujian!X143="","",IF(LEFT(Ujian!X143,1)=SEKOR!X$2,1,0))</f>
        <v/>
      </c>
      <c r="Y136" s="125" t="str">
        <f>IF(Ujian!Y143="","",IF(LEFT(Ujian!Y143,1)=SEKOR!Y$2,1,0))</f>
        <v/>
      </c>
      <c r="Z136" s="125" t="str">
        <f>IF(Ujian!Z143="","",IF(LEFT(Ujian!Z143,1)=SEKOR!Z$2,1,0))</f>
        <v/>
      </c>
      <c r="AA136" s="125" t="str">
        <f>IF(Ujian!AA143="","",IF(LEFT(Ujian!AA143,1)=SEKOR!AA$2,1,0))</f>
        <v/>
      </c>
      <c r="AB136" s="125" t="str">
        <f>IF(Ujian!AB143="","",IF(LEFT(Ujian!AB143,1)=SEKOR!AB$2,1,0))</f>
        <v/>
      </c>
      <c r="AC136" s="125" t="str">
        <f>IF(Ujian!AC143="","",IF(LEFT(Ujian!AC143,1)=SEKOR!AC$2,1,0))</f>
        <v/>
      </c>
      <c r="AD136" s="125" t="str">
        <f>IF(Ujian!AD143="","",IF(LEFT(Ujian!AD143,1)=SEKOR!AD$2,1,0))</f>
        <v/>
      </c>
      <c r="AE136" s="125" t="str">
        <f>IF(Ujian!AE143="","",IF(LEFT(Ujian!AE143,1)=SEKOR!AE$2,1,0))</f>
        <v/>
      </c>
      <c r="AF136" s="125" t="str">
        <f>IF(Ujian!AF143="","",IF(LEFT(Ujian!AF143,1)=SEKOR!AF$2,1,0))</f>
        <v/>
      </c>
      <c r="AG136" s="125" t="str">
        <f>IF(Ujian!AG143="","",IF(LEFT(Ujian!AG143,1)=SEKOR!AG$2,1,0))</f>
        <v/>
      </c>
      <c r="AH136" s="125" t="str">
        <f>IF(Ujian!AH143="","",IF(LEFT(Ujian!AH143,1)=SEKOR!AH$2,1,0))</f>
        <v/>
      </c>
      <c r="AI136" s="125" t="str">
        <f>IF(Ujian!AI143="","",IF(LEFT(Ujian!AI143,1)=SEKOR!AI$2,1,0))</f>
        <v/>
      </c>
      <c r="AJ136" s="125" t="str">
        <f>IF(Ujian!AJ143="","",IF(LEFT(Ujian!AJ143,1)=SEKOR!AJ$2,1,0))</f>
        <v/>
      </c>
      <c r="AK136" s="125" t="str">
        <f>IF(Ujian!AK143="","",IF(LEFT(Ujian!AK143,1)=SEKOR!AK$2,1,0))</f>
        <v/>
      </c>
      <c r="AL136" s="125" t="str">
        <f>IF(Ujian!AL143="","",IF(LEFT(Ujian!AL143,1)=SEKOR!AL$2,1,0))</f>
        <v/>
      </c>
      <c r="AM136" s="125" t="str">
        <f>IF(Ujian!AM143="","",IF(LEFT(Ujian!AM143,1)=SEKOR!AM$2,1,0))</f>
        <v/>
      </c>
      <c r="AN136" s="125" t="str">
        <f>IF(Ujian!AN143="","",IF(LEFT(Ujian!AN143,1)=SEKOR!AN$2,1,0))</f>
        <v/>
      </c>
      <c r="AO136" s="125" t="str">
        <f>IF(Ujian!AO143="","",IF(LEFT(Ujian!AO143,1)=SEKOR!AO$2,1,0))</f>
        <v/>
      </c>
      <c r="AP136" s="125" t="str">
        <f>IF(Ujian!AP143="","",IF(LEFT(Ujian!AP143,1)=SEKOR!AP$2,1,0))</f>
        <v/>
      </c>
      <c r="AQ136" s="125" t="str">
        <f>IF(Ujian!AQ143="","",IF(LEFT(Ujian!AQ143,1)=SEKOR!AQ$2,1,0))</f>
        <v/>
      </c>
      <c r="AR136" s="125" t="str">
        <f>IF(Ujian!AR143="","",IF(LEFT(Ujian!AR143,1)=SEKOR!AR$2,1,0))</f>
        <v/>
      </c>
      <c r="AS136" s="125" t="str">
        <f>IF(Ujian!AS143="","",IF(LEFT(Ujian!AS143,1)=SEKOR!AS$2,1,0))</f>
        <v/>
      </c>
      <c r="AT136" s="125" t="str">
        <f>IF(Ujian!AT143="","",IF(LEFT(Ujian!AT143,1)=SEKOR!AT$2,1,0))</f>
        <v/>
      </c>
      <c r="AU136" s="125" t="str">
        <f>IF(Ujian!AU143="","",IF(LEFT(Ujian!AU143,1)=SEKOR!AU$2,1,0))</f>
        <v/>
      </c>
      <c r="AV136" s="125" t="str">
        <f>IF(Ujian!AV143="","",IF(LEFT(Ujian!AV143,1)=SEKOR!AV$2,1,0))</f>
        <v/>
      </c>
      <c r="AW136" s="125" t="str">
        <f>IF(Ujian!AW143="","",IF(LEFT(Ujian!AW143,1)=SEKOR!AW$2,1,0))</f>
        <v/>
      </c>
      <c r="AX136" s="125" t="str">
        <f>IF(Ujian!AX143="","",IF(LEFT(Ujian!AX143,1)=SEKOR!AX$2,1,0))</f>
        <v/>
      </c>
      <c r="AY136" s="125" t="str">
        <f>IF(Ujian!AY143="","",IF(LEFT(Ujian!AY143,1)=SEKOR!AY$2,1,0))</f>
        <v/>
      </c>
      <c r="AZ136" s="125" t="str">
        <f>IF(Ujian!AZ143="","",IF(LEFT(Ujian!AZ143,1)=SEKOR!AZ$2,1,0))</f>
        <v/>
      </c>
      <c r="BA136" s="125" t="str">
        <f>IF(Ujian!BA143="","",IF(LEFT(Ujian!BA143,1)=SEKOR!BA$2,1,0))</f>
        <v/>
      </c>
      <c r="BB136" s="125" t="str">
        <f>IF(Ujian!BB143="","",IF(LEFT(Ujian!BB143,1)=SEKOR!BB$2,1,0))</f>
        <v/>
      </c>
      <c r="BC136" s="125" t="str">
        <f>IF(Ujian!BC143="","",IF(LEFT(Ujian!BC143,1)=SEKOR!BC$2,1,0))</f>
        <v/>
      </c>
      <c r="BD136" s="125" t="str">
        <f>IF(Ujian!BD143="","",IF(LEFT(Ujian!BD143,1)=SEKOR!BD$2,1,0))</f>
        <v/>
      </c>
      <c r="BE136" s="125" t="str">
        <f>IF(Ujian!BE143="","",IF(LEFT(Ujian!BE143,1)=SEKOR!BE$2,1,0))</f>
        <v/>
      </c>
      <c r="BF136" s="125" t="str">
        <f>IF(Ujian!BF143="","",IF(LEFT(Ujian!BF143,1)=SEKOR!BF$2,1,0))</f>
        <v/>
      </c>
      <c r="BG136" s="125" t="str">
        <f>IF(Ujian!BG143="","",IF(LEFT(Ujian!BG143,1)=SEKOR!BG$2,1,0))</f>
        <v/>
      </c>
      <c r="BH136" s="125" t="str">
        <f>IF(Ujian!BH143="","",IF(LEFT(Ujian!BH143,1)=SEKOR!BH$2,1,0))</f>
        <v/>
      </c>
      <c r="BI136" s="125" t="str">
        <f>IF(Ujian!BI143="","",IF(LEFT(Ujian!BI143,1)=SEKOR!BI$2,1,0))</f>
        <v/>
      </c>
      <c r="BJ136" s="125" t="str">
        <f>IF(Ujian!BJ143="","",IF(LEFT(Ujian!BJ143,1)=SEKOR!BJ$2,1,0))</f>
        <v/>
      </c>
      <c r="BK136" s="125" t="str">
        <f>IF(Ujian!BK143="","",IF(LEFT(Ujian!BK143,1)=SEKOR!BK$2,1,0))</f>
        <v/>
      </c>
      <c r="BL136" s="18">
        <f t="shared" si="4"/>
        <v>0</v>
      </c>
      <c r="BM136" s="18">
        <f>COUNTIF($D136:$BK136,"")+DATA!$F$14-DATA!$F$12</f>
        <v>60</v>
      </c>
      <c r="BN136" s="17">
        <f>IF(COUNTIF($D136:$BK136,1)&gt;DATA!$F$14,DATA!$F$14,COUNTIF($D136:$BK136,1))</f>
        <v>0</v>
      </c>
      <c r="BO136" s="17">
        <f>IF((BN136+COUNTIF($D136:$BK136,0))&lt;=DATA!$F$14,COUNTIF($D136:$BK136,0),DATA!$F$14-SEKOR!BN136)</f>
        <v>0</v>
      </c>
      <c r="BP136" s="4" t="str">
        <f>IF(BL136=0,"",BN136/DATA!$F$14*100)</f>
        <v/>
      </c>
      <c r="BQ136" s="121" t="str">
        <f t="shared" si="5"/>
        <v/>
      </c>
      <c r="BR136" s="2" t="str">
        <f>IF(Praktik!$E136=0,"",Praktik!$E136)</f>
        <v/>
      </c>
      <c r="BS136" s="2" t="str">
        <f>IF(BR136="","",(BP136*DATAINFO!$O$4)+(SEKOR!BR136*DATAINFO!$O$5)/(DATAINFO!$O$4+DATAINFO!$O$5))</f>
        <v/>
      </c>
      <c r="BT136" s="2" t="str">
        <f>IF(BL136=0,"",IF(DATA!$F$18="TIDAK",ROUNDUP((IF!$L$8*SEKOR!$BP136)+IF!$L$9,0),IF($BR136="","",ROUNDUP((IF!$L$20*$BS136)+IF!$L$21,0))))</f>
        <v/>
      </c>
      <c r="BU136" s="47" t="str">
        <f>IF(BP136="","",IF(SEKOR!BP136&gt;=DATA!$J$12,1,0))</f>
        <v/>
      </c>
      <c r="BV136" s="47" t="str">
        <f>IF(BQ136="","",IF(SEKOR!BQ136&gt;=DATA!$J$12,1,0))</f>
        <v/>
      </c>
      <c r="BW136" s="47" t="str">
        <f>IF(BR136="","",IF(SEKOR!BR136&gt;=DATA!$J$12,1,0))</f>
        <v/>
      </c>
      <c r="BX136" s="47" t="str">
        <f>IF(BT136="","",IF(DATA!$J$14="",IF(SEKOR!BT136&gt;=DATA!$J$12,1,0),IF(SEKOR!BT136&gt;=DATA!$J$14,1,0)))</f>
        <v/>
      </c>
    </row>
    <row r="137" spans="1:76" x14ac:dyDescent="0.25">
      <c r="A137" s="20" t="s">
        <v>164</v>
      </c>
      <c r="B137" s="21" t="str">
        <f>IF(Ujian!B144="","",Ujian!B144)</f>
        <v/>
      </c>
      <c r="C137" s="57" t="str">
        <f>IF(Ujian!C144="","",Ujian!C144)</f>
        <v/>
      </c>
      <c r="D137" s="125" t="str">
        <f>IF(Ujian!D144="","",IF(LEFT(Ujian!D144,1)=SEKOR!D$2,1,0))</f>
        <v/>
      </c>
      <c r="E137" s="125" t="str">
        <f>IF(Ujian!E144="","",IF(LEFT(Ujian!E144,1)=SEKOR!E$2,1,0))</f>
        <v/>
      </c>
      <c r="F137" s="125" t="str">
        <f>IF(Ujian!F144="","",IF(LEFT(Ujian!F144,1)=SEKOR!F$2,1,0))</f>
        <v/>
      </c>
      <c r="G137" s="125" t="str">
        <f>IF(Ujian!G144="","",IF(LEFT(Ujian!G144,1)=SEKOR!G$2,1,0))</f>
        <v/>
      </c>
      <c r="H137" s="125" t="str">
        <f>IF(Ujian!H144="","",IF(LEFT(Ujian!H144,1)=SEKOR!H$2,1,0))</f>
        <v/>
      </c>
      <c r="I137" s="125" t="str">
        <f>IF(Ujian!I144="","",IF(LEFT(Ujian!I144,1)=SEKOR!I$2,1,0))</f>
        <v/>
      </c>
      <c r="J137" s="125" t="str">
        <f>IF(Ujian!J144="","",IF(LEFT(Ujian!J144,1)=SEKOR!J$2,1,0))</f>
        <v/>
      </c>
      <c r="K137" s="125" t="str">
        <f>IF(Ujian!K144="","",IF(LEFT(Ujian!K144,1)=SEKOR!K$2,1,0))</f>
        <v/>
      </c>
      <c r="L137" s="125" t="str">
        <f>IF(Ujian!L144="","",IF(LEFT(Ujian!L144,1)=SEKOR!L$2,1,0))</f>
        <v/>
      </c>
      <c r="M137" s="125" t="str">
        <f>IF(Ujian!M144="","",IF(LEFT(Ujian!M144,1)=SEKOR!M$2,1,0))</f>
        <v/>
      </c>
      <c r="N137" s="125" t="str">
        <f>IF(Ujian!N144="","",IF(LEFT(Ujian!N144,1)=SEKOR!N$2,1,0))</f>
        <v/>
      </c>
      <c r="O137" s="125" t="str">
        <f>IF(Ujian!O144="","",IF(LEFT(Ujian!O144,1)=SEKOR!O$2,1,0))</f>
        <v/>
      </c>
      <c r="P137" s="125" t="str">
        <f>IF(Ujian!P144="","",IF(LEFT(Ujian!P144,1)=SEKOR!P$2,1,0))</f>
        <v/>
      </c>
      <c r="Q137" s="125" t="str">
        <f>IF(Ujian!Q144="","",IF(LEFT(Ujian!Q144,1)=SEKOR!Q$2,1,0))</f>
        <v/>
      </c>
      <c r="R137" s="125" t="str">
        <f>IF(Ujian!R144="","",IF(LEFT(Ujian!R144,1)=SEKOR!R$2,1,0))</f>
        <v/>
      </c>
      <c r="S137" s="125" t="str">
        <f>IF(Ujian!S144="","",IF(LEFT(Ujian!S144,1)=SEKOR!S$2,1,0))</f>
        <v/>
      </c>
      <c r="T137" s="125" t="str">
        <f>IF(Ujian!T144="","",IF(LEFT(Ujian!T144,1)=SEKOR!T$2,1,0))</f>
        <v/>
      </c>
      <c r="U137" s="125" t="str">
        <f>IF(Ujian!U144="","",IF(LEFT(Ujian!U144,1)=SEKOR!U$2,1,0))</f>
        <v/>
      </c>
      <c r="V137" s="125" t="str">
        <f>IF(Ujian!V144="","",IF(LEFT(Ujian!V144,1)=SEKOR!V$2,1,0))</f>
        <v/>
      </c>
      <c r="W137" s="125" t="str">
        <f>IF(Ujian!W144="","",IF(LEFT(Ujian!W144,1)=SEKOR!W$2,1,0))</f>
        <v/>
      </c>
      <c r="X137" s="125" t="str">
        <f>IF(Ujian!X144="","",IF(LEFT(Ujian!X144,1)=SEKOR!X$2,1,0))</f>
        <v/>
      </c>
      <c r="Y137" s="125" t="str">
        <f>IF(Ujian!Y144="","",IF(LEFT(Ujian!Y144,1)=SEKOR!Y$2,1,0))</f>
        <v/>
      </c>
      <c r="Z137" s="125" t="str">
        <f>IF(Ujian!Z144="","",IF(LEFT(Ujian!Z144,1)=SEKOR!Z$2,1,0))</f>
        <v/>
      </c>
      <c r="AA137" s="125" t="str">
        <f>IF(Ujian!AA144="","",IF(LEFT(Ujian!AA144,1)=SEKOR!AA$2,1,0))</f>
        <v/>
      </c>
      <c r="AB137" s="125" t="str">
        <f>IF(Ujian!AB144="","",IF(LEFT(Ujian!AB144,1)=SEKOR!AB$2,1,0))</f>
        <v/>
      </c>
      <c r="AC137" s="125" t="str">
        <f>IF(Ujian!AC144="","",IF(LEFT(Ujian!AC144,1)=SEKOR!AC$2,1,0))</f>
        <v/>
      </c>
      <c r="AD137" s="125" t="str">
        <f>IF(Ujian!AD144="","",IF(LEFT(Ujian!AD144,1)=SEKOR!AD$2,1,0))</f>
        <v/>
      </c>
      <c r="AE137" s="125" t="str">
        <f>IF(Ujian!AE144="","",IF(LEFT(Ujian!AE144,1)=SEKOR!AE$2,1,0))</f>
        <v/>
      </c>
      <c r="AF137" s="125" t="str">
        <f>IF(Ujian!AF144="","",IF(LEFT(Ujian!AF144,1)=SEKOR!AF$2,1,0))</f>
        <v/>
      </c>
      <c r="AG137" s="125" t="str">
        <f>IF(Ujian!AG144="","",IF(LEFT(Ujian!AG144,1)=SEKOR!AG$2,1,0))</f>
        <v/>
      </c>
      <c r="AH137" s="125" t="str">
        <f>IF(Ujian!AH144="","",IF(LEFT(Ujian!AH144,1)=SEKOR!AH$2,1,0))</f>
        <v/>
      </c>
      <c r="AI137" s="125" t="str">
        <f>IF(Ujian!AI144="","",IF(LEFT(Ujian!AI144,1)=SEKOR!AI$2,1,0))</f>
        <v/>
      </c>
      <c r="AJ137" s="125" t="str">
        <f>IF(Ujian!AJ144="","",IF(LEFT(Ujian!AJ144,1)=SEKOR!AJ$2,1,0))</f>
        <v/>
      </c>
      <c r="AK137" s="125" t="str">
        <f>IF(Ujian!AK144="","",IF(LEFT(Ujian!AK144,1)=SEKOR!AK$2,1,0))</f>
        <v/>
      </c>
      <c r="AL137" s="125" t="str">
        <f>IF(Ujian!AL144="","",IF(LEFT(Ujian!AL144,1)=SEKOR!AL$2,1,0))</f>
        <v/>
      </c>
      <c r="AM137" s="125" t="str">
        <f>IF(Ujian!AM144="","",IF(LEFT(Ujian!AM144,1)=SEKOR!AM$2,1,0))</f>
        <v/>
      </c>
      <c r="AN137" s="125" t="str">
        <f>IF(Ujian!AN144="","",IF(LEFT(Ujian!AN144,1)=SEKOR!AN$2,1,0))</f>
        <v/>
      </c>
      <c r="AO137" s="125" t="str">
        <f>IF(Ujian!AO144="","",IF(LEFT(Ujian!AO144,1)=SEKOR!AO$2,1,0))</f>
        <v/>
      </c>
      <c r="AP137" s="125" t="str">
        <f>IF(Ujian!AP144="","",IF(LEFT(Ujian!AP144,1)=SEKOR!AP$2,1,0))</f>
        <v/>
      </c>
      <c r="AQ137" s="125" t="str">
        <f>IF(Ujian!AQ144="","",IF(LEFT(Ujian!AQ144,1)=SEKOR!AQ$2,1,0))</f>
        <v/>
      </c>
      <c r="AR137" s="125" t="str">
        <f>IF(Ujian!AR144="","",IF(LEFT(Ujian!AR144,1)=SEKOR!AR$2,1,0))</f>
        <v/>
      </c>
      <c r="AS137" s="125" t="str">
        <f>IF(Ujian!AS144="","",IF(LEFT(Ujian!AS144,1)=SEKOR!AS$2,1,0))</f>
        <v/>
      </c>
      <c r="AT137" s="125" t="str">
        <f>IF(Ujian!AT144="","",IF(LEFT(Ujian!AT144,1)=SEKOR!AT$2,1,0))</f>
        <v/>
      </c>
      <c r="AU137" s="125" t="str">
        <f>IF(Ujian!AU144="","",IF(LEFT(Ujian!AU144,1)=SEKOR!AU$2,1,0))</f>
        <v/>
      </c>
      <c r="AV137" s="125" t="str">
        <f>IF(Ujian!AV144="","",IF(LEFT(Ujian!AV144,1)=SEKOR!AV$2,1,0))</f>
        <v/>
      </c>
      <c r="AW137" s="125" t="str">
        <f>IF(Ujian!AW144="","",IF(LEFT(Ujian!AW144,1)=SEKOR!AW$2,1,0))</f>
        <v/>
      </c>
      <c r="AX137" s="125" t="str">
        <f>IF(Ujian!AX144="","",IF(LEFT(Ujian!AX144,1)=SEKOR!AX$2,1,0))</f>
        <v/>
      </c>
      <c r="AY137" s="125" t="str">
        <f>IF(Ujian!AY144="","",IF(LEFT(Ujian!AY144,1)=SEKOR!AY$2,1,0))</f>
        <v/>
      </c>
      <c r="AZ137" s="125" t="str">
        <f>IF(Ujian!AZ144="","",IF(LEFT(Ujian!AZ144,1)=SEKOR!AZ$2,1,0))</f>
        <v/>
      </c>
      <c r="BA137" s="125" t="str">
        <f>IF(Ujian!BA144="","",IF(LEFT(Ujian!BA144,1)=SEKOR!BA$2,1,0))</f>
        <v/>
      </c>
      <c r="BB137" s="125" t="str">
        <f>IF(Ujian!BB144="","",IF(LEFT(Ujian!BB144,1)=SEKOR!BB$2,1,0))</f>
        <v/>
      </c>
      <c r="BC137" s="125" t="str">
        <f>IF(Ujian!BC144="","",IF(LEFT(Ujian!BC144,1)=SEKOR!BC$2,1,0))</f>
        <v/>
      </c>
      <c r="BD137" s="125" t="str">
        <f>IF(Ujian!BD144="","",IF(LEFT(Ujian!BD144,1)=SEKOR!BD$2,1,0))</f>
        <v/>
      </c>
      <c r="BE137" s="125" t="str">
        <f>IF(Ujian!BE144="","",IF(LEFT(Ujian!BE144,1)=SEKOR!BE$2,1,0))</f>
        <v/>
      </c>
      <c r="BF137" s="125" t="str">
        <f>IF(Ujian!BF144="","",IF(LEFT(Ujian!BF144,1)=SEKOR!BF$2,1,0))</f>
        <v/>
      </c>
      <c r="BG137" s="125" t="str">
        <f>IF(Ujian!BG144="","",IF(LEFT(Ujian!BG144,1)=SEKOR!BG$2,1,0))</f>
        <v/>
      </c>
      <c r="BH137" s="125" t="str">
        <f>IF(Ujian!BH144="","",IF(LEFT(Ujian!BH144,1)=SEKOR!BH$2,1,0))</f>
        <v/>
      </c>
      <c r="BI137" s="125" t="str">
        <f>IF(Ujian!BI144="","",IF(LEFT(Ujian!BI144,1)=SEKOR!BI$2,1,0))</f>
        <v/>
      </c>
      <c r="BJ137" s="125" t="str">
        <f>IF(Ujian!BJ144="","",IF(LEFT(Ujian!BJ144,1)=SEKOR!BJ$2,1,0))</f>
        <v/>
      </c>
      <c r="BK137" s="125" t="str">
        <f>IF(Ujian!BK144="","",IF(LEFT(Ujian!BK144,1)=SEKOR!BK$2,1,0))</f>
        <v/>
      </c>
      <c r="BL137" s="18">
        <f t="shared" si="4"/>
        <v>0</v>
      </c>
      <c r="BM137" s="18">
        <f>COUNTIF($D137:$BK137,"")+DATA!$F$14-DATA!$F$12</f>
        <v>60</v>
      </c>
      <c r="BN137" s="17">
        <f>IF(COUNTIF($D137:$BK137,1)&gt;DATA!$F$14,DATA!$F$14,COUNTIF($D137:$BK137,1))</f>
        <v>0</v>
      </c>
      <c r="BO137" s="17">
        <f>IF((BN137+COUNTIF($D137:$BK137,0))&lt;=DATA!$F$14,COUNTIF($D137:$BK137,0),DATA!$F$14-SEKOR!BN137)</f>
        <v>0</v>
      </c>
      <c r="BP137" s="4" t="str">
        <f>IF(BL137=0,"",BN137/DATA!$F$14*100)</f>
        <v/>
      </c>
      <c r="BQ137" s="121" t="str">
        <f t="shared" si="5"/>
        <v/>
      </c>
      <c r="BR137" s="2" t="str">
        <f>IF(Praktik!$E137=0,"",Praktik!$E137)</f>
        <v/>
      </c>
      <c r="BS137" s="2" t="str">
        <f>IF(BR137="","",(BP137*DATAINFO!$O$4)+(SEKOR!BR137*DATAINFO!$O$5)/(DATAINFO!$O$4+DATAINFO!$O$5))</f>
        <v/>
      </c>
      <c r="BT137" s="2" t="str">
        <f>IF(BL137=0,"",IF(DATA!$F$18="TIDAK",ROUNDUP((IF!$L$8*SEKOR!$BP137)+IF!$L$9,0),IF($BR137="","",ROUNDUP((IF!$L$20*$BS137)+IF!$L$21,0))))</f>
        <v/>
      </c>
      <c r="BU137" s="47" t="str">
        <f>IF(BP137="","",IF(SEKOR!BP137&gt;=DATA!$J$12,1,0))</f>
        <v/>
      </c>
      <c r="BV137" s="47" t="str">
        <f>IF(BQ137="","",IF(SEKOR!BQ137&gt;=DATA!$J$12,1,0))</f>
        <v/>
      </c>
      <c r="BW137" s="47" t="str">
        <f>IF(BR137="","",IF(SEKOR!BR137&gt;=DATA!$J$12,1,0))</f>
        <v/>
      </c>
      <c r="BX137" s="47" t="str">
        <f>IF(BT137="","",IF(DATA!$J$14="",IF(SEKOR!BT137&gt;=DATA!$J$12,1,0),IF(SEKOR!BT137&gt;=DATA!$J$14,1,0)))</f>
        <v/>
      </c>
    </row>
    <row r="138" spans="1:76" x14ac:dyDescent="0.25">
      <c r="A138" s="20" t="s">
        <v>165</v>
      </c>
      <c r="B138" s="21" t="str">
        <f>IF(Ujian!B145="","",Ujian!B145)</f>
        <v/>
      </c>
      <c r="C138" s="57" t="str">
        <f>IF(Ujian!C145="","",Ujian!C145)</f>
        <v/>
      </c>
      <c r="D138" s="125" t="str">
        <f>IF(Ujian!D145="","",IF(LEFT(Ujian!D145,1)=SEKOR!D$2,1,0))</f>
        <v/>
      </c>
      <c r="E138" s="125" t="str">
        <f>IF(Ujian!E145="","",IF(LEFT(Ujian!E145,1)=SEKOR!E$2,1,0))</f>
        <v/>
      </c>
      <c r="F138" s="125" t="str">
        <f>IF(Ujian!F145="","",IF(LEFT(Ujian!F145,1)=SEKOR!F$2,1,0))</f>
        <v/>
      </c>
      <c r="G138" s="125" t="str">
        <f>IF(Ujian!G145="","",IF(LEFT(Ujian!G145,1)=SEKOR!G$2,1,0))</f>
        <v/>
      </c>
      <c r="H138" s="125" t="str">
        <f>IF(Ujian!H145="","",IF(LEFT(Ujian!H145,1)=SEKOR!H$2,1,0))</f>
        <v/>
      </c>
      <c r="I138" s="125" t="str">
        <f>IF(Ujian!I145="","",IF(LEFT(Ujian!I145,1)=SEKOR!I$2,1,0))</f>
        <v/>
      </c>
      <c r="J138" s="125" t="str">
        <f>IF(Ujian!J145="","",IF(LEFT(Ujian!J145,1)=SEKOR!J$2,1,0))</f>
        <v/>
      </c>
      <c r="K138" s="125" t="str">
        <f>IF(Ujian!K145="","",IF(LEFT(Ujian!K145,1)=SEKOR!K$2,1,0))</f>
        <v/>
      </c>
      <c r="L138" s="125" t="str">
        <f>IF(Ujian!L145="","",IF(LEFT(Ujian!L145,1)=SEKOR!L$2,1,0))</f>
        <v/>
      </c>
      <c r="M138" s="125" t="str">
        <f>IF(Ujian!M145="","",IF(LEFT(Ujian!M145,1)=SEKOR!M$2,1,0))</f>
        <v/>
      </c>
      <c r="N138" s="125" t="str">
        <f>IF(Ujian!N145="","",IF(LEFT(Ujian!N145,1)=SEKOR!N$2,1,0))</f>
        <v/>
      </c>
      <c r="O138" s="125" t="str">
        <f>IF(Ujian!O145="","",IF(LEFT(Ujian!O145,1)=SEKOR!O$2,1,0))</f>
        <v/>
      </c>
      <c r="P138" s="125" t="str">
        <f>IF(Ujian!P145="","",IF(LEFT(Ujian!P145,1)=SEKOR!P$2,1,0))</f>
        <v/>
      </c>
      <c r="Q138" s="125" t="str">
        <f>IF(Ujian!Q145="","",IF(LEFT(Ujian!Q145,1)=SEKOR!Q$2,1,0))</f>
        <v/>
      </c>
      <c r="R138" s="125" t="str">
        <f>IF(Ujian!R145="","",IF(LEFT(Ujian!R145,1)=SEKOR!R$2,1,0))</f>
        <v/>
      </c>
      <c r="S138" s="125" t="str">
        <f>IF(Ujian!S145="","",IF(LEFT(Ujian!S145,1)=SEKOR!S$2,1,0))</f>
        <v/>
      </c>
      <c r="T138" s="125" t="str">
        <f>IF(Ujian!T145="","",IF(LEFT(Ujian!T145,1)=SEKOR!T$2,1,0))</f>
        <v/>
      </c>
      <c r="U138" s="125" t="str">
        <f>IF(Ujian!U145="","",IF(LEFT(Ujian!U145,1)=SEKOR!U$2,1,0))</f>
        <v/>
      </c>
      <c r="V138" s="125" t="str">
        <f>IF(Ujian!V145="","",IF(LEFT(Ujian!V145,1)=SEKOR!V$2,1,0))</f>
        <v/>
      </c>
      <c r="W138" s="125" t="str">
        <f>IF(Ujian!W145="","",IF(LEFT(Ujian!W145,1)=SEKOR!W$2,1,0))</f>
        <v/>
      </c>
      <c r="X138" s="125" t="str">
        <f>IF(Ujian!X145="","",IF(LEFT(Ujian!X145,1)=SEKOR!X$2,1,0))</f>
        <v/>
      </c>
      <c r="Y138" s="125" t="str">
        <f>IF(Ujian!Y145="","",IF(LEFT(Ujian!Y145,1)=SEKOR!Y$2,1,0))</f>
        <v/>
      </c>
      <c r="Z138" s="125" t="str">
        <f>IF(Ujian!Z145="","",IF(LEFT(Ujian!Z145,1)=SEKOR!Z$2,1,0))</f>
        <v/>
      </c>
      <c r="AA138" s="125" t="str">
        <f>IF(Ujian!AA145="","",IF(LEFT(Ujian!AA145,1)=SEKOR!AA$2,1,0))</f>
        <v/>
      </c>
      <c r="AB138" s="125" t="str">
        <f>IF(Ujian!AB145="","",IF(LEFT(Ujian!AB145,1)=SEKOR!AB$2,1,0))</f>
        <v/>
      </c>
      <c r="AC138" s="125" t="str">
        <f>IF(Ujian!AC145="","",IF(LEFT(Ujian!AC145,1)=SEKOR!AC$2,1,0))</f>
        <v/>
      </c>
      <c r="AD138" s="125" t="str">
        <f>IF(Ujian!AD145="","",IF(LEFT(Ujian!AD145,1)=SEKOR!AD$2,1,0))</f>
        <v/>
      </c>
      <c r="AE138" s="125" t="str">
        <f>IF(Ujian!AE145="","",IF(LEFT(Ujian!AE145,1)=SEKOR!AE$2,1,0))</f>
        <v/>
      </c>
      <c r="AF138" s="125" t="str">
        <f>IF(Ujian!AF145="","",IF(LEFT(Ujian!AF145,1)=SEKOR!AF$2,1,0))</f>
        <v/>
      </c>
      <c r="AG138" s="125" t="str">
        <f>IF(Ujian!AG145="","",IF(LEFT(Ujian!AG145,1)=SEKOR!AG$2,1,0))</f>
        <v/>
      </c>
      <c r="AH138" s="125" t="str">
        <f>IF(Ujian!AH145="","",IF(LEFT(Ujian!AH145,1)=SEKOR!AH$2,1,0))</f>
        <v/>
      </c>
      <c r="AI138" s="125" t="str">
        <f>IF(Ujian!AI145="","",IF(LEFT(Ujian!AI145,1)=SEKOR!AI$2,1,0))</f>
        <v/>
      </c>
      <c r="AJ138" s="125" t="str">
        <f>IF(Ujian!AJ145="","",IF(LEFT(Ujian!AJ145,1)=SEKOR!AJ$2,1,0))</f>
        <v/>
      </c>
      <c r="AK138" s="125" t="str">
        <f>IF(Ujian!AK145="","",IF(LEFT(Ujian!AK145,1)=SEKOR!AK$2,1,0))</f>
        <v/>
      </c>
      <c r="AL138" s="125" t="str">
        <f>IF(Ujian!AL145="","",IF(LEFT(Ujian!AL145,1)=SEKOR!AL$2,1,0))</f>
        <v/>
      </c>
      <c r="AM138" s="125" t="str">
        <f>IF(Ujian!AM145="","",IF(LEFT(Ujian!AM145,1)=SEKOR!AM$2,1,0))</f>
        <v/>
      </c>
      <c r="AN138" s="125" t="str">
        <f>IF(Ujian!AN145="","",IF(LEFT(Ujian!AN145,1)=SEKOR!AN$2,1,0))</f>
        <v/>
      </c>
      <c r="AO138" s="125" t="str">
        <f>IF(Ujian!AO145="","",IF(LEFT(Ujian!AO145,1)=SEKOR!AO$2,1,0))</f>
        <v/>
      </c>
      <c r="AP138" s="125" t="str">
        <f>IF(Ujian!AP145="","",IF(LEFT(Ujian!AP145,1)=SEKOR!AP$2,1,0))</f>
        <v/>
      </c>
      <c r="AQ138" s="125" t="str">
        <f>IF(Ujian!AQ145="","",IF(LEFT(Ujian!AQ145,1)=SEKOR!AQ$2,1,0))</f>
        <v/>
      </c>
      <c r="AR138" s="125" t="str">
        <f>IF(Ujian!AR145="","",IF(LEFT(Ujian!AR145,1)=SEKOR!AR$2,1,0))</f>
        <v/>
      </c>
      <c r="AS138" s="125" t="str">
        <f>IF(Ujian!AS145="","",IF(LEFT(Ujian!AS145,1)=SEKOR!AS$2,1,0))</f>
        <v/>
      </c>
      <c r="AT138" s="125" t="str">
        <f>IF(Ujian!AT145="","",IF(LEFT(Ujian!AT145,1)=SEKOR!AT$2,1,0))</f>
        <v/>
      </c>
      <c r="AU138" s="125" t="str">
        <f>IF(Ujian!AU145="","",IF(LEFT(Ujian!AU145,1)=SEKOR!AU$2,1,0))</f>
        <v/>
      </c>
      <c r="AV138" s="125" t="str">
        <f>IF(Ujian!AV145="","",IF(LEFT(Ujian!AV145,1)=SEKOR!AV$2,1,0))</f>
        <v/>
      </c>
      <c r="AW138" s="125" t="str">
        <f>IF(Ujian!AW145="","",IF(LEFT(Ujian!AW145,1)=SEKOR!AW$2,1,0))</f>
        <v/>
      </c>
      <c r="AX138" s="125" t="str">
        <f>IF(Ujian!AX145="","",IF(LEFT(Ujian!AX145,1)=SEKOR!AX$2,1,0))</f>
        <v/>
      </c>
      <c r="AY138" s="125" t="str">
        <f>IF(Ujian!AY145="","",IF(LEFT(Ujian!AY145,1)=SEKOR!AY$2,1,0))</f>
        <v/>
      </c>
      <c r="AZ138" s="125" t="str">
        <f>IF(Ujian!AZ145="","",IF(LEFT(Ujian!AZ145,1)=SEKOR!AZ$2,1,0))</f>
        <v/>
      </c>
      <c r="BA138" s="125" t="str">
        <f>IF(Ujian!BA145="","",IF(LEFT(Ujian!BA145,1)=SEKOR!BA$2,1,0))</f>
        <v/>
      </c>
      <c r="BB138" s="125" t="str">
        <f>IF(Ujian!BB145="","",IF(LEFT(Ujian!BB145,1)=SEKOR!BB$2,1,0))</f>
        <v/>
      </c>
      <c r="BC138" s="125" t="str">
        <f>IF(Ujian!BC145="","",IF(LEFT(Ujian!BC145,1)=SEKOR!BC$2,1,0))</f>
        <v/>
      </c>
      <c r="BD138" s="125" t="str">
        <f>IF(Ujian!BD145="","",IF(LEFT(Ujian!BD145,1)=SEKOR!BD$2,1,0))</f>
        <v/>
      </c>
      <c r="BE138" s="125" t="str">
        <f>IF(Ujian!BE145="","",IF(LEFT(Ujian!BE145,1)=SEKOR!BE$2,1,0))</f>
        <v/>
      </c>
      <c r="BF138" s="125" t="str">
        <f>IF(Ujian!BF145="","",IF(LEFT(Ujian!BF145,1)=SEKOR!BF$2,1,0))</f>
        <v/>
      </c>
      <c r="BG138" s="125" t="str">
        <f>IF(Ujian!BG145="","",IF(LEFT(Ujian!BG145,1)=SEKOR!BG$2,1,0))</f>
        <v/>
      </c>
      <c r="BH138" s="125" t="str">
        <f>IF(Ujian!BH145="","",IF(LEFT(Ujian!BH145,1)=SEKOR!BH$2,1,0))</f>
        <v/>
      </c>
      <c r="BI138" s="125" t="str">
        <f>IF(Ujian!BI145="","",IF(LEFT(Ujian!BI145,1)=SEKOR!BI$2,1,0))</f>
        <v/>
      </c>
      <c r="BJ138" s="125" t="str">
        <f>IF(Ujian!BJ145="","",IF(LEFT(Ujian!BJ145,1)=SEKOR!BJ$2,1,0))</f>
        <v/>
      </c>
      <c r="BK138" s="125" t="str">
        <f>IF(Ujian!BK145="","",IF(LEFT(Ujian!BK145,1)=SEKOR!BK$2,1,0))</f>
        <v/>
      </c>
      <c r="BL138" s="18">
        <f t="shared" si="4"/>
        <v>0</v>
      </c>
      <c r="BM138" s="18">
        <f>COUNTIF($D138:$BK138,"")+DATA!$F$14-DATA!$F$12</f>
        <v>60</v>
      </c>
      <c r="BN138" s="17">
        <f>IF(COUNTIF($D138:$BK138,1)&gt;DATA!$F$14,DATA!$F$14,COUNTIF($D138:$BK138,1))</f>
        <v>0</v>
      </c>
      <c r="BO138" s="17">
        <f>IF((BN138+COUNTIF($D138:$BK138,0))&lt;=DATA!$F$14,COUNTIF($D138:$BK138,0),DATA!$F$14-SEKOR!BN138)</f>
        <v>0</v>
      </c>
      <c r="BP138" s="4" t="str">
        <f>IF(BL138=0,"",BN138/DATA!$F$14*100)</f>
        <v/>
      </c>
      <c r="BQ138" s="121" t="str">
        <f t="shared" si="5"/>
        <v/>
      </c>
      <c r="BR138" s="2" t="str">
        <f>IF(Praktik!$E138=0,"",Praktik!$E138)</f>
        <v/>
      </c>
      <c r="BS138" s="2" t="str">
        <f>IF(BR138="","",(BP138*DATAINFO!$O$4)+(SEKOR!BR138*DATAINFO!$O$5)/(DATAINFO!$O$4+DATAINFO!$O$5))</f>
        <v/>
      </c>
      <c r="BT138" s="2" t="str">
        <f>IF(BL138=0,"",IF(DATA!$F$18="TIDAK",ROUNDUP((IF!$L$8*SEKOR!$BP138)+IF!$L$9,0),IF($BR138="","",ROUNDUP((IF!$L$20*$BS138)+IF!$L$21,0))))</f>
        <v/>
      </c>
      <c r="BU138" s="47" t="str">
        <f>IF(BP138="","",IF(SEKOR!BP138&gt;=DATA!$J$12,1,0))</f>
        <v/>
      </c>
      <c r="BV138" s="47" t="str">
        <f>IF(BQ138="","",IF(SEKOR!BQ138&gt;=DATA!$J$12,1,0))</f>
        <v/>
      </c>
      <c r="BW138" s="47" t="str">
        <f>IF(BR138="","",IF(SEKOR!BR138&gt;=DATA!$J$12,1,0))</f>
        <v/>
      </c>
      <c r="BX138" s="47" t="str">
        <f>IF(BT138="","",IF(DATA!$J$14="",IF(SEKOR!BT138&gt;=DATA!$J$12,1,0),IF(SEKOR!BT138&gt;=DATA!$J$14,1,0)))</f>
        <v/>
      </c>
    </row>
    <row r="139" spans="1:76" x14ac:dyDescent="0.25">
      <c r="A139" s="20" t="s">
        <v>166</v>
      </c>
      <c r="B139" s="21" t="str">
        <f>IF(Ujian!B146="","",Ujian!B146)</f>
        <v/>
      </c>
      <c r="C139" s="57" t="str">
        <f>IF(Ujian!C146="","",Ujian!C146)</f>
        <v/>
      </c>
      <c r="D139" s="125" t="str">
        <f>IF(Ujian!D146="","",IF(LEFT(Ujian!D146,1)=SEKOR!D$2,1,0))</f>
        <v/>
      </c>
      <c r="E139" s="125" t="str">
        <f>IF(Ujian!E146="","",IF(LEFT(Ujian!E146,1)=SEKOR!E$2,1,0))</f>
        <v/>
      </c>
      <c r="F139" s="125" t="str">
        <f>IF(Ujian!F146="","",IF(LEFT(Ujian!F146,1)=SEKOR!F$2,1,0))</f>
        <v/>
      </c>
      <c r="G139" s="125" t="str">
        <f>IF(Ujian!G146="","",IF(LEFT(Ujian!G146,1)=SEKOR!G$2,1,0))</f>
        <v/>
      </c>
      <c r="H139" s="125" t="str">
        <f>IF(Ujian!H146="","",IF(LEFT(Ujian!H146,1)=SEKOR!H$2,1,0))</f>
        <v/>
      </c>
      <c r="I139" s="125" t="str">
        <f>IF(Ujian!I146="","",IF(LEFT(Ujian!I146,1)=SEKOR!I$2,1,0))</f>
        <v/>
      </c>
      <c r="J139" s="125" t="str">
        <f>IF(Ujian!J146="","",IF(LEFT(Ujian!J146,1)=SEKOR!J$2,1,0))</f>
        <v/>
      </c>
      <c r="K139" s="125" t="str">
        <f>IF(Ujian!K146="","",IF(LEFT(Ujian!K146,1)=SEKOR!K$2,1,0))</f>
        <v/>
      </c>
      <c r="L139" s="125" t="str">
        <f>IF(Ujian!L146="","",IF(LEFT(Ujian!L146,1)=SEKOR!L$2,1,0))</f>
        <v/>
      </c>
      <c r="M139" s="125" t="str">
        <f>IF(Ujian!M146="","",IF(LEFT(Ujian!M146,1)=SEKOR!M$2,1,0))</f>
        <v/>
      </c>
      <c r="N139" s="125" t="str">
        <f>IF(Ujian!N146="","",IF(LEFT(Ujian!N146,1)=SEKOR!N$2,1,0))</f>
        <v/>
      </c>
      <c r="O139" s="125" t="str">
        <f>IF(Ujian!O146="","",IF(LEFT(Ujian!O146,1)=SEKOR!O$2,1,0))</f>
        <v/>
      </c>
      <c r="P139" s="125" t="str">
        <f>IF(Ujian!P146="","",IF(LEFT(Ujian!P146,1)=SEKOR!P$2,1,0))</f>
        <v/>
      </c>
      <c r="Q139" s="125" t="str">
        <f>IF(Ujian!Q146="","",IF(LEFT(Ujian!Q146,1)=SEKOR!Q$2,1,0))</f>
        <v/>
      </c>
      <c r="R139" s="125" t="str">
        <f>IF(Ujian!R146="","",IF(LEFT(Ujian!R146,1)=SEKOR!R$2,1,0))</f>
        <v/>
      </c>
      <c r="S139" s="125" t="str">
        <f>IF(Ujian!S146="","",IF(LEFT(Ujian!S146,1)=SEKOR!S$2,1,0))</f>
        <v/>
      </c>
      <c r="T139" s="125" t="str">
        <f>IF(Ujian!T146="","",IF(LEFT(Ujian!T146,1)=SEKOR!T$2,1,0))</f>
        <v/>
      </c>
      <c r="U139" s="125" t="str">
        <f>IF(Ujian!U146="","",IF(LEFT(Ujian!U146,1)=SEKOR!U$2,1,0))</f>
        <v/>
      </c>
      <c r="V139" s="125" t="str">
        <f>IF(Ujian!V146="","",IF(LEFT(Ujian!V146,1)=SEKOR!V$2,1,0))</f>
        <v/>
      </c>
      <c r="W139" s="125" t="str">
        <f>IF(Ujian!W146="","",IF(LEFT(Ujian!W146,1)=SEKOR!W$2,1,0))</f>
        <v/>
      </c>
      <c r="X139" s="125" t="str">
        <f>IF(Ujian!X146="","",IF(LEFT(Ujian!X146,1)=SEKOR!X$2,1,0))</f>
        <v/>
      </c>
      <c r="Y139" s="125" t="str">
        <f>IF(Ujian!Y146="","",IF(LEFT(Ujian!Y146,1)=SEKOR!Y$2,1,0))</f>
        <v/>
      </c>
      <c r="Z139" s="125" t="str">
        <f>IF(Ujian!Z146="","",IF(LEFT(Ujian!Z146,1)=SEKOR!Z$2,1,0))</f>
        <v/>
      </c>
      <c r="AA139" s="125" t="str">
        <f>IF(Ujian!AA146="","",IF(LEFT(Ujian!AA146,1)=SEKOR!AA$2,1,0))</f>
        <v/>
      </c>
      <c r="AB139" s="125" t="str">
        <f>IF(Ujian!AB146="","",IF(LEFT(Ujian!AB146,1)=SEKOR!AB$2,1,0))</f>
        <v/>
      </c>
      <c r="AC139" s="125" t="str">
        <f>IF(Ujian!AC146="","",IF(LEFT(Ujian!AC146,1)=SEKOR!AC$2,1,0))</f>
        <v/>
      </c>
      <c r="AD139" s="125" t="str">
        <f>IF(Ujian!AD146="","",IF(LEFT(Ujian!AD146,1)=SEKOR!AD$2,1,0))</f>
        <v/>
      </c>
      <c r="AE139" s="125" t="str">
        <f>IF(Ujian!AE146="","",IF(LEFT(Ujian!AE146,1)=SEKOR!AE$2,1,0))</f>
        <v/>
      </c>
      <c r="AF139" s="125" t="str">
        <f>IF(Ujian!AF146="","",IF(LEFT(Ujian!AF146,1)=SEKOR!AF$2,1,0))</f>
        <v/>
      </c>
      <c r="AG139" s="125" t="str">
        <f>IF(Ujian!AG146="","",IF(LEFT(Ujian!AG146,1)=SEKOR!AG$2,1,0))</f>
        <v/>
      </c>
      <c r="AH139" s="125" t="str">
        <f>IF(Ujian!AH146="","",IF(LEFT(Ujian!AH146,1)=SEKOR!AH$2,1,0))</f>
        <v/>
      </c>
      <c r="AI139" s="125" t="str">
        <f>IF(Ujian!AI146="","",IF(LEFT(Ujian!AI146,1)=SEKOR!AI$2,1,0))</f>
        <v/>
      </c>
      <c r="AJ139" s="125" t="str">
        <f>IF(Ujian!AJ146="","",IF(LEFT(Ujian!AJ146,1)=SEKOR!AJ$2,1,0))</f>
        <v/>
      </c>
      <c r="AK139" s="125" t="str">
        <f>IF(Ujian!AK146="","",IF(LEFT(Ujian!AK146,1)=SEKOR!AK$2,1,0))</f>
        <v/>
      </c>
      <c r="AL139" s="125" t="str">
        <f>IF(Ujian!AL146="","",IF(LEFT(Ujian!AL146,1)=SEKOR!AL$2,1,0))</f>
        <v/>
      </c>
      <c r="AM139" s="125" t="str">
        <f>IF(Ujian!AM146="","",IF(LEFT(Ujian!AM146,1)=SEKOR!AM$2,1,0))</f>
        <v/>
      </c>
      <c r="AN139" s="125" t="str">
        <f>IF(Ujian!AN146="","",IF(LEFT(Ujian!AN146,1)=SEKOR!AN$2,1,0))</f>
        <v/>
      </c>
      <c r="AO139" s="125" t="str">
        <f>IF(Ujian!AO146="","",IF(LEFT(Ujian!AO146,1)=SEKOR!AO$2,1,0))</f>
        <v/>
      </c>
      <c r="AP139" s="125" t="str">
        <f>IF(Ujian!AP146="","",IF(LEFT(Ujian!AP146,1)=SEKOR!AP$2,1,0))</f>
        <v/>
      </c>
      <c r="AQ139" s="125" t="str">
        <f>IF(Ujian!AQ146="","",IF(LEFT(Ujian!AQ146,1)=SEKOR!AQ$2,1,0))</f>
        <v/>
      </c>
      <c r="AR139" s="125" t="str">
        <f>IF(Ujian!AR146="","",IF(LEFT(Ujian!AR146,1)=SEKOR!AR$2,1,0))</f>
        <v/>
      </c>
      <c r="AS139" s="125" t="str">
        <f>IF(Ujian!AS146="","",IF(LEFT(Ujian!AS146,1)=SEKOR!AS$2,1,0))</f>
        <v/>
      </c>
      <c r="AT139" s="125" t="str">
        <f>IF(Ujian!AT146="","",IF(LEFT(Ujian!AT146,1)=SEKOR!AT$2,1,0))</f>
        <v/>
      </c>
      <c r="AU139" s="125" t="str">
        <f>IF(Ujian!AU146="","",IF(LEFT(Ujian!AU146,1)=SEKOR!AU$2,1,0))</f>
        <v/>
      </c>
      <c r="AV139" s="125" t="str">
        <f>IF(Ujian!AV146="","",IF(LEFT(Ujian!AV146,1)=SEKOR!AV$2,1,0))</f>
        <v/>
      </c>
      <c r="AW139" s="125" t="str">
        <f>IF(Ujian!AW146="","",IF(LEFT(Ujian!AW146,1)=SEKOR!AW$2,1,0))</f>
        <v/>
      </c>
      <c r="AX139" s="125" t="str">
        <f>IF(Ujian!AX146="","",IF(LEFT(Ujian!AX146,1)=SEKOR!AX$2,1,0))</f>
        <v/>
      </c>
      <c r="AY139" s="125" t="str">
        <f>IF(Ujian!AY146="","",IF(LEFT(Ujian!AY146,1)=SEKOR!AY$2,1,0))</f>
        <v/>
      </c>
      <c r="AZ139" s="125" t="str">
        <f>IF(Ujian!AZ146="","",IF(LEFT(Ujian!AZ146,1)=SEKOR!AZ$2,1,0))</f>
        <v/>
      </c>
      <c r="BA139" s="125" t="str">
        <f>IF(Ujian!BA146="","",IF(LEFT(Ujian!BA146,1)=SEKOR!BA$2,1,0))</f>
        <v/>
      </c>
      <c r="BB139" s="125" t="str">
        <f>IF(Ujian!BB146="","",IF(LEFT(Ujian!BB146,1)=SEKOR!BB$2,1,0))</f>
        <v/>
      </c>
      <c r="BC139" s="125" t="str">
        <f>IF(Ujian!BC146="","",IF(LEFT(Ujian!BC146,1)=SEKOR!BC$2,1,0))</f>
        <v/>
      </c>
      <c r="BD139" s="125" t="str">
        <f>IF(Ujian!BD146="","",IF(LEFT(Ujian!BD146,1)=SEKOR!BD$2,1,0))</f>
        <v/>
      </c>
      <c r="BE139" s="125" t="str">
        <f>IF(Ujian!BE146="","",IF(LEFT(Ujian!BE146,1)=SEKOR!BE$2,1,0))</f>
        <v/>
      </c>
      <c r="BF139" s="125" t="str">
        <f>IF(Ujian!BF146="","",IF(LEFT(Ujian!BF146,1)=SEKOR!BF$2,1,0))</f>
        <v/>
      </c>
      <c r="BG139" s="125" t="str">
        <f>IF(Ujian!BG146="","",IF(LEFT(Ujian!BG146,1)=SEKOR!BG$2,1,0))</f>
        <v/>
      </c>
      <c r="BH139" s="125" t="str">
        <f>IF(Ujian!BH146="","",IF(LEFT(Ujian!BH146,1)=SEKOR!BH$2,1,0))</f>
        <v/>
      </c>
      <c r="BI139" s="125" t="str">
        <f>IF(Ujian!BI146="","",IF(LEFT(Ujian!BI146,1)=SEKOR!BI$2,1,0))</f>
        <v/>
      </c>
      <c r="BJ139" s="125" t="str">
        <f>IF(Ujian!BJ146="","",IF(LEFT(Ujian!BJ146,1)=SEKOR!BJ$2,1,0))</f>
        <v/>
      </c>
      <c r="BK139" s="125" t="str">
        <f>IF(Ujian!BK146="","",IF(LEFT(Ujian!BK146,1)=SEKOR!BK$2,1,0))</f>
        <v/>
      </c>
      <c r="BL139" s="18">
        <f t="shared" si="4"/>
        <v>0</v>
      </c>
      <c r="BM139" s="18">
        <f>COUNTIF($D139:$BK139,"")+DATA!$F$14-DATA!$F$12</f>
        <v>60</v>
      </c>
      <c r="BN139" s="17">
        <f>IF(COUNTIF($D139:$BK139,1)&gt;DATA!$F$14,DATA!$F$14,COUNTIF($D139:$BK139,1))</f>
        <v>0</v>
      </c>
      <c r="BO139" s="17">
        <f>IF((BN139+COUNTIF($D139:$BK139,0))&lt;=DATA!$F$14,COUNTIF($D139:$BK139,0),DATA!$F$14-SEKOR!BN139)</f>
        <v>0</v>
      </c>
      <c r="BP139" s="4" t="str">
        <f>IF(BL139=0,"",BN139/DATA!$F$14*100)</f>
        <v/>
      </c>
      <c r="BQ139" s="121" t="str">
        <f t="shared" si="5"/>
        <v/>
      </c>
      <c r="BR139" s="2" t="str">
        <f>IF(Praktik!$E139=0,"",Praktik!$E139)</f>
        <v/>
      </c>
      <c r="BS139" s="2" t="str">
        <f>IF(BR139="","",(BP139*DATAINFO!$O$4)+(SEKOR!BR139*DATAINFO!$O$5)/(DATAINFO!$O$4+DATAINFO!$O$5))</f>
        <v/>
      </c>
      <c r="BT139" s="2" t="str">
        <f>IF(BL139=0,"",IF(DATA!$F$18="TIDAK",ROUNDUP((IF!$L$8*SEKOR!$BP139)+IF!$L$9,0),IF($BR139="","",ROUNDUP((IF!$L$20*$BS139)+IF!$L$21,0))))</f>
        <v/>
      </c>
      <c r="BU139" s="47" t="str">
        <f>IF(BP139="","",IF(SEKOR!BP139&gt;=DATA!$J$12,1,0))</f>
        <v/>
      </c>
      <c r="BV139" s="47" t="str">
        <f>IF(BQ139="","",IF(SEKOR!BQ139&gt;=DATA!$J$12,1,0))</f>
        <v/>
      </c>
      <c r="BW139" s="47" t="str">
        <f>IF(BR139="","",IF(SEKOR!BR139&gt;=DATA!$J$12,1,0))</f>
        <v/>
      </c>
      <c r="BX139" s="47" t="str">
        <f>IF(BT139="","",IF(DATA!$J$14="",IF(SEKOR!BT139&gt;=DATA!$J$12,1,0),IF(SEKOR!BT139&gt;=DATA!$J$14,1,0)))</f>
        <v/>
      </c>
    </row>
    <row r="140" spans="1:76" x14ac:dyDescent="0.25">
      <c r="A140" s="20" t="s">
        <v>167</v>
      </c>
      <c r="B140" s="21" t="str">
        <f>IF(Ujian!B147="","",Ujian!B147)</f>
        <v/>
      </c>
      <c r="C140" s="57" t="str">
        <f>IF(Ujian!C147="","",Ujian!C147)</f>
        <v/>
      </c>
      <c r="D140" s="125" t="str">
        <f>IF(Ujian!D147="","",IF(LEFT(Ujian!D147,1)=SEKOR!D$2,1,0))</f>
        <v/>
      </c>
      <c r="E140" s="125" t="str">
        <f>IF(Ujian!E147="","",IF(LEFT(Ujian!E147,1)=SEKOR!E$2,1,0))</f>
        <v/>
      </c>
      <c r="F140" s="125" t="str">
        <f>IF(Ujian!F147="","",IF(LEFT(Ujian!F147,1)=SEKOR!F$2,1,0))</f>
        <v/>
      </c>
      <c r="G140" s="125" t="str">
        <f>IF(Ujian!G147="","",IF(LEFT(Ujian!G147,1)=SEKOR!G$2,1,0))</f>
        <v/>
      </c>
      <c r="H140" s="125" t="str">
        <f>IF(Ujian!H147="","",IF(LEFT(Ujian!H147,1)=SEKOR!H$2,1,0))</f>
        <v/>
      </c>
      <c r="I140" s="125" t="str">
        <f>IF(Ujian!I147="","",IF(LEFT(Ujian!I147,1)=SEKOR!I$2,1,0))</f>
        <v/>
      </c>
      <c r="J140" s="125" t="str">
        <f>IF(Ujian!J147="","",IF(LEFT(Ujian!J147,1)=SEKOR!J$2,1,0))</f>
        <v/>
      </c>
      <c r="K140" s="125" t="str">
        <f>IF(Ujian!K147="","",IF(LEFT(Ujian!K147,1)=SEKOR!K$2,1,0))</f>
        <v/>
      </c>
      <c r="L140" s="125" t="str">
        <f>IF(Ujian!L147="","",IF(LEFT(Ujian!L147,1)=SEKOR!L$2,1,0))</f>
        <v/>
      </c>
      <c r="M140" s="125" t="str">
        <f>IF(Ujian!M147="","",IF(LEFT(Ujian!M147,1)=SEKOR!M$2,1,0))</f>
        <v/>
      </c>
      <c r="N140" s="125" t="str">
        <f>IF(Ujian!N147="","",IF(LEFT(Ujian!N147,1)=SEKOR!N$2,1,0))</f>
        <v/>
      </c>
      <c r="O140" s="125" t="str">
        <f>IF(Ujian!O147="","",IF(LEFT(Ujian!O147,1)=SEKOR!O$2,1,0))</f>
        <v/>
      </c>
      <c r="P140" s="125" t="str">
        <f>IF(Ujian!P147="","",IF(LEFT(Ujian!P147,1)=SEKOR!P$2,1,0))</f>
        <v/>
      </c>
      <c r="Q140" s="125" t="str">
        <f>IF(Ujian!Q147="","",IF(LEFT(Ujian!Q147,1)=SEKOR!Q$2,1,0))</f>
        <v/>
      </c>
      <c r="R140" s="125" t="str">
        <f>IF(Ujian!R147="","",IF(LEFT(Ujian!R147,1)=SEKOR!R$2,1,0))</f>
        <v/>
      </c>
      <c r="S140" s="125" t="str">
        <f>IF(Ujian!S147="","",IF(LEFT(Ujian!S147,1)=SEKOR!S$2,1,0))</f>
        <v/>
      </c>
      <c r="T140" s="125" t="str">
        <f>IF(Ujian!T147="","",IF(LEFT(Ujian!T147,1)=SEKOR!T$2,1,0))</f>
        <v/>
      </c>
      <c r="U140" s="125" t="str">
        <f>IF(Ujian!U147="","",IF(LEFT(Ujian!U147,1)=SEKOR!U$2,1,0))</f>
        <v/>
      </c>
      <c r="V140" s="125" t="str">
        <f>IF(Ujian!V147="","",IF(LEFT(Ujian!V147,1)=SEKOR!V$2,1,0))</f>
        <v/>
      </c>
      <c r="W140" s="125" t="str">
        <f>IF(Ujian!W147="","",IF(LEFT(Ujian!W147,1)=SEKOR!W$2,1,0))</f>
        <v/>
      </c>
      <c r="X140" s="125" t="str">
        <f>IF(Ujian!X147="","",IF(LEFT(Ujian!X147,1)=SEKOR!X$2,1,0))</f>
        <v/>
      </c>
      <c r="Y140" s="125" t="str">
        <f>IF(Ujian!Y147="","",IF(LEFT(Ujian!Y147,1)=SEKOR!Y$2,1,0))</f>
        <v/>
      </c>
      <c r="Z140" s="125" t="str">
        <f>IF(Ujian!Z147="","",IF(LEFT(Ujian!Z147,1)=SEKOR!Z$2,1,0))</f>
        <v/>
      </c>
      <c r="AA140" s="125" t="str">
        <f>IF(Ujian!AA147="","",IF(LEFT(Ujian!AA147,1)=SEKOR!AA$2,1,0))</f>
        <v/>
      </c>
      <c r="AB140" s="125" t="str">
        <f>IF(Ujian!AB147="","",IF(LEFT(Ujian!AB147,1)=SEKOR!AB$2,1,0))</f>
        <v/>
      </c>
      <c r="AC140" s="125" t="str">
        <f>IF(Ujian!AC147="","",IF(LEFT(Ujian!AC147,1)=SEKOR!AC$2,1,0))</f>
        <v/>
      </c>
      <c r="AD140" s="125" t="str">
        <f>IF(Ujian!AD147="","",IF(LEFT(Ujian!AD147,1)=SEKOR!AD$2,1,0))</f>
        <v/>
      </c>
      <c r="AE140" s="125" t="str">
        <f>IF(Ujian!AE147="","",IF(LEFT(Ujian!AE147,1)=SEKOR!AE$2,1,0))</f>
        <v/>
      </c>
      <c r="AF140" s="125" t="str">
        <f>IF(Ujian!AF147="","",IF(LEFT(Ujian!AF147,1)=SEKOR!AF$2,1,0))</f>
        <v/>
      </c>
      <c r="AG140" s="125" t="str">
        <f>IF(Ujian!AG147="","",IF(LEFT(Ujian!AG147,1)=SEKOR!AG$2,1,0))</f>
        <v/>
      </c>
      <c r="AH140" s="125" t="str">
        <f>IF(Ujian!AH147="","",IF(LEFT(Ujian!AH147,1)=SEKOR!AH$2,1,0))</f>
        <v/>
      </c>
      <c r="AI140" s="125" t="str">
        <f>IF(Ujian!AI147="","",IF(LEFT(Ujian!AI147,1)=SEKOR!AI$2,1,0))</f>
        <v/>
      </c>
      <c r="AJ140" s="125" t="str">
        <f>IF(Ujian!AJ147="","",IF(LEFT(Ujian!AJ147,1)=SEKOR!AJ$2,1,0))</f>
        <v/>
      </c>
      <c r="AK140" s="125" t="str">
        <f>IF(Ujian!AK147="","",IF(LEFT(Ujian!AK147,1)=SEKOR!AK$2,1,0))</f>
        <v/>
      </c>
      <c r="AL140" s="125" t="str">
        <f>IF(Ujian!AL147="","",IF(LEFT(Ujian!AL147,1)=SEKOR!AL$2,1,0))</f>
        <v/>
      </c>
      <c r="AM140" s="125" t="str">
        <f>IF(Ujian!AM147="","",IF(LEFT(Ujian!AM147,1)=SEKOR!AM$2,1,0))</f>
        <v/>
      </c>
      <c r="AN140" s="125" t="str">
        <f>IF(Ujian!AN147="","",IF(LEFT(Ujian!AN147,1)=SEKOR!AN$2,1,0))</f>
        <v/>
      </c>
      <c r="AO140" s="125" t="str">
        <f>IF(Ujian!AO147="","",IF(LEFT(Ujian!AO147,1)=SEKOR!AO$2,1,0))</f>
        <v/>
      </c>
      <c r="AP140" s="125" t="str">
        <f>IF(Ujian!AP147="","",IF(LEFT(Ujian!AP147,1)=SEKOR!AP$2,1,0))</f>
        <v/>
      </c>
      <c r="AQ140" s="125" t="str">
        <f>IF(Ujian!AQ147="","",IF(LEFT(Ujian!AQ147,1)=SEKOR!AQ$2,1,0))</f>
        <v/>
      </c>
      <c r="AR140" s="125" t="str">
        <f>IF(Ujian!AR147="","",IF(LEFT(Ujian!AR147,1)=SEKOR!AR$2,1,0))</f>
        <v/>
      </c>
      <c r="AS140" s="125" t="str">
        <f>IF(Ujian!AS147="","",IF(LEFT(Ujian!AS147,1)=SEKOR!AS$2,1,0))</f>
        <v/>
      </c>
      <c r="AT140" s="125" t="str">
        <f>IF(Ujian!AT147="","",IF(LEFT(Ujian!AT147,1)=SEKOR!AT$2,1,0))</f>
        <v/>
      </c>
      <c r="AU140" s="125" t="str">
        <f>IF(Ujian!AU147="","",IF(LEFT(Ujian!AU147,1)=SEKOR!AU$2,1,0))</f>
        <v/>
      </c>
      <c r="AV140" s="125" t="str">
        <f>IF(Ujian!AV147="","",IF(LEFT(Ujian!AV147,1)=SEKOR!AV$2,1,0))</f>
        <v/>
      </c>
      <c r="AW140" s="125" t="str">
        <f>IF(Ujian!AW147="","",IF(LEFT(Ujian!AW147,1)=SEKOR!AW$2,1,0))</f>
        <v/>
      </c>
      <c r="AX140" s="125" t="str">
        <f>IF(Ujian!AX147="","",IF(LEFT(Ujian!AX147,1)=SEKOR!AX$2,1,0))</f>
        <v/>
      </c>
      <c r="AY140" s="125" t="str">
        <f>IF(Ujian!AY147="","",IF(LEFT(Ujian!AY147,1)=SEKOR!AY$2,1,0))</f>
        <v/>
      </c>
      <c r="AZ140" s="125" t="str">
        <f>IF(Ujian!AZ147="","",IF(LEFT(Ujian!AZ147,1)=SEKOR!AZ$2,1,0))</f>
        <v/>
      </c>
      <c r="BA140" s="125" t="str">
        <f>IF(Ujian!BA147="","",IF(LEFT(Ujian!BA147,1)=SEKOR!BA$2,1,0))</f>
        <v/>
      </c>
      <c r="BB140" s="125" t="str">
        <f>IF(Ujian!BB147="","",IF(LEFT(Ujian!BB147,1)=SEKOR!BB$2,1,0))</f>
        <v/>
      </c>
      <c r="BC140" s="125" t="str">
        <f>IF(Ujian!BC147="","",IF(LEFT(Ujian!BC147,1)=SEKOR!BC$2,1,0))</f>
        <v/>
      </c>
      <c r="BD140" s="125" t="str">
        <f>IF(Ujian!BD147="","",IF(LEFT(Ujian!BD147,1)=SEKOR!BD$2,1,0))</f>
        <v/>
      </c>
      <c r="BE140" s="125" t="str">
        <f>IF(Ujian!BE147="","",IF(LEFT(Ujian!BE147,1)=SEKOR!BE$2,1,0))</f>
        <v/>
      </c>
      <c r="BF140" s="125" t="str">
        <f>IF(Ujian!BF147="","",IF(LEFT(Ujian!BF147,1)=SEKOR!BF$2,1,0))</f>
        <v/>
      </c>
      <c r="BG140" s="125" t="str">
        <f>IF(Ujian!BG147="","",IF(LEFT(Ujian!BG147,1)=SEKOR!BG$2,1,0))</f>
        <v/>
      </c>
      <c r="BH140" s="125" t="str">
        <f>IF(Ujian!BH147="","",IF(LEFT(Ujian!BH147,1)=SEKOR!BH$2,1,0))</f>
        <v/>
      </c>
      <c r="BI140" s="125" t="str">
        <f>IF(Ujian!BI147="","",IF(LEFT(Ujian!BI147,1)=SEKOR!BI$2,1,0))</f>
        <v/>
      </c>
      <c r="BJ140" s="125" t="str">
        <f>IF(Ujian!BJ147="","",IF(LEFT(Ujian!BJ147,1)=SEKOR!BJ$2,1,0))</f>
        <v/>
      </c>
      <c r="BK140" s="125" t="str">
        <f>IF(Ujian!BK147="","",IF(LEFT(Ujian!BK147,1)=SEKOR!BK$2,1,0))</f>
        <v/>
      </c>
      <c r="BL140" s="18">
        <f t="shared" si="4"/>
        <v>0</v>
      </c>
      <c r="BM140" s="18">
        <f>COUNTIF($D140:$BK140,"")+DATA!$F$14-DATA!$F$12</f>
        <v>60</v>
      </c>
      <c r="BN140" s="17">
        <f>IF(COUNTIF($D140:$BK140,1)&gt;DATA!$F$14,DATA!$F$14,COUNTIF($D140:$BK140,1))</f>
        <v>0</v>
      </c>
      <c r="BO140" s="17">
        <f>IF((BN140+COUNTIF($D140:$BK140,0))&lt;=DATA!$F$14,COUNTIF($D140:$BK140,0),DATA!$F$14-SEKOR!BN140)</f>
        <v>0</v>
      </c>
      <c r="BP140" s="4" t="str">
        <f>IF(BL140=0,"",BN140/DATA!$F$14*100)</f>
        <v/>
      </c>
      <c r="BQ140" s="121" t="str">
        <f t="shared" si="5"/>
        <v/>
      </c>
      <c r="BR140" s="2" t="str">
        <f>IF(Praktik!$E140=0,"",Praktik!$E140)</f>
        <v/>
      </c>
      <c r="BS140" s="2" t="str">
        <f>IF(BR140="","",(BP140*DATAINFO!$O$4)+(SEKOR!BR140*DATAINFO!$O$5)/(DATAINFO!$O$4+DATAINFO!$O$5))</f>
        <v/>
      </c>
      <c r="BT140" s="2" t="str">
        <f>IF(BL140=0,"",IF(DATA!$F$18="TIDAK",ROUNDUP((IF!$L$8*SEKOR!$BP140)+IF!$L$9,0),IF($BR140="","",ROUNDUP((IF!$L$20*$BS140)+IF!$L$21,0))))</f>
        <v/>
      </c>
      <c r="BU140" s="47" t="str">
        <f>IF(BP140="","",IF(SEKOR!BP140&gt;=DATA!$J$12,1,0))</f>
        <v/>
      </c>
      <c r="BV140" s="47" t="str">
        <f>IF(BQ140="","",IF(SEKOR!BQ140&gt;=DATA!$J$12,1,0))</f>
        <v/>
      </c>
      <c r="BW140" s="47" t="str">
        <f>IF(BR140="","",IF(SEKOR!BR140&gt;=DATA!$J$12,1,0))</f>
        <v/>
      </c>
      <c r="BX140" s="47" t="str">
        <f>IF(BT140="","",IF(DATA!$J$14="",IF(SEKOR!BT140&gt;=DATA!$J$12,1,0),IF(SEKOR!BT140&gt;=DATA!$J$14,1,0)))</f>
        <v/>
      </c>
    </row>
    <row r="141" spans="1:76" x14ac:dyDescent="0.25">
      <c r="A141" s="20" t="s">
        <v>168</v>
      </c>
      <c r="B141" s="21" t="str">
        <f>IF(Ujian!B148="","",Ujian!B148)</f>
        <v/>
      </c>
      <c r="C141" s="57" t="str">
        <f>IF(Ujian!C148="","",Ujian!C148)</f>
        <v/>
      </c>
      <c r="D141" s="125" t="str">
        <f>IF(Ujian!D148="","",IF(LEFT(Ujian!D148,1)=SEKOR!D$2,1,0))</f>
        <v/>
      </c>
      <c r="E141" s="125" t="str">
        <f>IF(Ujian!E148="","",IF(LEFT(Ujian!E148,1)=SEKOR!E$2,1,0))</f>
        <v/>
      </c>
      <c r="F141" s="125" t="str">
        <f>IF(Ujian!F148="","",IF(LEFT(Ujian!F148,1)=SEKOR!F$2,1,0))</f>
        <v/>
      </c>
      <c r="G141" s="125" t="str">
        <f>IF(Ujian!G148="","",IF(LEFT(Ujian!G148,1)=SEKOR!G$2,1,0))</f>
        <v/>
      </c>
      <c r="H141" s="125" t="str">
        <f>IF(Ujian!H148="","",IF(LEFT(Ujian!H148,1)=SEKOR!H$2,1,0))</f>
        <v/>
      </c>
      <c r="I141" s="125" t="str">
        <f>IF(Ujian!I148="","",IF(LEFT(Ujian!I148,1)=SEKOR!I$2,1,0))</f>
        <v/>
      </c>
      <c r="J141" s="125" t="str">
        <f>IF(Ujian!J148="","",IF(LEFT(Ujian!J148,1)=SEKOR!J$2,1,0))</f>
        <v/>
      </c>
      <c r="K141" s="125" t="str">
        <f>IF(Ujian!K148="","",IF(LEFT(Ujian!K148,1)=SEKOR!K$2,1,0))</f>
        <v/>
      </c>
      <c r="L141" s="125" t="str">
        <f>IF(Ujian!L148="","",IF(LEFT(Ujian!L148,1)=SEKOR!L$2,1,0))</f>
        <v/>
      </c>
      <c r="M141" s="125" t="str">
        <f>IF(Ujian!M148="","",IF(LEFT(Ujian!M148,1)=SEKOR!M$2,1,0))</f>
        <v/>
      </c>
      <c r="N141" s="125" t="str">
        <f>IF(Ujian!N148="","",IF(LEFT(Ujian!N148,1)=SEKOR!N$2,1,0))</f>
        <v/>
      </c>
      <c r="O141" s="125" t="str">
        <f>IF(Ujian!O148="","",IF(LEFT(Ujian!O148,1)=SEKOR!O$2,1,0))</f>
        <v/>
      </c>
      <c r="P141" s="125" t="str">
        <f>IF(Ujian!P148="","",IF(LEFT(Ujian!P148,1)=SEKOR!P$2,1,0))</f>
        <v/>
      </c>
      <c r="Q141" s="125" t="str">
        <f>IF(Ujian!Q148="","",IF(LEFT(Ujian!Q148,1)=SEKOR!Q$2,1,0))</f>
        <v/>
      </c>
      <c r="R141" s="125" t="str">
        <f>IF(Ujian!R148="","",IF(LEFT(Ujian!R148,1)=SEKOR!R$2,1,0))</f>
        <v/>
      </c>
      <c r="S141" s="125" t="str">
        <f>IF(Ujian!S148="","",IF(LEFT(Ujian!S148,1)=SEKOR!S$2,1,0))</f>
        <v/>
      </c>
      <c r="T141" s="125" t="str">
        <f>IF(Ujian!T148="","",IF(LEFT(Ujian!T148,1)=SEKOR!T$2,1,0))</f>
        <v/>
      </c>
      <c r="U141" s="125" t="str">
        <f>IF(Ujian!U148="","",IF(LEFT(Ujian!U148,1)=SEKOR!U$2,1,0))</f>
        <v/>
      </c>
      <c r="V141" s="125" t="str">
        <f>IF(Ujian!V148="","",IF(LEFT(Ujian!V148,1)=SEKOR!V$2,1,0))</f>
        <v/>
      </c>
      <c r="W141" s="125" t="str">
        <f>IF(Ujian!W148="","",IF(LEFT(Ujian!W148,1)=SEKOR!W$2,1,0))</f>
        <v/>
      </c>
      <c r="X141" s="125" t="str">
        <f>IF(Ujian!X148="","",IF(LEFT(Ujian!X148,1)=SEKOR!X$2,1,0))</f>
        <v/>
      </c>
      <c r="Y141" s="125" t="str">
        <f>IF(Ujian!Y148="","",IF(LEFT(Ujian!Y148,1)=SEKOR!Y$2,1,0))</f>
        <v/>
      </c>
      <c r="Z141" s="125" t="str">
        <f>IF(Ujian!Z148="","",IF(LEFT(Ujian!Z148,1)=SEKOR!Z$2,1,0))</f>
        <v/>
      </c>
      <c r="AA141" s="125" t="str">
        <f>IF(Ujian!AA148="","",IF(LEFT(Ujian!AA148,1)=SEKOR!AA$2,1,0))</f>
        <v/>
      </c>
      <c r="AB141" s="125" t="str">
        <f>IF(Ujian!AB148="","",IF(LEFT(Ujian!AB148,1)=SEKOR!AB$2,1,0))</f>
        <v/>
      </c>
      <c r="AC141" s="125" t="str">
        <f>IF(Ujian!AC148="","",IF(LEFT(Ujian!AC148,1)=SEKOR!AC$2,1,0))</f>
        <v/>
      </c>
      <c r="AD141" s="125" t="str">
        <f>IF(Ujian!AD148="","",IF(LEFT(Ujian!AD148,1)=SEKOR!AD$2,1,0))</f>
        <v/>
      </c>
      <c r="AE141" s="125" t="str">
        <f>IF(Ujian!AE148="","",IF(LEFT(Ujian!AE148,1)=SEKOR!AE$2,1,0))</f>
        <v/>
      </c>
      <c r="AF141" s="125" t="str">
        <f>IF(Ujian!AF148="","",IF(LEFT(Ujian!AF148,1)=SEKOR!AF$2,1,0))</f>
        <v/>
      </c>
      <c r="AG141" s="125" t="str">
        <f>IF(Ujian!AG148="","",IF(LEFT(Ujian!AG148,1)=SEKOR!AG$2,1,0))</f>
        <v/>
      </c>
      <c r="AH141" s="125" t="str">
        <f>IF(Ujian!AH148="","",IF(LEFT(Ujian!AH148,1)=SEKOR!AH$2,1,0))</f>
        <v/>
      </c>
      <c r="AI141" s="125" t="str">
        <f>IF(Ujian!AI148="","",IF(LEFT(Ujian!AI148,1)=SEKOR!AI$2,1,0))</f>
        <v/>
      </c>
      <c r="AJ141" s="125" t="str">
        <f>IF(Ujian!AJ148="","",IF(LEFT(Ujian!AJ148,1)=SEKOR!AJ$2,1,0))</f>
        <v/>
      </c>
      <c r="AK141" s="125" t="str">
        <f>IF(Ujian!AK148="","",IF(LEFT(Ujian!AK148,1)=SEKOR!AK$2,1,0))</f>
        <v/>
      </c>
      <c r="AL141" s="125" t="str">
        <f>IF(Ujian!AL148="","",IF(LEFT(Ujian!AL148,1)=SEKOR!AL$2,1,0))</f>
        <v/>
      </c>
      <c r="AM141" s="125" t="str">
        <f>IF(Ujian!AM148="","",IF(LEFT(Ujian!AM148,1)=SEKOR!AM$2,1,0))</f>
        <v/>
      </c>
      <c r="AN141" s="125" t="str">
        <f>IF(Ujian!AN148="","",IF(LEFT(Ujian!AN148,1)=SEKOR!AN$2,1,0))</f>
        <v/>
      </c>
      <c r="AO141" s="125" t="str">
        <f>IF(Ujian!AO148="","",IF(LEFT(Ujian!AO148,1)=SEKOR!AO$2,1,0))</f>
        <v/>
      </c>
      <c r="AP141" s="125" t="str">
        <f>IF(Ujian!AP148="","",IF(LEFT(Ujian!AP148,1)=SEKOR!AP$2,1,0))</f>
        <v/>
      </c>
      <c r="AQ141" s="125" t="str">
        <f>IF(Ujian!AQ148="","",IF(LEFT(Ujian!AQ148,1)=SEKOR!AQ$2,1,0))</f>
        <v/>
      </c>
      <c r="AR141" s="125" t="str">
        <f>IF(Ujian!AR148="","",IF(LEFT(Ujian!AR148,1)=SEKOR!AR$2,1,0))</f>
        <v/>
      </c>
      <c r="AS141" s="125" t="str">
        <f>IF(Ujian!AS148="","",IF(LEFT(Ujian!AS148,1)=SEKOR!AS$2,1,0))</f>
        <v/>
      </c>
      <c r="AT141" s="125" t="str">
        <f>IF(Ujian!AT148="","",IF(LEFT(Ujian!AT148,1)=SEKOR!AT$2,1,0))</f>
        <v/>
      </c>
      <c r="AU141" s="125" t="str">
        <f>IF(Ujian!AU148="","",IF(LEFT(Ujian!AU148,1)=SEKOR!AU$2,1,0))</f>
        <v/>
      </c>
      <c r="AV141" s="125" t="str">
        <f>IF(Ujian!AV148="","",IF(LEFT(Ujian!AV148,1)=SEKOR!AV$2,1,0))</f>
        <v/>
      </c>
      <c r="AW141" s="125" t="str">
        <f>IF(Ujian!AW148="","",IF(LEFT(Ujian!AW148,1)=SEKOR!AW$2,1,0))</f>
        <v/>
      </c>
      <c r="AX141" s="125" t="str">
        <f>IF(Ujian!AX148="","",IF(LEFT(Ujian!AX148,1)=SEKOR!AX$2,1,0))</f>
        <v/>
      </c>
      <c r="AY141" s="125" t="str">
        <f>IF(Ujian!AY148="","",IF(LEFT(Ujian!AY148,1)=SEKOR!AY$2,1,0))</f>
        <v/>
      </c>
      <c r="AZ141" s="125" t="str">
        <f>IF(Ujian!AZ148="","",IF(LEFT(Ujian!AZ148,1)=SEKOR!AZ$2,1,0))</f>
        <v/>
      </c>
      <c r="BA141" s="125" t="str">
        <f>IF(Ujian!BA148="","",IF(LEFT(Ujian!BA148,1)=SEKOR!BA$2,1,0))</f>
        <v/>
      </c>
      <c r="BB141" s="125" t="str">
        <f>IF(Ujian!BB148="","",IF(LEFT(Ujian!BB148,1)=SEKOR!BB$2,1,0))</f>
        <v/>
      </c>
      <c r="BC141" s="125" t="str">
        <f>IF(Ujian!BC148="","",IF(LEFT(Ujian!BC148,1)=SEKOR!BC$2,1,0))</f>
        <v/>
      </c>
      <c r="BD141" s="125" t="str">
        <f>IF(Ujian!BD148="","",IF(LEFT(Ujian!BD148,1)=SEKOR!BD$2,1,0))</f>
        <v/>
      </c>
      <c r="BE141" s="125" t="str">
        <f>IF(Ujian!BE148="","",IF(LEFT(Ujian!BE148,1)=SEKOR!BE$2,1,0))</f>
        <v/>
      </c>
      <c r="BF141" s="125" t="str">
        <f>IF(Ujian!BF148="","",IF(LEFT(Ujian!BF148,1)=SEKOR!BF$2,1,0))</f>
        <v/>
      </c>
      <c r="BG141" s="125" t="str">
        <f>IF(Ujian!BG148="","",IF(LEFT(Ujian!BG148,1)=SEKOR!BG$2,1,0))</f>
        <v/>
      </c>
      <c r="BH141" s="125" t="str">
        <f>IF(Ujian!BH148="","",IF(LEFT(Ujian!BH148,1)=SEKOR!BH$2,1,0))</f>
        <v/>
      </c>
      <c r="BI141" s="125" t="str">
        <f>IF(Ujian!BI148="","",IF(LEFT(Ujian!BI148,1)=SEKOR!BI$2,1,0))</f>
        <v/>
      </c>
      <c r="BJ141" s="125" t="str">
        <f>IF(Ujian!BJ148="","",IF(LEFT(Ujian!BJ148,1)=SEKOR!BJ$2,1,0))</f>
        <v/>
      </c>
      <c r="BK141" s="125" t="str">
        <f>IF(Ujian!BK148="","",IF(LEFT(Ujian!BK148,1)=SEKOR!BK$2,1,0))</f>
        <v/>
      </c>
      <c r="BL141" s="18">
        <f t="shared" si="4"/>
        <v>0</v>
      </c>
      <c r="BM141" s="18">
        <f>COUNTIF($D141:$BK141,"")+DATA!$F$14-DATA!$F$12</f>
        <v>60</v>
      </c>
      <c r="BN141" s="17">
        <f>IF(COUNTIF($D141:$BK141,1)&gt;DATA!$F$14,DATA!$F$14,COUNTIF($D141:$BK141,1))</f>
        <v>0</v>
      </c>
      <c r="BO141" s="17">
        <f>IF((BN141+COUNTIF($D141:$BK141,0))&lt;=DATA!$F$14,COUNTIF($D141:$BK141,0),DATA!$F$14-SEKOR!BN141)</f>
        <v>0</v>
      </c>
      <c r="BP141" s="4" t="str">
        <f>IF(BL141=0,"",BN141/DATA!$F$14*100)</f>
        <v/>
      </c>
      <c r="BQ141" s="121" t="str">
        <f t="shared" si="5"/>
        <v/>
      </c>
      <c r="BR141" s="2" t="str">
        <f>IF(Praktik!$E141=0,"",Praktik!$E141)</f>
        <v/>
      </c>
      <c r="BS141" s="2" t="str">
        <f>IF(BR141="","",(BP141*DATAINFO!$O$4)+(SEKOR!BR141*DATAINFO!$O$5)/(DATAINFO!$O$4+DATAINFO!$O$5))</f>
        <v/>
      </c>
      <c r="BT141" s="2" t="str">
        <f>IF(BL141=0,"",IF(DATA!$F$18="TIDAK",ROUNDUP((IF!$L$8*SEKOR!$BP141)+IF!$L$9,0),IF($BR141="","",ROUNDUP((IF!$L$20*$BS141)+IF!$L$21,0))))</f>
        <v/>
      </c>
      <c r="BU141" s="47" t="str">
        <f>IF(BP141="","",IF(SEKOR!BP141&gt;=DATA!$J$12,1,0))</f>
        <v/>
      </c>
      <c r="BV141" s="47" t="str">
        <f>IF(BQ141="","",IF(SEKOR!BQ141&gt;=DATA!$J$12,1,0))</f>
        <v/>
      </c>
      <c r="BW141" s="47" t="str">
        <f>IF(BR141="","",IF(SEKOR!BR141&gt;=DATA!$J$12,1,0))</f>
        <v/>
      </c>
      <c r="BX141" s="47" t="str">
        <f>IF(BT141="","",IF(DATA!$J$14="",IF(SEKOR!BT141&gt;=DATA!$J$12,1,0),IF(SEKOR!BT141&gt;=DATA!$J$14,1,0)))</f>
        <v/>
      </c>
    </row>
    <row r="142" spans="1:76" x14ac:dyDescent="0.25">
      <c r="A142" s="20" t="s">
        <v>169</v>
      </c>
      <c r="B142" s="21" t="str">
        <f>IF(Ujian!B149="","",Ujian!B149)</f>
        <v/>
      </c>
      <c r="C142" s="57" t="str">
        <f>IF(Ujian!C149="","",Ujian!C149)</f>
        <v/>
      </c>
      <c r="D142" s="125" t="str">
        <f>IF(Ujian!D149="","",IF(LEFT(Ujian!D149,1)=SEKOR!D$2,1,0))</f>
        <v/>
      </c>
      <c r="E142" s="125" t="str">
        <f>IF(Ujian!E149="","",IF(LEFT(Ujian!E149,1)=SEKOR!E$2,1,0))</f>
        <v/>
      </c>
      <c r="F142" s="125" t="str">
        <f>IF(Ujian!F149="","",IF(LEFT(Ujian!F149,1)=SEKOR!F$2,1,0))</f>
        <v/>
      </c>
      <c r="G142" s="125" t="str">
        <f>IF(Ujian!G149="","",IF(LEFT(Ujian!G149,1)=SEKOR!G$2,1,0))</f>
        <v/>
      </c>
      <c r="H142" s="125" t="str">
        <f>IF(Ujian!H149="","",IF(LEFT(Ujian!H149,1)=SEKOR!H$2,1,0))</f>
        <v/>
      </c>
      <c r="I142" s="125" t="str">
        <f>IF(Ujian!I149="","",IF(LEFT(Ujian!I149,1)=SEKOR!I$2,1,0))</f>
        <v/>
      </c>
      <c r="J142" s="125" t="str">
        <f>IF(Ujian!J149="","",IF(LEFT(Ujian!J149,1)=SEKOR!J$2,1,0))</f>
        <v/>
      </c>
      <c r="K142" s="125" t="str">
        <f>IF(Ujian!K149="","",IF(LEFT(Ujian!K149,1)=SEKOR!K$2,1,0))</f>
        <v/>
      </c>
      <c r="L142" s="125" t="str">
        <f>IF(Ujian!L149="","",IF(LEFT(Ujian!L149,1)=SEKOR!L$2,1,0))</f>
        <v/>
      </c>
      <c r="M142" s="125" t="str">
        <f>IF(Ujian!M149="","",IF(LEFT(Ujian!M149,1)=SEKOR!M$2,1,0))</f>
        <v/>
      </c>
      <c r="N142" s="125" t="str">
        <f>IF(Ujian!N149="","",IF(LEFT(Ujian!N149,1)=SEKOR!N$2,1,0))</f>
        <v/>
      </c>
      <c r="O142" s="125" t="str">
        <f>IF(Ujian!O149="","",IF(LEFT(Ujian!O149,1)=SEKOR!O$2,1,0))</f>
        <v/>
      </c>
      <c r="P142" s="125" t="str">
        <f>IF(Ujian!P149="","",IF(LEFT(Ujian!P149,1)=SEKOR!P$2,1,0))</f>
        <v/>
      </c>
      <c r="Q142" s="125" t="str">
        <f>IF(Ujian!Q149="","",IF(LEFT(Ujian!Q149,1)=SEKOR!Q$2,1,0))</f>
        <v/>
      </c>
      <c r="R142" s="125" t="str">
        <f>IF(Ujian!R149="","",IF(LEFT(Ujian!R149,1)=SEKOR!R$2,1,0))</f>
        <v/>
      </c>
      <c r="S142" s="125" t="str">
        <f>IF(Ujian!S149="","",IF(LEFT(Ujian!S149,1)=SEKOR!S$2,1,0))</f>
        <v/>
      </c>
      <c r="T142" s="125" t="str">
        <f>IF(Ujian!T149="","",IF(LEFT(Ujian!T149,1)=SEKOR!T$2,1,0))</f>
        <v/>
      </c>
      <c r="U142" s="125" t="str">
        <f>IF(Ujian!U149="","",IF(LEFT(Ujian!U149,1)=SEKOR!U$2,1,0))</f>
        <v/>
      </c>
      <c r="V142" s="125" t="str">
        <f>IF(Ujian!V149="","",IF(LEFT(Ujian!V149,1)=SEKOR!V$2,1,0))</f>
        <v/>
      </c>
      <c r="W142" s="125" t="str">
        <f>IF(Ujian!W149="","",IF(LEFT(Ujian!W149,1)=SEKOR!W$2,1,0))</f>
        <v/>
      </c>
      <c r="X142" s="125" t="str">
        <f>IF(Ujian!X149="","",IF(LEFT(Ujian!X149,1)=SEKOR!X$2,1,0))</f>
        <v/>
      </c>
      <c r="Y142" s="125" t="str">
        <f>IF(Ujian!Y149="","",IF(LEFT(Ujian!Y149,1)=SEKOR!Y$2,1,0))</f>
        <v/>
      </c>
      <c r="Z142" s="125" t="str">
        <f>IF(Ujian!Z149="","",IF(LEFT(Ujian!Z149,1)=SEKOR!Z$2,1,0))</f>
        <v/>
      </c>
      <c r="AA142" s="125" t="str">
        <f>IF(Ujian!AA149="","",IF(LEFT(Ujian!AA149,1)=SEKOR!AA$2,1,0))</f>
        <v/>
      </c>
      <c r="AB142" s="125" t="str">
        <f>IF(Ujian!AB149="","",IF(LEFT(Ujian!AB149,1)=SEKOR!AB$2,1,0))</f>
        <v/>
      </c>
      <c r="AC142" s="125" t="str">
        <f>IF(Ujian!AC149="","",IF(LEFT(Ujian!AC149,1)=SEKOR!AC$2,1,0))</f>
        <v/>
      </c>
      <c r="AD142" s="125" t="str">
        <f>IF(Ujian!AD149="","",IF(LEFT(Ujian!AD149,1)=SEKOR!AD$2,1,0))</f>
        <v/>
      </c>
      <c r="AE142" s="125" t="str">
        <f>IF(Ujian!AE149="","",IF(LEFT(Ujian!AE149,1)=SEKOR!AE$2,1,0))</f>
        <v/>
      </c>
      <c r="AF142" s="125" t="str">
        <f>IF(Ujian!AF149="","",IF(LEFT(Ujian!AF149,1)=SEKOR!AF$2,1,0))</f>
        <v/>
      </c>
      <c r="AG142" s="125" t="str">
        <f>IF(Ujian!AG149="","",IF(LEFT(Ujian!AG149,1)=SEKOR!AG$2,1,0))</f>
        <v/>
      </c>
      <c r="AH142" s="125" t="str">
        <f>IF(Ujian!AH149="","",IF(LEFT(Ujian!AH149,1)=SEKOR!AH$2,1,0))</f>
        <v/>
      </c>
      <c r="AI142" s="125" t="str">
        <f>IF(Ujian!AI149="","",IF(LEFT(Ujian!AI149,1)=SEKOR!AI$2,1,0))</f>
        <v/>
      </c>
      <c r="AJ142" s="125" t="str">
        <f>IF(Ujian!AJ149="","",IF(LEFT(Ujian!AJ149,1)=SEKOR!AJ$2,1,0))</f>
        <v/>
      </c>
      <c r="AK142" s="125" t="str">
        <f>IF(Ujian!AK149="","",IF(LEFT(Ujian!AK149,1)=SEKOR!AK$2,1,0))</f>
        <v/>
      </c>
      <c r="AL142" s="125" t="str">
        <f>IF(Ujian!AL149="","",IF(LEFT(Ujian!AL149,1)=SEKOR!AL$2,1,0))</f>
        <v/>
      </c>
      <c r="AM142" s="125" t="str">
        <f>IF(Ujian!AM149="","",IF(LEFT(Ujian!AM149,1)=SEKOR!AM$2,1,0))</f>
        <v/>
      </c>
      <c r="AN142" s="125" t="str">
        <f>IF(Ujian!AN149="","",IF(LEFT(Ujian!AN149,1)=SEKOR!AN$2,1,0))</f>
        <v/>
      </c>
      <c r="AO142" s="125" t="str">
        <f>IF(Ujian!AO149="","",IF(LEFT(Ujian!AO149,1)=SEKOR!AO$2,1,0))</f>
        <v/>
      </c>
      <c r="AP142" s="125" t="str">
        <f>IF(Ujian!AP149="","",IF(LEFT(Ujian!AP149,1)=SEKOR!AP$2,1,0))</f>
        <v/>
      </c>
      <c r="AQ142" s="125" t="str">
        <f>IF(Ujian!AQ149="","",IF(LEFT(Ujian!AQ149,1)=SEKOR!AQ$2,1,0))</f>
        <v/>
      </c>
      <c r="AR142" s="125" t="str">
        <f>IF(Ujian!AR149="","",IF(LEFT(Ujian!AR149,1)=SEKOR!AR$2,1,0))</f>
        <v/>
      </c>
      <c r="AS142" s="125" t="str">
        <f>IF(Ujian!AS149="","",IF(LEFT(Ujian!AS149,1)=SEKOR!AS$2,1,0))</f>
        <v/>
      </c>
      <c r="AT142" s="125" t="str">
        <f>IF(Ujian!AT149="","",IF(LEFT(Ujian!AT149,1)=SEKOR!AT$2,1,0))</f>
        <v/>
      </c>
      <c r="AU142" s="125" t="str">
        <f>IF(Ujian!AU149="","",IF(LEFT(Ujian!AU149,1)=SEKOR!AU$2,1,0))</f>
        <v/>
      </c>
      <c r="AV142" s="125" t="str">
        <f>IF(Ujian!AV149="","",IF(LEFT(Ujian!AV149,1)=SEKOR!AV$2,1,0))</f>
        <v/>
      </c>
      <c r="AW142" s="125" t="str">
        <f>IF(Ujian!AW149="","",IF(LEFT(Ujian!AW149,1)=SEKOR!AW$2,1,0))</f>
        <v/>
      </c>
      <c r="AX142" s="125" t="str">
        <f>IF(Ujian!AX149="","",IF(LEFT(Ujian!AX149,1)=SEKOR!AX$2,1,0))</f>
        <v/>
      </c>
      <c r="AY142" s="125" t="str">
        <f>IF(Ujian!AY149="","",IF(LEFT(Ujian!AY149,1)=SEKOR!AY$2,1,0))</f>
        <v/>
      </c>
      <c r="AZ142" s="125" t="str">
        <f>IF(Ujian!AZ149="","",IF(LEFT(Ujian!AZ149,1)=SEKOR!AZ$2,1,0))</f>
        <v/>
      </c>
      <c r="BA142" s="125" t="str">
        <f>IF(Ujian!BA149="","",IF(LEFT(Ujian!BA149,1)=SEKOR!BA$2,1,0))</f>
        <v/>
      </c>
      <c r="BB142" s="125" t="str">
        <f>IF(Ujian!BB149="","",IF(LEFT(Ujian!BB149,1)=SEKOR!BB$2,1,0))</f>
        <v/>
      </c>
      <c r="BC142" s="125" t="str">
        <f>IF(Ujian!BC149="","",IF(LEFT(Ujian!BC149,1)=SEKOR!BC$2,1,0))</f>
        <v/>
      </c>
      <c r="BD142" s="125" t="str">
        <f>IF(Ujian!BD149="","",IF(LEFT(Ujian!BD149,1)=SEKOR!BD$2,1,0))</f>
        <v/>
      </c>
      <c r="BE142" s="125" t="str">
        <f>IF(Ujian!BE149="","",IF(LEFT(Ujian!BE149,1)=SEKOR!BE$2,1,0))</f>
        <v/>
      </c>
      <c r="BF142" s="125" t="str">
        <f>IF(Ujian!BF149="","",IF(LEFT(Ujian!BF149,1)=SEKOR!BF$2,1,0))</f>
        <v/>
      </c>
      <c r="BG142" s="125" t="str">
        <f>IF(Ujian!BG149="","",IF(LEFT(Ujian!BG149,1)=SEKOR!BG$2,1,0))</f>
        <v/>
      </c>
      <c r="BH142" s="125" t="str">
        <f>IF(Ujian!BH149="","",IF(LEFT(Ujian!BH149,1)=SEKOR!BH$2,1,0))</f>
        <v/>
      </c>
      <c r="BI142" s="125" t="str">
        <f>IF(Ujian!BI149="","",IF(LEFT(Ujian!BI149,1)=SEKOR!BI$2,1,0))</f>
        <v/>
      </c>
      <c r="BJ142" s="125" t="str">
        <f>IF(Ujian!BJ149="","",IF(LEFT(Ujian!BJ149,1)=SEKOR!BJ$2,1,0))</f>
        <v/>
      </c>
      <c r="BK142" s="125" t="str">
        <f>IF(Ujian!BK149="","",IF(LEFT(Ujian!BK149,1)=SEKOR!BK$2,1,0))</f>
        <v/>
      </c>
      <c r="BL142" s="18">
        <f t="shared" si="4"/>
        <v>0</v>
      </c>
      <c r="BM142" s="18">
        <f>COUNTIF($D142:$BK142,"")+DATA!$F$14-DATA!$F$12</f>
        <v>60</v>
      </c>
      <c r="BN142" s="17">
        <f>IF(COUNTIF($D142:$BK142,1)&gt;DATA!$F$14,DATA!$F$14,COUNTIF($D142:$BK142,1))</f>
        <v>0</v>
      </c>
      <c r="BO142" s="17">
        <f>IF((BN142+COUNTIF($D142:$BK142,0))&lt;=DATA!$F$14,COUNTIF($D142:$BK142,0),DATA!$F$14-SEKOR!BN142)</f>
        <v>0</v>
      </c>
      <c r="BP142" s="4" t="str">
        <f>IF(BL142=0,"",BN142/DATA!$F$14*100)</f>
        <v/>
      </c>
      <c r="BQ142" s="121" t="str">
        <f t="shared" si="5"/>
        <v/>
      </c>
      <c r="BR142" s="2" t="str">
        <f>IF(Praktik!$E142=0,"",Praktik!$E142)</f>
        <v/>
      </c>
      <c r="BS142" s="2" t="str">
        <f>IF(BR142="","",(BP142*DATAINFO!$O$4)+(SEKOR!BR142*DATAINFO!$O$5)/(DATAINFO!$O$4+DATAINFO!$O$5))</f>
        <v/>
      </c>
      <c r="BT142" s="2" t="str">
        <f>IF(BL142=0,"",IF(DATA!$F$18="TIDAK",ROUNDUP((IF!$L$8*SEKOR!$BP142)+IF!$L$9,0),IF($BR142="","",ROUNDUP((IF!$L$20*$BS142)+IF!$L$21,0))))</f>
        <v/>
      </c>
      <c r="BU142" s="47" t="str">
        <f>IF(BP142="","",IF(SEKOR!BP142&gt;=DATA!$J$12,1,0))</f>
        <v/>
      </c>
      <c r="BV142" s="47" t="str">
        <f>IF(BQ142="","",IF(SEKOR!BQ142&gt;=DATA!$J$12,1,0))</f>
        <v/>
      </c>
      <c r="BW142" s="47" t="str">
        <f>IF(BR142="","",IF(SEKOR!BR142&gt;=DATA!$J$12,1,0))</f>
        <v/>
      </c>
      <c r="BX142" s="47" t="str">
        <f>IF(BT142="","",IF(DATA!$J$14="",IF(SEKOR!BT142&gt;=DATA!$J$12,1,0),IF(SEKOR!BT142&gt;=DATA!$J$14,1,0)))</f>
        <v/>
      </c>
    </row>
    <row r="143" spans="1:76" x14ac:dyDescent="0.25">
      <c r="A143" s="20" t="s">
        <v>170</v>
      </c>
      <c r="B143" s="21" t="str">
        <f>IF(Ujian!B150="","",Ujian!B150)</f>
        <v/>
      </c>
      <c r="C143" s="57" t="str">
        <f>IF(Ujian!C150="","",Ujian!C150)</f>
        <v/>
      </c>
      <c r="D143" s="125" t="str">
        <f>IF(Ujian!D150="","",IF(LEFT(Ujian!D150,1)=SEKOR!D$2,1,0))</f>
        <v/>
      </c>
      <c r="E143" s="125" t="str">
        <f>IF(Ujian!E150="","",IF(LEFT(Ujian!E150,1)=SEKOR!E$2,1,0))</f>
        <v/>
      </c>
      <c r="F143" s="125" t="str">
        <f>IF(Ujian!F150="","",IF(LEFT(Ujian!F150,1)=SEKOR!F$2,1,0))</f>
        <v/>
      </c>
      <c r="G143" s="125" t="str">
        <f>IF(Ujian!G150="","",IF(LEFT(Ujian!G150,1)=SEKOR!G$2,1,0))</f>
        <v/>
      </c>
      <c r="H143" s="125" t="str">
        <f>IF(Ujian!H150="","",IF(LEFT(Ujian!H150,1)=SEKOR!H$2,1,0))</f>
        <v/>
      </c>
      <c r="I143" s="125" t="str">
        <f>IF(Ujian!I150="","",IF(LEFT(Ujian!I150,1)=SEKOR!I$2,1,0))</f>
        <v/>
      </c>
      <c r="J143" s="125" t="str">
        <f>IF(Ujian!J150="","",IF(LEFT(Ujian!J150,1)=SEKOR!J$2,1,0))</f>
        <v/>
      </c>
      <c r="K143" s="125" t="str">
        <f>IF(Ujian!K150="","",IF(LEFT(Ujian!K150,1)=SEKOR!K$2,1,0))</f>
        <v/>
      </c>
      <c r="L143" s="125" t="str">
        <f>IF(Ujian!L150="","",IF(LEFT(Ujian!L150,1)=SEKOR!L$2,1,0))</f>
        <v/>
      </c>
      <c r="M143" s="125" t="str">
        <f>IF(Ujian!M150="","",IF(LEFT(Ujian!M150,1)=SEKOR!M$2,1,0))</f>
        <v/>
      </c>
      <c r="N143" s="125" t="str">
        <f>IF(Ujian!N150="","",IF(LEFT(Ujian!N150,1)=SEKOR!N$2,1,0))</f>
        <v/>
      </c>
      <c r="O143" s="125" t="str">
        <f>IF(Ujian!O150="","",IF(LEFT(Ujian!O150,1)=SEKOR!O$2,1,0))</f>
        <v/>
      </c>
      <c r="P143" s="125" t="str">
        <f>IF(Ujian!P150="","",IF(LEFT(Ujian!P150,1)=SEKOR!P$2,1,0))</f>
        <v/>
      </c>
      <c r="Q143" s="125" t="str">
        <f>IF(Ujian!Q150="","",IF(LEFT(Ujian!Q150,1)=SEKOR!Q$2,1,0))</f>
        <v/>
      </c>
      <c r="R143" s="125" t="str">
        <f>IF(Ujian!R150="","",IF(LEFT(Ujian!R150,1)=SEKOR!R$2,1,0))</f>
        <v/>
      </c>
      <c r="S143" s="125" t="str">
        <f>IF(Ujian!S150="","",IF(LEFT(Ujian!S150,1)=SEKOR!S$2,1,0))</f>
        <v/>
      </c>
      <c r="T143" s="125" t="str">
        <f>IF(Ujian!T150="","",IF(LEFT(Ujian!T150,1)=SEKOR!T$2,1,0))</f>
        <v/>
      </c>
      <c r="U143" s="125" t="str">
        <f>IF(Ujian!U150="","",IF(LEFT(Ujian!U150,1)=SEKOR!U$2,1,0))</f>
        <v/>
      </c>
      <c r="V143" s="125" t="str">
        <f>IF(Ujian!V150="","",IF(LEFT(Ujian!V150,1)=SEKOR!V$2,1,0))</f>
        <v/>
      </c>
      <c r="W143" s="125" t="str">
        <f>IF(Ujian!W150="","",IF(LEFT(Ujian!W150,1)=SEKOR!W$2,1,0))</f>
        <v/>
      </c>
      <c r="X143" s="125" t="str">
        <f>IF(Ujian!X150="","",IF(LEFT(Ujian!X150,1)=SEKOR!X$2,1,0))</f>
        <v/>
      </c>
      <c r="Y143" s="125" t="str">
        <f>IF(Ujian!Y150="","",IF(LEFT(Ujian!Y150,1)=SEKOR!Y$2,1,0))</f>
        <v/>
      </c>
      <c r="Z143" s="125" t="str">
        <f>IF(Ujian!Z150="","",IF(LEFT(Ujian!Z150,1)=SEKOR!Z$2,1,0))</f>
        <v/>
      </c>
      <c r="AA143" s="125" t="str">
        <f>IF(Ujian!AA150="","",IF(LEFT(Ujian!AA150,1)=SEKOR!AA$2,1,0))</f>
        <v/>
      </c>
      <c r="AB143" s="125" t="str">
        <f>IF(Ujian!AB150="","",IF(LEFT(Ujian!AB150,1)=SEKOR!AB$2,1,0))</f>
        <v/>
      </c>
      <c r="AC143" s="125" t="str">
        <f>IF(Ujian!AC150="","",IF(LEFT(Ujian!AC150,1)=SEKOR!AC$2,1,0))</f>
        <v/>
      </c>
      <c r="AD143" s="125" t="str">
        <f>IF(Ujian!AD150="","",IF(LEFT(Ujian!AD150,1)=SEKOR!AD$2,1,0))</f>
        <v/>
      </c>
      <c r="AE143" s="125" t="str">
        <f>IF(Ujian!AE150="","",IF(LEFT(Ujian!AE150,1)=SEKOR!AE$2,1,0))</f>
        <v/>
      </c>
      <c r="AF143" s="125" t="str">
        <f>IF(Ujian!AF150="","",IF(LEFT(Ujian!AF150,1)=SEKOR!AF$2,1,0))</f>
        <v/>
      </c>
      <c r="AG143" s="125" t="str">
        <f>IF(Ujian!AG150="","",IF(LEFT(Ujian!AG150,1)=SEKOR!AG$2,1,0))</f>
        <v/>
      </c>
      <c r="AH143" s="125" t="str">
        <f>IF(Ujian!AH150="","",IF(LEFT(Ujian!AH150,1)=SEKOR!AH$2,1,0))</f>
        <v/>
      </c>
      <c r="AI143" s="125" t="str">
        <f>IF(Ujian!AI150="","",IF(LEFT(Ujian!AI150,1)=SEKOR!AI$2,1,0))</f>
        <v/>
      </c>
      <c r="AJ143" s="125" t="str">
        <f>IF(Ujian!AJ150="","",IF(LEFT(Ujian!AJ150,1)=SEKOR!AJ$2,1,0))</f>
        <v/>
      </c>
      <c r="AK143" s="125" t="str">
        <f>IF(Ujian!AK150="","",IF(LEFT(Ujian!AK150,1)=SEKOR!AK$2,1,0))</f>
        <v/>
      </c>
      <c r="AL143" s="125" t="str">
        <f>IF(Ujian!AL150="","",IF(LEFT(Ujian!AL150,1)=SEKOR!AL$2,1,0))</f>
        <v/>
      </c>
      <c r="AM143" s="125" t="str">
        <f>IF(Ujian!AM150="","",IF(LEFT(Ujian!AM150,1)=SEKOR!AM$2,1,0))</f>
        <v/>
      </c>
      <c r="AN143" s="125" t="str">
        <f>IF(Ujian!AN150="","",IF(LEFT(Ujian!AN150,1)=SEKOR!AN$2,1,0))</f>
        <v/>
      </c>
      <c r="AO143" s="125" t="str">
        <f>IF(Ujian!AO150="","",IF(LEFT(Ujian!AO150,1)=SEKOR!AO$2,1,0))</f>
        <v/>
      </c>
      <c r="AP143" s="125" t="str">
        <f>IF(Ujian!AP150="","",IF(LEFT(Ujian!AP150,1)=SEKOR!AP$2,1,0))</f>
        <v/>
      </c>
      <c r="AQ143" s="125" t="str">
        <f>IF(Ujian!AQ150="","",IF(LEFT(Ujian!AQ150,1)=SEKOR!AQ$2,1,0))</f>
        <v/>
      </c>
      <c r="AR143" s="125" t="str">
        <f>IF(Ujian!AR150="","",IF(LEFT(Ujian!AR150,1)=SEKOR!AR$2,1,0))</f>
        <v/>
      </c>
      <c r="AS143" s="125" t="str">
        <f>IF(Ujian!AS150="","",IF(LEFT(Ujian!AS150,1)=SEKOR!AS$2,1,0))</f>
        <v/>
      </c>
      <c r="AT143" s="125" t="str">
        <f>IF(Ujian!AT150="","",IF(LEFT(Ujian!AT150,1)=SEKOR!AT$2,1,0))</f>
        <v/>
      </c>
      <c r="AU143" s="125" t="str">
        <f>IF(Ujian!AU150="","",IF(LEFT(Ujian!AU150,1)=SEKOR!AU$2,1,0))</f>
        <v/>
      </c>
      <c r="AV143" s="125" t="str">
        <f>IF(Ujian!AV150="","",IF(LEFT(Ujian!AV150,1)=SEKOR!AV$2,1,0))</f>
        <v/>
      </c>
      <c r="AW143" s="125" t="str">
        <f>IF(Ujian!AW150="","",IF(LEFT(Ujian!AW150,1)=SEKOR!AW$2,1,0))</f>
        <v/>
      </c>
      <c r="AX143" s="125" t="str">
        <f>IF(Ujian!AX150="","",IF(LEFT(Ujian!AX150,1)=SEKOR!AX$2,1,0))</f>
        <v/>
      </c>
      <c r="AY143" s="125" t="str">
        <f>IF(Ujian!AY150="","",IF(LEFT(Ujian!AY150,1)=SEKOR!AY$2,1,0))</f>
        <v/>
      </c>
      <c r="AZ143" s="125" t="str">
        <f>IF(Ujian!AZ150="","",IF(LEFT(Ujian!AZ150,1)=SEKOR!AZ$2,1,0))</f>
        <v/>
      </c>
      <c r="BA143" s="125" t="str">
        <f>IF(Ujian!BA150="","",IF(LEFT(Ujian!BA150,1)=SEKOR!BA$2,1,0))</f>
        <v/>
      </c>
      <c r="BB143" s="125" t="str">
        <f>IF(Ujian!BB150="","",IF(LEFT(Ujian!BB150,1)=SEKOR!BB$2,1,0))</f>
        <v/>
      </c>
      <c r="BC143" s="125" t="str">
        <f>IF(Ujian!BC150="","",IF(LEFT(Ujian!BC150,1)=SEKOR!BC$2,1,0))</f>
        <v/>
      </c>
      <c r="BD143" s="125" t="str">
        <f>IF(Ujian!BD150="","",IF(LEFT(Ujian!BD150,1)=SEKOR!BD$2,1,0))</f>
        <v/>
      </c>
      <c r="BE143" s="125" t="str">
        <f>IF(Ujian!BE150="","",IF(LEFT(Ujian!BE150,1)=SEKOR!BE$2,1,0))</f>
        <v/>
      </c>
      <c r="BF143" s="125" t="str">
        <f>IF(Ujian!BF150="","",IF(LEFT(Ujian!BF150,1)=SEKOR!BF$2,1,0))</f>
        <v/>
      </c>
      <c r="BG143" s="125" t="str">
        <f>IF(Ujian!BG150="","",IF(LEFT(Ujian!BG150,1)=SEKOR!BG$2,1,0))</f>
        <v/>
      </c>
      <c r="BH143" s="125" t="str">
        <f>IF(Ujian!BH150="","",IF(LEFT(Ujian!BH150,1)=SEKOR!BH$2,1,0))</f>
        <v/>
      </c>
      <c r="BI143" s="125" t="str">
        <f>IF(Ujian!BI150="","",IF(LEFT(Ujian!BI150,1)=SEKOR!BI$2,1,0))</f>
        <v/>
      </c>
      <c r="BJ143" s="125" t="str">
        <f>IF(Ujian!BJ150="","",IF(LEFT(Ujian!BJ150,1)=SEKOR!BJ$2,1,0))</f>
        <v/>
      </c>
      <c r="BK143" s="125" t="str">
        <f>IF(Ujian!BK150="","",IF(LEFT(Ujian!BK150,1)=SEKOR!BK$2,1,0))</f>
        <v/>
      </c>
      <c r="BL143" s="18">
        <f t="shared" si="4"/>
        <v>0</v>
      </c>
      <c r="BM143" s="18">
        <f>COUNTIF($D143:$BK143,"")+DATA!$F$14-DATA!$F$12</f>
        <v>60</v>
      </c>
      <c r="BN143" s="17">
        <f>IF(COUNTIF($D143:$BK143,1)&gt;DATA!$F$14,DATA!$F$14,COUNTIF($D143:$BK143,1))</f>
        <v>0</v>
      </c>
      <c r="BO143" s="17">
        <f>IF((BN143+COUNTIF($D143:$BK143,0))&lt;=DATA!$F$14,COUNTIF($D143:$BK143,0),DATA!$F$14-SEKOR!BN143)</f>
        <v>0</v>
      </c>
      <c r="BP143" s="4" t="str">
        <f>IF(BL143=0,"",BN143/DATA!$F$14*100)</f>
        <v/>
      </c>
      <c r="BQ143" s="121" t="str">
        <f t="shared" si="5"/>
        <v/>
      </c>
      <c r="BR143" s="2" t="str">
        <f>IF(Praktik!$E143=0,"",Praktik!$E143)</f>
        <v/>
      </c>
      <c r="BS143" s="2" t="str">
        <f>IF(BR143="","",(BP143*DATAINFO!$O$4)+(SEKOR!BR143*DATAINFO!$O$5)/(DATAINFO!$O$4+DATAINFO!$O$5))</f>
        <v/>
      </c>
      <c r="BT143" s="2" t="str">
        <f>IF(BL143=0,"",IF(DATA!$F$18="TIDAK",ROUNDUP((IF!$L$8*SEKOR!$BP143)+IF!$L$9,0),IF($BR143="","",ROUNDUP((IF!$L$20*$BS143)+IF!$L$21,0))))</f>
        <v/>
      </c>
      <c r="BU143" s="47" t="str">
        <f>IF(BP143="","",IF(SEKOR!BP143&gt;=DATA!$J$12,1,0))</f>
        <v/>
      </c>
      <c r="BV143" s="47" t="str">
        <f>IF(BQ143="","",IF(SEKOR!BQ143&gt;=DATA!$J$12,1,0))</f>
        <v/>
      </c>
      <c r="BW143" s="47" t="str">
        <f>IF(BR143="","",IF(SEKOR!BR143&gt;=DATA!$J$12,1,0))</f>
        <v/>
      </c>
      <c r="BX143" s="47" t="str">
        <f>IF(BT143="","",IF(DATA!$J$14="",IF(SEKOR!BT143&gt;=DATA!$J$12,1,0),IF(SEKOR!BT143&gt;=DATA!$J$14,1,0)))</f>
        <v/>
      </c>
    </row>
    <row r="144" spans="1:76" x14ac:dyDescent="0.25">
      <c r="A144" s="20" t="s">
        <v>171</v>
      </c>
      <c r="B144" s="21" t="str">
        <f>IF(Ujian!B151="","",Ujian!B151)</f>
        <v/>
      </c>
      <c r="C144" s="57" t="str">
        <f>IF(Ujian!C151="","",Ujian!C151)</f>
        <v/>
      </c>
      <c r="D144" s="125" t="str">
        <f>IF(Ujian!D151="","",IF(LEFT(Ujian!D151,1)=SEKOR!D$2,1,0))</f>
        <v/>
      </c>
      <c r="E144" s="125" t="str">
        <f>IF(Ujian!E151="","",IF(LEFT(Ujian!E151,1)=SEKOR!E$2,1,0))</f>
        <v/>
      </c>
      <c r="F144" s="125" t="str">
        <f>IF(Ujian!F151="","",IF(LEFT(Ujian!F151,1)=SEKOR!F$2,1,0))</f>
        <v/>
      </c>
      <c r="G144" s="125" t="str">
        <f>IF(Ujian!G151="","",IF(LEFT(Ujian!G151,1)=SEKOR!G$2,1,0))</f>
        <v/>
      </c>
      <c r="H144" s="125" t="str">
        <f>IF(Ujian!H151="","",IF(LEFT(Ujian!H151,1)=SEKOR!H$2,1,0))</f>
        <v/>
      </c>
      <c r="I144" s="125" t="str">
        <f>IF(Ujian!I151="","",IF(LEFT(Ujian!I151,1)=SEKOR!I$2,1,0))</f>
        <v/>
      </c>
      <c r="J144" s="125" t="str">
        <f>IF(Ujian!J151="","",IF(LEFT(Ujian!J151,1)=SEKOR!J$2,1,0))</f>
        <v/>
      </c>
      <c r="K144" s="125" t="str">
        <f>IF(Ujian!K151="","",IF(LEFT(Ujian!K151,1)=SEKOR!K$2,1,0))</f>
        <v/>
      </c>
      <c r="L144" s="125" t="str">
        <f>IF(Ujian!L151="","",IF(LEFT(Ujian!L151,1)=SEKOR!L$2,1,0))</f>
        <v/>
      </c>
      <c r="M144" s="125" t="str">
        <f>IF(Ujian!M151="","",IF(LEFT(Ujian!M151,1)=SEKOR!M$2,1,0))</f>
        <v/>
      </c>
      <c r="N144" s="125" t="str">
        <f>IF(Ujian!N151="","",IF(LEFT(Ujian!N151,1)=SEKOR!N$2,1,0))</f>
        <v/>
      </c>
      <c r="O144" s="125" t="str">
        <f>IF(Ujian!O151="","",IF(LEFT(Ujian!O151,1)=SEKOR!O$2,1,0))</f>
        <v/>
      </c>
      <c r="P144" s="125" t="str">
        <f>IF(Ujian!P151="","",IF(LEFT(Ujian!P151,1)=SEKOR!P$2,1,0))</f>
        <v/>
      </c>
      <c r="Q144" s="125" t="str">
        <f>IF(Ujian!Q151="","",IF(LEFT(Ujian!Q151,1)=SEKOR!Q$2,1,0))</f>
        <v/>
      </c>
      <c r="R144" s="125" t="str">
        <f>IF(Ujian!R151="","",IF(LEFT(Ujian!R151,1)=SEKOR!R$2,1,0))</f>
        <v/>
      </c>
      <c r="S144" s="125" t="str">
        <f>IF(Ujian!S151="","",IF(LEFT(Ujian!S151,1)=SEKOR!S$2,1,0))</f>
        <v/>
      </c>
      <c r="T144" s="125" t="str">
        <f>IF(Ujian!T151="","",IF(LEFT(Ujian!T151,1)=SEKOR!T$2,1,0))</f>
        <v/>
      </c>
      <c r="U144" s="125" t="str">
        <f>IF(Ujian!U151="","",IF(LEFT(Ujian!U151,1)=SEKOR!U$2,1,0))</f>
        <v/>
      </c>
      <c r="V144" s="125" t="str">
        <f>IF(Ujian!V151="","",IF(LEFT(Ujian!V151,1)=SEKOR!V$2,1,0))</f>
        <v/>
      </c>
      <c r="W144" s="125" t="str">
        <f>IF(Ujian!W151="","",IF(LEFT(Ujian!W151,1)=SEKOR!W$2,1,0))</f>
        <v/>
      </c>
      <c r="X144" s="125" t="str">
        <f>IF(Ujian!X151="","",IF(LEFT(Ujian!X151,1)=SEKOR!X$2,1,0))</f>
        <v/>
      </c>
      <c r="Y144" s="125" t="str">
        <f>IF(Ujian!Y151="","",IF(LEFT(Ujian!Y151,1)=SEKOR!Y$2,1,0))</f>
        <v/>
      </c>
      <c r="Z144" s="125" t="str">
        <f>IF(Ujian!Z151="","",IF(LEFT(Ujian!Z151,1)=SEKOR!Z$2,1,0))</f>
        <v/>
      </c>
      <c r="AA144" s="125" t="str">
        <f>IF(Ujian!AA151="","",IF(LEFT(Ujian!AA151,1)=SEKOR!AA$2,1,0))</f>
        <v/>
      </c>
      <c r="AB144" s="125" t="str">
        <f>IF(Ujian!AB151="","",IF(LEFT(Ujian!AB151,1)=SEKOR!AB$2,1,0))</f>
        <v/>
      </c>
      <c r="AC144" s="125" t="str">
        <f>IF(Ujian!AC151="","",IF(LEFT(Ujian!AC151,1)=SEKOR!AC$2,1,0))</f>
        <v/>
      </c>
      <c r="AD144" s="125" t="str">
        <f>IF(Ujian!AD151="","",IF(LEFT(Ujian!AD151,1)=SEKOR!AD$2,1,0))</f>
        <v/>
      </c>
      <c r="AE144" s="125" t="str">
        <f>IF(Ujian!AE151="","",IF(LEFT(Ujian!AE151,1)=SEKOR!AE$2,1,0))</f>
        <v/>
      </c>
      <c r="AF144" s="125" t="str">
        <f>IF(Ujian!AF151="","",IF(LEFT(Ujian!AF151,1)=SEKOR!AF$2,1,0))</f>
        <v/>
      </c>
      <c r="AG144" s="125" t="str">
        <f>IF(Ujian!AG151="","",IF(LEFT(Ujian!AG151,1)=SEKOR!AG$2,1,0))</f>
        <v/>
      </c>
      <c r="AH144" s="125" t="str">
        <f>IF(Ujian!AH151="","",IF(LEFT(Ujian!AH151,1)=SEKOR!AH$2,1,0))</f>
        <v/>
      </c>
      <c r="AI144" s="125" t="str">
        <f>IF(Ujian!AI151="","",IF(LEFT(Ujian!AI151,1)=SEKOR!AI$2,1,0))</f>
        <v/>
      </c>
      <c r="AJ144" s="125" t="str">
        <f>IF(Ujian!AJ151="","",IF(LEFT(Ujian!AJ151,1)=SEKOR!AJ$2,1,0))</f>
        <v/>
      </c>
      <c r="AK144" s="125" t="str">
        <f>IF(Ujian!AK151="","",IF(LEFT(Ujian!AK151,1)=SEKOR!AK$2,1,0))</f>
        <v/>
      </c>
      <c r="AL144" s="125" t="str">
        <f>IF(Ujian!AL151="","",IF(LEFT(Ujian!AL151,1)=SEKOR!AL$2,1,0))</f>
        <v/>
      </c>
      <c r="AM144" s="125" t="str">
        <f>IF(Ujian!AM151="","",IF(LEFT(Ujian!AM151,1)=SEKOR!AM$2,1,0))</f>
        <v/>
      </c>
      <c r="AN144" s="125" t="str">
        <f>IF(Ujian!AN151="","",IF(LEFT(Ujian!AN151,1)=SEKOR!AN$2,1,0))</f>
        <v/>
      </c>
      <c r="AO144" s="125" t="str">
        <f>IF(Ujian!AO151="","",IF(LEFT(Ujian!AO151,1)=SEKOR!AO$2,1,0))</f>
        <v/>
      </c>
      <c r="AP144" s="125" t="str">
        <f>IF(Ujian!AP151="","",IF(LEFT(Ujian!AP151,1)=SEKOR!AP$2,1,0))</f>
        <v/>
      </c>
      <c r="AQ144" s="125" t="str">
        <f>IF(Ujian!AQ151="","",IF(LEFT(Ujian!AQ151,1)=SEKOR!AQ$2,1,0))</f>
        <v/>
      </c>
      <c r="AR144" s="125" t="str">
        <f>IF(Ujian!AR151="","",IF(LEFT(Ujian!AR151,1)=SEKOR!AR$2,1,0))</f>
        <v/>
      </c>
      <c r="AS144" s="125" t="str">
        <f>IF(Ujian!AS151="","",IF(LEFT(Ujian!AS151,1)=SEKOR!AS$2,1,0))</f>
        <v/>
      </c>
      <c r="AT144" s="125" t="str">
        <f>IF(Ujian!AT151="","",IF(LEFT(Ujian!AT151,1)=SEKOR!AT$2,1,0))</f>
        <v/>
      </c>
      <c r="AU144" s="125" t="str">
        <f>IF(Ujian!AU151="","",IF(LEFT(Ujian!AU151,1)=SEKOR!AU$2,1,0))</f>
        <v/>
      </c>
      <c r="AV144" s="125" t="str">
        <f>IF(Ujian!AV151="","",IF(LEFT(Ujian!AV151,1)=SEKOR!AV$2,1,0))</f>
        <v/>
      </c>
      <c r="AW144" s="125" t="str">
        <f>IF(Ujian!AW151="","",IF(LEFT(Ujian!AW151,1)=SEKOR!AW$2,1,0))</f>
        <v/>
      </c>
      <c r="AX144" s="125" t="str">
        <f>IF(Ujian!AX151="","",IF(LEFT(Ujian!AX151,1)=SEKOR!AX$2,1,0))</f>
        <v/>
      </c>
      <c r="AY144" s="125" t="str">
        <f>IF(Ujian!AY151="","",IF(LEFT(Ujian!AY151,1)=SEKOR!AY$2,1,0))</f>
        <v/>
      </c>
      <c r="AZ144" s="125" t="str">
        <f>IF(Ujian!AZ151="","",IF(LEFT(Ujian!AZ151,1)=SEKOR!AZ$2,1,0))</f>
        <v/>
      </c>
      <c r="BA144" s="125" t="str">
        <f>IF(Ujian!BA151="","",IF(LEFT(Ujian!BA151,1)=SEKOR!BA$2,1,0))</f>
        <v/>
      </c>
      <c r="BB144" s="125" t="str">
        <f>IF(Ujian!BB151="","",IF(LEFT(Ujian!BB151,1)=SEKOR!BB$2,1,0))</f>
        <v/>
      </c>
      <c r="BC144" s="125" t="str">
        <f>IF(Ujian!BC151="","",IF(LEFT(Ujian!BC151,1)=SEKOR!BC$2,1,0))</f>
        <v/>
      </c>
      <c r="BD144" s="125" t="str">
        <f>IF(Ujian!BD151="","",IF(LEFT(Ujian!BD151,1)=SEKOR!BD$2,1,0))</f>
        <v/>
      </c>
      <c r="BE144" s="125" t="str">
        <f>IF(Ujian!BE151="","",IF(LEFT(Ujian!BE151,1)=SEKOR!BE$2,1,0))</f>
        <v/>
      </c>
      <c r="BF144" s="125" t="str">
        <f>IF(Ujian!BF151="","",IF(LEFT(Ujian!BF151,1)=SEKOR!BF$2,1,0))</f>
        <v/>
      </c>
      <c r="BG144" s="125" t="str">
        <f>IF(Ujian!BG151="","",IF(LEFT(Ujian!BG151,1)=SEKOR!BG$2,1,0))</f>
        <v/>
      </c>
      <c r="BH144" s="125" t="str">
        <f>IF(Ujian!BH151="","",IF(LEFT(Ujian!BH151,1)=SEKOR!BH$2,1,0))</f>
        <v/>
      </c>
      <c r="BI144" s="125" t="str">
        <f>IF(Ujian!BI151="","",IF(LEFT(Ujian!BI151,1)=SEKOR!BI$2,1,0))</f>
        <v/>
      </c>
      <c r="BJ144" s="125" t="str">
        <f>IF(Ujian!BJ151="","",IF(LEFT(Ujian!BJ151,1)=SEKOR!BJ$2,1,0))</f>
        <v/>
      </c>
      <c r="BK144" s="125" t="str">
        <f>IF(Ujian!BK151="","",IF(LEFT(Ujian!BK151,1)=SEKOR!BK$2,1,0))</f>
        <v/>
      </c>
      <c r="BL144" s="18">
        <f t="shared" si="4"/>
        <v>0</v>
      </c>
      <c r="BM144" s="18">
        <f>COUNTIF($D144:$BK144,"")+DATA!$F$14-DATA!$F$12</f>
        <v>60</v>
      </c>
      <c r="BN144" s="17">
        <f>IF(COUNTIF($D144:$BK144,1)&gt;DATA!$F$14,DATA!$F$14,COUNTIF($D144:$BK144,1))</f>
        <v>0</v>
      </c>
      <c r="BO144" s="17">
        <f>IF((BN144+COUNTIF($D144:$BK144,0))&lt;=DATA!$F$14,COUNTIF($D144:$BK144,0),DATA!$F$14-SEKOR!BN144)</f>
        <v>0</v>
      </c>
      <c r="BP144" s="4" t="str">
        <f>IF(BL144=0,"",BN144/DATA!$F$14*100)</f>
        <v/>
      </c>
      <c r="BQ144" s="121" t="str">
        <f t="shared" si="5"/>
        <v/>
      </c>
      <c r="BR144" s="2" t="str">
        <f>IF(Praktik!$E144=0,"",Praktik!$E144)</f>
        <v/>
      </c>
      <c r="BS144" s="2" t="str">
        <f>IF(BR144="","",(BP144*DATAINFO!$O$4)+(SEKOR!BR144*DATAINFO!$O$5)/(DATAINFO!$O$4+DATAINFO!$O$5))</f>
        <v/>
      </c>
      <c r="BT144" s="2" t="str">
        <f>IF(BL144=0,"",IF(DATA!$F$18="TIDAK",ROUNDUP((IF!$L$8*SEKOR!$BP144)+IF!$L$9,0),IF($BR144="","",ROUNDUP((IF!$L$20*$BS144)+IF!$L$21,0))))</f>
        <v/>
      </c>
      <c r="BU144" s="47" t="str">
        <f>IF(BP144="","",IF(SEKOR!BP144&gt;=DATA!$J$12,1,0))</f>
        <v/>
      </c>
      <c r="BV144" s="47" t="str">
        <f>IF(BQ144="","",IF(SEKOR!BQ144&gt;=DATA!$J$12,1,0))</f>
        <v/>
      </c>
      <c r="BW144" s="47" t="str">
        <f>IF(BR144="","",IF(SEKOR!BR144&gt;=DATA!$J$12,1,0))</f>
        <v/>
      </c>
      <c r="BX144" s="47" t="str">
        <f>IF(BT144="","",IF(DATA!$J$14="",IF(SEKOR!BT144&gt;=DATA!$J$12,1,0),IF(SEKOR!BT144&gt;=DATA!$J$14,1,0)))</f>
        <v/>
      </c>
    </row>
    <row r="145" spans="1:76" x14ac:dyDescent="0.25">
      <c r="A145" s="20" t="s">
        <v>172</v>
      </c>
      <c r="B145" s="21" t="str">
        <f>IF(Ujian!B152="","",Ujian!B152)</f>
        <v/>
      </c>
      <c r="C145" s="57" t="str">
        <f>IF(Ujian!C152="","",Ujian!C152)</f>
        <v/>
      </c>
      <c r="D145" s="125" t="str">
        <f>IF(Ujian!D152="","",IF(LEFT(Ujian!D152,1)=SEKOR!D$2,1,0))</f>
        <v/>
      </c>
      <c r="E145" s="125" t="str">
        <f>IF(Ujian!E152="","",IF(LEFT(Ujian!E152,1)=SEKOR!E$2,1,0))</f>
        <v/>
      </c>
      <c r="F145" s="125" t="str">
        <f>IF(Ujian!F152="","",IF(LEFT(Ujian!F152,1)=SEKOR!F$2,1,0))</f>
        <v/>
      </c>
      <c r="G145" s="125" t="str">
        <f>IF(Ujian!G152="","",IF(LEFT(Ujian!G152,1)=SEKOR!G$2,1,0))</f>
        <v/>
      </c>
      <c r="H145" s="125" t="str">
        <f>IF(Ujian!H152="","",IF(LEFT(Ujian!H152,1)=SEKOR!H$2,1,0))</f>
        <v/>
      </c>
      <c r="I145" s="125" t="str">
        <f>IF(Ujian!I152="","",IF(LEFT(Ujian!I152,1)=SEKOR!I$2,1,0))</f>
        <v/>
      </c>
      <c r="J145" s="125" t="str">
        <f>IF(Ujian!J152="","",IF(LEFT(Ujian!J152,1)=SEKOR!J$2,1,0))</f>
        <v/>
      </c>
      <c r="K145" s="125" t="str">
        <f>IF(Ujian!K152="","",IF(LEFT(Ujian!K152,1)=SEKOR!K$2,1,0))</f>
        <v/>
      </c>
      <c r="L145" s="125" t="str">
        <f>IF(Ujian!L152="","",IF(LEFT(Ujian!L152,1)=SEKOR!L$2,1,0))</f>
        <v/>
      </c>
      <c r="M145" s="125" t="str">
        <f>IF(Ujian!M152="","",IF(LEFT(Ujian!M152,1)=SEKOR!M$2,1,0))</f>
        <v/>
      </c>
      <c r="N145" s="125" t="str">
        <f>IF(Ujian!N152="","",IF(LEFT(Ujian!N152,1)=SEKOR!N$2,1,0))</f>
        <v/>
      </c>
      <c r="O145" s="125" t="str">
        <f>IF(Ujian!O152="","",IF(LEFT(Ujian!O152,1)=SEKOR!O$2,1,0))</f>
        <v/>
      </c>
      <c r="P145" s="125" t="str">
        <f>IF(Ujian!P152="","",IF(LEFT(Ujian!P152,1)=SEKOR!P$2,1,0))</f>
        <v/>
      </c>
      <c r="Q145" s="125" t="str">
        <f>IF(Ujian!Q152="","",IF(LEFT(Ujian!Q152,1)=SEKOR!Q$2,1,0))</f>
        <v/>
      </c>
      <c r="R145" s="125" t="str">
        <f>IF(Ujian!R152="","",IF(LEFT(Ujian!R152,1)=SEKOR!R$2,1,0))</f>
        <v/>
      </c>
      <c r="S145" s="125" t="str">
        <f>IF(Ujian!S152="","",IF(LEFT(Ujian!S152,1)=SEKOR!S$2,1,0))</f>
        <v/>
      </c>
      <c r="T145" s="125" t="str">
        <f>IF(Ujian!T152="","",IF(LEFT(Ujian!T152,1)=SEKOR!T$2,1,0))</f>
        <v/>
      </c>
      <c r="U145" s="125" t="str">
        <f>IF(Ujian!U152="","",IF(LEFT(Ujian!U152,1)=SEKOR!U$2,1,0))</f>
        <v/>
      </c>
      <c r="V145" s="125" t="str">
        <f>IF(Ujian!V152="","",IF(LEFT(Ujian!V152,1)=SEKOR!V$2,1,0))</f>
        <v/>
      </c>
      <c r="W145" s="125" t="str">
        <f>IF(Ujian!W152="","",IF(LEFT(Ujian!W152,1)=SEKOR!W$2,1,0))</f>
        <v/>
      </c>
      <c r="X145" s="125" t="str">
        <f>IF(Ujian!X152="","",IF(LEFT(Ujian!X152,1)=SEKOR!X$2,1,0))</f>
        <v/>
      </c>
      <c r="Y145" s="125" t="str">
        <f>IF(Ujian!Y152="","",IF(LEFT(Ujian!Y152,1)=SEKOR!Y$2,1,0))</f>
        <v/>
      </c>
      <c r="Z145" s="125" t="str">
        <f>IF(Ujian!Z152="","",IF(LEFT(Ujian!Z152,1)=SEKOR!Z$2,1,0))</f>
        <v/>
      </c>
      <c r="AA145" s="125" t="str">
        <f>IF(Ujian!AA152="","",IF(LEFT(Ujian!AA152,1)=SEKOR!AA$2,1,0))</f>
        <v/>
      </c>
      <c r="AB145" s="125" t="str">
        <f>IF(Ujian!AB152="","",IF(LEFT(Ujian!AB152,1)=SEKOR!AB$2,1,0))</f>
        <v/>
      </c>
      <c r="AC145" s="125" t="str">
        <f>IF(Ujian!AC152="","",IF(LEFT(Ujian!AC152,1)=SEKOR!AC$2,1,0))</f>
        <v/>
      </c>
      <c r="AD145" s="125" t="str">
        <f>IF(Ujian!AD152="","",IF(LEFT(Ujian!AD152,1)=SEKOR!AD$2,1,0))</f>
        <v/>
      </c>
      <c r="AE145" s="125" t="str">
        <f>IF(Ujian!AE152="","",IF(LEFT(Ujian!AE152,1)=SEKOR!AE$2,1,0))</f>
        <v/>
      </c>
      <c r="AF145" s="125" t="str">
        <f>IF(Ujian!AF152="","",IF(LEFT(Ujian!AF152,1)=SEKOR!AF$2,1,0))</f>
        <v/>
      </c>
      <c r="AG145" s="125" t="str">
        <f>IF(Ujian!AG152="","",IF(LEFT(Ujian!AG152,1)=SEKOR!AG$2,1,0))</f>
        <v/>
      </c>
      <c r="AH145" s="125" t="str">
        <f>IF(Ujian!AH152="","",IF(LEFT(Ujian!AH152,1)=SEKOR!AH$2,1,0))</f>
        <v/>
      </c>
      <c r="AI145" s="125" t="str">
        <f>IF(Ujian!AI152="","",IF(LEFT(Ujian!AI152,1)=SEKOR!AI$2,1,0))</f>
        <v/>
      </c>
      <c r="AJ145" s="125" t="str">
        <f>IF(Ujian!AJ152="","",IF(LEFT(Ujian!AJ152,1)=SEKOR!AJ$2,1,0))</f>
        <v/>
      </c>
      <c r="AK145" s="125" t="str">
        <f>IF(Ujian!AK152="","",IF(LEFT(Ujian!AK152,1)=SEKOR!AK$2,1,0))</f>
        <v/>
      </c>
      <c r="AL145" s="125" t="str">
        <f>IF(Ujian!AL152="","",IF(LEFT(Ujian!AL152,1)=SEKOR!AL$2,1,0))</f>
        <v/>
      </c>
      <c r="AM145" s="125" t="str">
        <f>IF(Ujian!AM152="","",IF(LEFT(Ujian!AM152,1)=SEKOR!AM$2,1,0))</f>
        <v/>
      </c>
      <c r="AN145" s="125" t="str">
        <f>IF(Ujian!AN152="","",IF(LEFT(Ujian!AN152,1)=SEKOR!AN$2,1,0))</f>
        <v/>
      </c>
      <c r="AO145" s="125" t="str">
        <f>IF(Ujian!AO152="","",IF(LEFT(Ujian!AO152,1)=SEKOR!AO$2,1,0))</f>
        <v/>
      </c>
      <c r="AP145" s="125" t="str">
        <f>IF(Ujian!AP152="","",IF(LEFT(Ujian!AP152,1)=SEKOR!AP$2,1,0))</f>
        <v/>
      </c>
      <c r="AQ145" s="125" t="str">
        <f>IF(Ujian!AQ152="","",IF(LEFT(Ujian!AQ152,1)=SEKOR!AQ$2,1,0))</f>
        <v/>
      </c>
      <c r="AR145" s="125" t="str">
        <f>IF(Ujian!AR152="","",IF(LEFT(Ujian!AR152,1)=SEKOR!AR$2,1,0))</f>
        <v/>
      </c>
      <c r="AS145" s="125" t="str">
        <f>IF(Ujian!AS152="","",IF(LEFT(Ujian!AS152,1)=SEKOR!AS$2,1,0))</f>
        <v/>
      </c>
      <c r="AT145" s="125" t="str">
        <f>IF(Ujian!AT152="","",IF(LEFT(Ujian!AT152,1)=SEKOR!AT$2,1,0))</f>
        <v/>
      </c>
      <c r="AU145" s="125" t="str">
        <f>IF(Ujian!AU152="","",IF(LEFT(Ujian!AU152,1)=SEKOR!AU$2,1,0))</f>
        <v/>
      </c>
      <c r="AV145" s="125" t="str">
        <f>IF(Ujian!AV152="","",IF(LEFT(Ujian!AV152,1)=SEKOR!AV$2,1,0))</f>
        <v/>
      </c>
      <c r="AW145" s="125" t="str">
        <f>IF(Ujian!AW152="","",IF(LEFT(Ujian!AW152,1)=SEKOR!AW$2,1,0))</f>
        <v/>
      </c>
      <c r="AX145" s="125" t="str">
        <f>IF(Ujian!AX152="","",IF(LEFT(Ujian!AX152,1)=SEKOR!AX$2,1,0))</f>
        <v/>
      </c>
      <c r="AY145" s="125" t="str">
        <f>IF(Ujian!AY152="","",IF(LEFT(Ujian!AY152,1)=SEKOR!AY$2,1,0))</f>
        <v/>
      </c>
      <c r="AZ145" s="125" t="str">
        <f>IF(Ujian!AZ152="","",IF(LEFT(Ujian!AZ152,1)=SEKOR!AZ$2,1,0))</f>
        <v/>
      </c>
      <c r="BA145" s="125" t="str">
        <f>IF(Ujian!BA152="","",IF(LEFT(Ujian!BA152,1)=SEKOR!BA$2,1,0))</f>
        <v/>
      </c>
      <c r="BB145" s="125" t="str">
        <f>IF(Ujian!BB152="","",IF(LEFT(Ujian!BB152,1)=SEKOR!BB$2,1,0))</f>
        <v/>
      </c>
      <c r="BC145" s="125" t="str">
        <f>IF(Ujian!BC152="","",IF(LEFT(Ujian!BC152,1)=SEKOR!BC$2,1,0))</f>
        <v/>
      </c>
      <c r="BD145" s="125" t="str">
        <f>IF(Ujian!BD152="","",IF(LEFT(Ujian!BD152,1)=SEKOR!BD$2,1,0))</f>
        <v/>
      </c>
      <c r="BE145" s="125" t="str">
        <f>IF(Ujian!BE152="","",IF(LEFT(Ujian!BE152,1)=SEKOR!BE$2,1,0))</f>
        <v/>
      </c>
      <c r="BF145" s="125" t="str">
        <f>IF(Ujian!BF152="","",IF(LEFT(Ujian!BF152,1)=SEKOR!BF$2,1,0))</f>
        <v/>
      </c>
      <c r="BG145" s="125" t="str">
        <f>IF(Ujian!BG152="","",IF(LEFT(Ujian!BG152,1)=SEKOR!BG$2,1,0))</f>
        <v/>
      </c>
      <c r="BH145" s="125" t="str">
        <f>IF(Ujian!BH152="","",IF(LEFT(Ujian!BH152,1)=SEKOR!BH$2,1,0))</f>
        <v/>
      </c>
      <c r="BI145" s="125" t="str">
        <f>IF(Ujian!BI152="","",IF(LEFT(Ujian!BI152,1)=SEKOR!BI$2,1,0))</f>
        <v/>
      </c>
      <c r="BJ145" s="125" t="str">
        <f>IF(Ujian!BJ152="","",IF(LEFT(Ujian!BJ152,1)=SEKOR!BJ$2,1,0))</f>
        <v/>
      </c>
      <c r="BK145" s="125" t="str">
        <f>IF(Ujian!BK152="","",IF(LEFT(Ujian!BK152,1)=SEKOR!BK$2,1,0))</f>
        <v/>
      </c>
      <c r="BL145" s="18">
        <f t="shared" si="4"/>
        <v>0</v>
      </c>
      <c r="BM145" s="18">
        <f>COUNTIF($D145:$BK145,"")+DATA!$F$14-DATA!$F$12</f>
        <v>60</v>
      </c>
      <c r="BN145" s="17">
        <f>IF(COUNTIF($D145:$BK145,1)&gt;DATA!$F$14,DATA!$F$14,COUNTIF($D145:$BK145,1))</f>
        <v>0</v>
      </c>
      <c r="BO145" s="17">
        <f>IF((BN145+COUNTIF($D145:$BK145,0))&lt;=DATA!$F$14,COUNTIF($D145:$BK145,0),DATA!$F$14-SEKOR!BN145)</f>
        <v>0</v>
      </c>
      <c r="BP145" s="4" t="str">
        <f>IF(BL145=0,"",BN145/DATA!$F$14*100)</f>
        <v/>
      </c>
      <c r="BQ145" s="121" t="str">
        <f t="shared" si="5"/>
        <v/>
      </c>
      <c r="BR145" s="2" t="str">
        <f>IF(Praktik!$E145=0,"",Praktik!$E145)</f>
        <v/>
      </c>
      <c r="BS145" s="2" t="str">
        <f>IF(BR145="","",(BP145*DATAINFO!$O$4)+(SEKOR!BR145*DATAINFO!$O$5)/(DATAINFO!$O$4+DATAINFO!$O$5))</f>
        <v/>
      </c>
      <c r="BT145" s="2" t="str">
        <f>IF(BL145=0,"",IF(DATA!$F$18="TIDAK",ROUNDUP((IF!$L$8*SEKOR!$BP145)+IF!$L$9,0),IF($BR145="","",ROUNDUP((IF!$L$20*$BS145)+IF!$L$21,0))))</f>
        <v/>
      </c>
      <c r="BU145" s="47" t="str">
        <f>IF(BP145="","",IF(SEKOR!BP145&gt;=DATA!$J$12,1,0))</f>
        <v/>
      </c>
      <c r="BV145" s="47" t="str">
        <f>IF(BQ145="","",IF(SEKOR!BQ145&gt;=DATA!$J$12,1,0))</f>
        <v/>
      </c>
      <c r="BW145" s="47" t="str">
        <f>IF(BR145="","",IF(SEKOR!BR145&gt;=DATA!$J$12,1,0))</f>
        <v/>
      </c>
      <c r="BX145" s="47" t="str">
        <f>IF(BT145="","",IF(DATA!$J$14="",IF(SEKOR!BT145&gt;=DATA!$J$12,1,0),IF(SEKOR!BT145&gt;=DATA!$J$14,1,0)))</f>
        <v/>
      </c>
    </row>
    <row r="146" spans="1:76" x14ac:dyDescent="0.25">
      <c r="A146" s="20" t="s">
        <v>173</v>
      </c>
      <c r="B146" s="21" t="str">
        <f>IF(Ujian!B153="","",Ujian!B153)</f>
        <v/>
      </c>
      <c r="C146" s="57" t="str">
        <f>IF(Ujian!C153="","",Ujian!C153)</f>
        <v/>
      </c>
      <c r="D146" s="125" t="str">
        <f>IF(Ujian!D153="","",IF(LEFT(Ujian!D153,1)=SEKOR!D$2,1,0))</f>
        <v/>
      </c>
      <c r="E146" s="125" t="str">
        <f>IF(Ujian!E153="","",IF(LEFT(Ujian!E153,1)=SEKOR!E$2,1,0))</f>
        <v/>
      </c>
      <c r="F146" s="125" t="str">
        <f>IF(Ujian!F153="","",IF(LEFT(Ujian!F153,1)=SEKOR!F$2,1,0))</f>
        <v/>
      </c>
      <c r="G146" s="125" t="str">
        <f>IF(Ujian!G153="","",IF(LEFT(Ujian!G153,1)=SEKOR!G$2,1,0))</f>
        <v/>
      </c>
      <c r="H146" s="125" t="str">
        <f>IF(Ujian!H153="","",IF(LEFT(Ujian!H153,1)=SEKOR!H$2,1,0))</f>
        <v/>
      </c>
      <c r="I146" s="125" t="str">
        <f>IF(Ujian!I153="","",IF(LEFT(Ujian!I153,1)=SEKOR!I$2,1,0))</f>
        <v/>
      </c>
      <c r="J146" s="125" t="str">
        <f>IF(Ujian!J153="","",IF(LEFT(Ujian!J153,1)=SEKOR!J$2,1,0))</f>
        <v/>
      </c>
      <c r="K146" s="125" t="str">
        <f>IF(Ujian!K153="","",IF(LEFT(Ujian!K153,1)=SEKOR!K$2,1,0))</f>
        <v/>
      </c>
      <c r="L146" s="125" t="str">
        <f>IF(Ujian!L153="","",IF(LEFT(Ujian!L153,1)=SEKOR!L$2,1,0))</f>
        <v/>
      </c>
      <c r="M146" s="125" t="str">
        <f>IF(Ujian!M153="","",IF(LEFT(Ujian!M153,1)=SEKOR!M$2,1,0))</f>
        <v/>
      </c>
      <c r="N146" s="125" t="str">
        <f>IF(Ujian!N153="","",IF(LEFT(Ujian!N153,1)=SEKOR!N$2,1,0))</f>
        <v/>
      </c>
      <c r="O146" s="125" t="str">
        <f>IF(Ujian!O153="","",IF(LEFT(Ujian!O153,1)=SEKOR!O$2,1,0))</f>
        <v/>
      </c>
      <c r="P146" s="125" t="str">
        <f>IF(Ujian!P153="","",IF(LEFT(Ujian!P153,1)=SEKOR!P$2,1,0))</f>
        <v/>
      </c>
      <c r="Q146" s="125" t="str">
        <f>IF(Ujian!Q153="","",IF(LEFT(Ujian!Q153,1)=SEKOR!Q$2,1,0))</f>
        <v/>
      </c>
      <c r="R146" s="125" t="str">
        <f>IF(Ujian!R153="","",IF(LEFT(Ujian!R153,1)=SEKOR!R$2,1,0))</f>
        <v/>
      </c>
      <c r="S146" s="125" t="str">
        <f>IF(Ujian!S153="","",IF(LEFT(Ujian!S153,1)=SEKOR!S$2,1,0))</f>
        <v/>
      </c>
      <c r="T146" s="125" t="str">
        <f>IF(Ujian!T153="","",IF(LEFT(Ujian!T153,1)=SEKOR!T$2,1,0))</f>
        <v/>
      </c>
      <c r="U146" s="125" t="str">
        <f>IF(Ujian!U153="","",IF(LEFT(Ujian!U153,1)=SEKOR!U$2,1,0))</f>
        <v/>
      </c>
      <c r="V146" s="125" t="str">
        <f>IF(Ujian!V153="","",IF(LEFT(Ujian!V153,1)=SEKOR!V$2,1,0))</f>
        <v/>
      </c>
      <c r="W146" s="125" t="str">
        <f>IF(Ujian!W153="","",IF(LEFT(Ujian!W153,1)=SEKOR!W$2,1,0))</f>
        <v/>
      </c>
      <c r="X146" s="125" t="str">
        <f>IF(Ujian!X153="","",IF(LEFT(Ujian!X153,1)=SEKOR!X$2,1,0))</f>
        <v/>
      </c>
      <c r="Y146" s="125" t="str">
        <f>IF(Ujian!Y153="","",IF(LEFT(Ujian!Y153,1)=SEKOR!Y$2,1,0))</f>
        <v/>
      </c>
      <c r="Z146" s="125" t="str">
        <f>IF(Ujian!Z153="","",IF(LEFT(Ujian!Z153,1)=SEKOR!Z$2,1,0))</f>
        <v/>
      </c>
      <c r="AA146" s="125" t="str">
        <f>IF(Ujian!AA153="","",IF(LEFT(Ujian!AA153,1)=SEKOR!AA$2,1,0))</f>
        <v/>
      </c>
      <c r="AB146" s="125" t="str">
        <f>IF(Ujian!AB153="","",IF(LEFT(Ujian!AB153,1)=SEKOR!AB$2,1,0))</f>
        <v/>
      </c>
      <c r="AC146" s="125" t="str">
        <f>IF(Ujian!AC153="","",IF(LEFT(Ujian!AC153,1)=SEKOR!AC$2,1,0))</f>
        <v/>
      </c>
      <c r="AD146" s="125" t="str">
        <f>IF(Ujian!AD153="","",IF(LEFT(Ujian!AD153,1)=SEKOR!AD$2,1,0))</f>
        <v/>
      </c>
      <c r="AE146" s="125" t="str">
        <f>IF(Ujian!AE153="","",IF(LEFT(Ujian!AE153,1)=SEKOR!AE$2,1,0))</f>
        <v/>
      </c>
      <c r="AF146" s="125" t="str">
        <f>IF(Ujian!AF153="","",IF(LEFT(Ujian!AF153,1)=SEKOR!AF$2,1,0))</f>
        <v/>
      </c>
      <c r="AG146" s="125" t="str">
        <f>IF(Ujian!AG153="","",IF(LEFT(Ujian!AG153,1)=SEKOR!AG$2,1,0))</f>
        <v/>
      </c>
      <c r="AH146" s="125" t="str">
        <f>IF(Ujian!AH153="","",IF(LEFT(Ujian!AH153,1)=SEKOR!AH$2,1,0))</f>
        <v/>
      </c>
      <c r="AI146" s="125" t="str">
        <f>IF(Ujian!AI153="","",IF(LEFT(Ujian!AI153,1)=SEKOR!AI$2,1,0))</f>
        <v/>
      </c>
      <c r="AJ146" s="125" t="str">
        <f>IF(Ujian!AJ153="","",IF(LEFT(Ujian!AJ153,1)=SEKOR!AJ$2,1,0))</f>
        <v/>
      </c>
      <c r="AK146" s="125" t="str">
        <f>IF(Ujian!AK153="","",IF(LEFT(Ujian!AK153,1)=SEKOR!AK$2,1,0))</f>
        <v/>
      </c>
      <c r="AL146" s="125" t="str">
        <f>IF(Ujian!AL153="","",IF(LEFT(Ujian!AL153,1)=SEKOR!AL$2,1,0))</f>
        <v/>
      </c>
      <c r="AM146" s="125" t="str">
        <f>IF(Ujian!AM153="","",IF(LEFT(Ujian!AM153,1)=SEKOR!AM$2,1,0))</f>
        <v/>
      </c>
      <c r="AN146" s="125" t="str">
        <f>IF(Ujian!AN153="","",IF(LEFT(Ujian!AN153,1)=SEKOR!AN$2,1,0))</f>
        <v/>
      </c>
      <c r="AO146" s="125" t="str">
        <f>IF(Ujian!AO153="","",IF(LEFT(Ujian!AO153,1)=SEKOR!AO$2,1,0))</f>
        <v/>
      </c>
      <c r="AP146" s="125" t="str">
        <f>IF(Ujian!AP153="","",IF(LEFT(Ujian!AP153,1)=SEKOR!AP$2,1,0))</f>
        <v/>
      </c>
      <c r="AQ146" s="125" t="str">
        <f>IF(Ujian!AQ153="","",IF(LEFT(Ujian!AQ153,1)=SEKOR!AQ$2,1,0))</f>
        <v/>
      </c>
      <c r="AR146" s="125" t="str">
        <f>IF(Ujian!AR153="","",IF(LEFT(Ujian!AR153,1)=SEKOR!AR$2,1,0))</f>
        <v/>
      </c>
      <c r="AS146" s="125" t="str">
        <f>IF(Ujian!AS153="","",IF(LEFT(Ujian!AS153,1)=SEKOR!AS$2,1,0))</f>
        <v/>
      </c>
      <c r="AT146" s="125" t="str">
        <f>IF(Ujian!AT153="","",IF(LEFT(Ujian!AT153,1)=SEKOR!AT$2,1,0))</f>
        <v/>
      </c>
      <c r="AU146" s="125" t="str">
        <f>IF(Ujian!AU153="","",IF(LEFT(Ujian!AU153,1)=SEKOR!AU$2,1,0))</f>
        <v/>
      </c>
      <c r="AV146" s="125" t="str">
        <f>IF(Ujian!AV153="","",IF(LEFT(Ujian!AV153,1)=SEKOR!AV$2,1,0))</f>
        <v/>
      </c>
      <c r="AW146" s="125" t="str">
        <f>IF(Ujian!AW153="","",IF(LEFT(Ujian!AW153,1)=SEKOR!AW$2,1,0))</f>
        <v/>
      </c>
      <c r="AX146" s="125" t="str">
        <f>IF(Ujian!AX153="","",IF(LEFT(Ujian!AX153,1)=SEKOR!AX$2,1,0))</f>
        <v/>
      </c>
      <c r="AY146" s="125" t="str">
        <f>IF(Ujian!AY153="","",IF(LEFT(Ujian!AY153,1)=SEKOR!AY$2,1,0))</f>
        <v/>
      </c>
      <c r="AZ146" s="125" t="str">
        <f>IF(Ujian!AZ153="","",IF(LEFT(Ujian!AZ153,1)=SEKOR!AZ$2,1,0))</f>
        <v/>
      </c>
      <c r="BA146" s="125" t="str">
        <f>IF(Ujian!BA153="","",IF(LEFT(Ujian!BA153,1)=SEKOR!BA$2,1,0))</f>
        <v/>
      </c>
      <c r="BB146" s="125" t="str">
        <f>IF(Ujian!BB153="","",IF(LEFT(Ujian!BB153,1)=SEKOR!BB$2,1,0))</f>
        <v/>
      </c>
      <c r="BC146" s="125" t="str">
        <f>IF(Ujian!BC153="","",IF(LEFT(Ujian!BC153,1)=SEKOR!BC$2,1,0))</f>
        <v/>
      </c>
      <c r="BD146" s="125" t="str">
        <f>IF(Ujian!BD153="","",IF(LEFT(Ujian!BD153,1)=SEKOR!BD$2,1,0))</f>
        <v/>
      </c>
      <c r="BE146" s="125" t="str">
        <f>IF(Ujian!BE153="","",IF(LEFT(Ujian!BE153,1)=SEKOR!BE$2,1,0))</f>
        <v/>
      </c>
      <c r="BF146" s="125" t="str">
        <f>IF(Ujian!BF153="","",IF(LEFT(Ujian!BF153,1)=SEKOR!BF$2,1,0))</f>
        <v/>
      </c>
      <c r="BG146" s="125" t="str">
        <f>IF(Ujian!BG153="","",IF(LEFT(Ujian!BG153,1)=SEKOR!BG$2,1,0))</f>
        <v/>
      </c>
      <c r="BH146" s="125" t="str">
        <f>IF(Ujian!BH153="","",IF(LEFT(Ujian!BH153,1)=SEKOR!BH$2,1,0))</f>
        <v/>
      </c>
      <c r="BI146" s="125" t="str">
        <f>IF(Ujian!BI153="","",IF(LEFT(Ujian!BI153,1)=SEKOR!BI$2,1,0))</f>
        <v/>
      </c>
      <c r="BJ146" s="125" t="str">
        <f>IF(Ujian!BJ153="","",IF(LEFT(Ujian!BJ153,1)=SEKOR!BJ$2,1,0))</f>
        <v/>
      </c>
      <c r="BK146" s="125" t="str">
        <f>IF(Ujian!BK153="","",IF(LEFT(Ujian!BK153,1)=SEKOR!BK$2,1,0))</f>
        <v/>
      </c>
      <c r="BL146" s="18">
        <f t="shared" si="4"/>
        <v>0</v>
      </c>
      <c r="BM146" s="18">
        <f>COUNTIF($D146:$BK146,"")+DATA!$F$14-DATA!$F$12</f>
        <v>60</v>
      </c>
      <c r="BN146" s="17">
        <f>IF(COUNTIF($D146:$BK146,1)&gt;DATA!$F$14,DATA!$F$14,COUNTIF($D146:$BK146,1))</f>
        <v>0</v>
      </c>
      <c r="BO146" s="17">
        <f>IF((BN146+COUNTIF($D146:$BK146,0))&lt;=DATA!$F$14,COUNTIF($D146:$BK146,0),DATA!$F$14-SEKOR!BN146)</f>
        <v>0</v>
      </c>
      <c r="BP146" s="4" t="str">
        <f>IF(BL146=0,"",BN146/DATA!$F$14*100)</f>
        <v/>
      </c>
      <c r="BQ146" s="121" t="str">
        <f t="shared" si="5"/>
        <v/>
      </c>
      <c r="BR146" s="2" t="str">
        <f>IF(Praktik!$E146=0,"",Praktik!$E146)</f>
        <v/>
      </c>
      <c r="BS146" s="2" t="str">
        <f>IF(BR146="","",(BP146*DATAINFO!$O$4)+(SEKOR!BR146*DATAINFO!$O$5)/(DATAINFO!$O$4+DATAINFO!$O$5))</f>
        <v/>
      </c>
      <c r="BT146" s="2" t="str">
        <f>IF(BL146=0,"",IF(DATA!$F$18="TIDAK",ROUNDUP((IF!$L$8*SEKOR!$BP146)+IF!$L$9,0),IF($BR146="","",ROUNDUP((IF!$L$20*$BS146)+IF!$L$21,0))))</f>
        <v/>
      </c>
      <c r="BU146" s="47" t="str">
        <f>IF(BP146="","",IF(SEKOR!BP146&gt;=DATA!$J$12,1,0))</f>
        <v/>
      </c>
      <c r="BV146" s="47" t="str">
        <f>IF(BQ146="","",IF(SEKOR!BQ146&gt;=DATA!$J$12,1,0))</f>
        <v/>
      </c>
      <c r="BW146" s="47" t="str">
        <f>IF(BR146="","",IF(SEKOR!BR146&gt;=DATA!$J$12,1,0))</f>
        <v/>
      </c>
      <c r="BX146" s="47" t="str">
        <f>IF(BT146="","",IF(DATA!$J$14="",IF(SEKOR!BT146&gt;=DATA!$J$12,1,0),IF(SEKOR!BT146&gt;=DATA!$J$14,1,0)))</f>
        <v/>
      </c>
    </row>
    <row r="147" spans="1:76" x14ac:dyDescent="0.25">
      <c r="A147" s="20" t="s">
        <v>174</v>
      </c>
      <c r="B147" s="21" t="str">
        <f>IF(Ujian!B154="","",Ujian!B154)</f>
        <v/>
      </c>
      <c r="C147" s="57" t="str">
        <f>IF(Ujian!C154="","",Ujian!C154)</f>
        <v/>
      </c>
      <c r="D147" s="125" t="str">
        <f>IF(Ujian!D154="","",IF(LEFT(Ujian!D154,1)=SEKOR!D$2,1,0))</f>
        <v/>
      </c>
      <c r="E147" s="125" t="str">
        <f>IF(Ujian!E154="","",IF(LEFT(Ujian!E154,1)=SEKOR!E$2,1,0))</f>
        <v/>
      </c>
      <c r="F147" s="125" t="str">
        <f>IF(Ujian!F154="","",IF(LEFT(Ujian!F154,1)=SEKOR!F$2,1,0))</f>
        <v/>
      </c>
      <c r="G147" s="125" t="str">
        <f>IF(Ujian!G154="","",IF(LEFT(Ujian!G154,1)=SEKOR!G$2,1,0))</f>
        <v/>
      </c>
      <c r="H147" s="125" t="str">
        <f>IF(Ujian!H154="","",IF(LEFT(Ujian!H154,1)=SEKOR!H$2,1,0))</f>
        <v/>
      </c>
      <c r="I147" s="125" t="str">
        <f>IF(Ujian!I154="","",IF(LEFT(Ujian!I154,1)=SEKOR!I$2,1,0))</f>
        <v/>
      </c>
      <c r="J147" s="125" t="str">
        <f>IF(Ujian!J154="","",IF(LEFT(Ujian!J154,1)=SEKOR!J$2,1,0))</f>
        <v/>
      </c>
      <c r="K147" s="125" t="str">
        <f>IF(Ujian!K154="","",IF(LEFT(Ujian!K154,1)=SEKOR!K$2,1,0))</f>
        <v/>
      </c>
      <c r="L147" s="125" t="str">
        <f>IF(Ujian!L154="","",IF(LEFT(Ujian!L154,1)=SEKOR!L$2,1,0))</f>
        <v/>
      </c>
      <c r="M147" s="125" t="str">
        <f>IF(Ujian!M154="","",IF(LEFT(Ujian!M154,1)=SEKOR!M$2,1,0))</f>
        <v/>
      </c>
      <c r="N147" s="125" t="str">
        <f>IF(Ujian!N154="","",IF(LEFT(Ujian!N154,1)=SEKOR!N$2,1,0))</f>
        <v/>
      </c>
      <c r="O147" s="125" t="str">
        <f>IF(Ujian!O154="","",IF(LEFT(Ujian!O154,1)=SEKOR!O$2,1,0))</f>
        <v/>
      </c>
      <c r="P147" s="125" t="str">
        <f>IF(Ujian!P154="","",IF(LEFT(Ujian!P154,1)=SEKOR!P$2,1,0))</f>
        <v/>
      </c>
      <c r="Q147" s="125" t="str">
        <f>IF(Ujian!Q154="","",IF(LEFT(Ujian!Q154,1)=SEKOR!Q$2,1,0))</f>
        <v/>
      </c>
      <c r="R147" s="125" t="str">
        <f>IF(Ujian!R154="","",IF(LEFT(Ujian!R154,1)=SEKOR!R$2,1,0))</f>
        <v/>
      </c>
      <c r="S147" s="125" t="str">
        <f>IF(Ujian!S154="","",IF(LEFT(Ujian!S154,1)=SEKOR!S$2,1,0))</f>
        <v/>
      </c>
      <c r="T147" s="125" t="str">
        <f>IF(Ujian!T154="","",IF(LEFT(Ujian!T154,1)=SEKOR!T$2,1,0))</f>
        <v/>
      </c>
      <c r="U147" s="125" t="str">
        <f>IF(Ujian!U154="","",IF(LEFT(Ujian!U154,1)=SEKOR!U$2,1,0))</f>
        <v/>
      </c>
      <c r="V147" s="125" t="str">
        <f>IF(Ujian!V154="","",IF(LEFT(Ujian!V154,1)=SEKOR!V$2,1,0))</f>
        <v/>
      </c>
      <c r="W147" s="125" t="str">
        <f>IF(Ujian!W154="","",IF(LEFT(Ujian!W154,1)=SEKOR!W$2,1,0))</f>
        <v/>
      </c>
      <c r="X147" s="125" t="str">
        <f>IF(Ujian!X154="","",IF(LEFT(Ujian!X154,1)=SEKOR!X$2,1,0))</f>
        <v/>
      </c>
      <c r="Y147" s="125" t="str">
        <f>IF(Ujian!Y154="","",IF(LEFT(Ujian!Y154,1)=SEKOR!Y$2,1,0))</f>
        <v/>
      </c>
      <c r="Z147" s="125" t="str">
        <f>IF(Ujian!Z154="","",IF(LEFT(Ujian!Z154,1)=SEKOR!Z$2,1,0))</f>
        <v/>
      </c>
      <c r="AA147" s="125" t="str">
        <f>IF(Ujian!AA154="","",IF(LEFT(Ujian!AA154,1)=SEKOR!AA$2,1,0))</f>
        <v/>
      </c>
      <c r="AB147" s="125" t="str">
        <f>IF(Ujian!AB154="","",IF(LEFT(Ujian!AB154,1)=SEKOR!AB$2,1,0))</f>
        <v/>
      </c>
      <c r="AC147" s="125" t="str">
        <f>IF(Ujian!AC154="","",IF(LEFT(Ujian!AC154,1)=SEKOR!AC$2,1,0))</f>
        <v/>
      </c>
      <c r="AD147" s="125" t="str">
        <f>IF(Ujian!AD154="","",IF(LEFT(Ujian!AD154,1)=SEKOR!AD$2,1,0))</f>
        <v/>
      </c>
      <c r="AE147" s="125" t="str">
        <f>IF(Ujian!AE154="","",IF(LEFT(Ujian!AE154,1)=SEKOR!AE$2,1,0))</f>
        <v/>
      </c>
      <c r="AF147" s="125" t="str">
        <f>IF(Ujian!AF154="","",IF(LEFT(Ujian!AF154,1)=SEKOR!AF$2,1,0))</f>
        <v/>
      </c>
      <c r="AG147" s="125" t="str">
        <f>IF(Ujian!AG154="","",IF(LEFT(Ujian!AG154,1)=SEKOR!AG$2,1,0))</f>
        <v/>
      </c>
      <c r="AH147" s="125" t="str">
        <f>IF(Ujian!AH154="","",IF(LEFT(Ujian!AH154,1)=SEKOR!AH$2,1,0))</f>
        <v/>
      </c>
      <c r="AI147" s="125" t="str">
        <f>IF(Ujian!AI154="","",IF(LEFT(Ujian!AI154,1)=SEKOR!AI$2,1,0))</f>
        <v/>
      </c>
      <c r="AJ147" s="125" t="str">
        <f>IF(Ujian!AJ154="","",IF(LEFT(Ujian!AJ154,1)=SEKOR!AJ$2,1,0))</f>
        <v/>
      </c>
      <c r="AK147" s="125" t="str">
        <f>IF(Ujian!AK154="","",IF(LEFT(Ujian!AK154,1)=SEKOR!AK$2,1,0))</f>
        <v/>
      </c>
      <c r="AL147" s="125" t="str">
        <f>IF(Ujian!AL154="","",IF(LEFT(Ujian!AL154,1)=SEKOR!AL$2,1,0))</f>
        <v/>
      </c>
      <c r="AM147" s="125" t="str">
        <f>IF(Ujian!AM154="","",IF(LEFT(Ujian!AM154,1)=SEKOR!AM$2,1,0))</f>
        <v/>
      </c>
      <c r="AN147" s="125" t="str">
        <f>IF(Ujian!AN154="","",IF(LEFT(Ujian!AN154,1)=SEKOR!AN$2,1,0))</f>
        <v/>
      </c>
      <c r="AO147" s="125" t="str">
        <f>IF(Ujian!AO154="","",IF(LEFT(Ujian!AO154,1)=SEKOR!AO$2,1,0))</f>
        <v/>
      </c>
      <c r="AP147" s="125" t="str">
        <f>IF(Ujian!AP154="","",IF(LEFT(Ujian!AP154,1)=SEKOR!AP$2,1,0))</f>
        <v/>
      </c>
      <c r="AQ147" s="125" t="str">
        <f>IF(Ujian!AQ154="","",IF(LEFT(Ujian!AQ154,1)=SEKOR!AQ$2,1,0))</f>
        <v/>
      </c>
      <c r="AR147" s="125" t="str">
        <f>IF(Ujian!AR154="","",IF(LEFT(Ujian!AR154,1)=SEKOR!AR$2,1,0))</f>
        <v/>
      </c>
      <c r="AS147" s="125" t="str">
        <f>IF(Ujian!AS154="","",IF(LEFT(Ujian!AS154,1)=SEKOR!AS$2,1,0))</f>
        <v/>
      </c>
      <c r="AT147" s="125" t="str">
        <f>IF(Ujian!AT154="","",IF(LEFT(Ujian!AT154,1)=SEKOR!AT$2,1,0))</f>
        <v/>
      </c>
      <c r="AU147" s="125" t="str">
        <f>IF(Ujian!AU154="","",IF(LEFT(Ujian!AU154,1)=SEKOR!AU$2,1,0))</f>
        <v/>
      </c>
      <c r="AV147" s="125" t="str">
        <f>IF(Ujian!AV154="","",IF(LEFT(Ujian!AV154,1)=SEKOR!AV$2,1,0))</f>
        <v/>
      </c>
      <c r="AW147" s="125" t="str">
        <f>IF(Ujian!AW154="","",IF(LEFT(Ujian!AW154,1)=SEKOR!AW$2,1,0))</f>
        <v/>
      </c>
      <c r="AX147" s="125" t="str">
        <f>IF(Ujian!AX154="","",IF(LEFT(Ujian!AX154,1)=SEKOR!AX$2,1,0))</f>
        <v/>
      </c>
      <c r="AY147" s="125" t="str">
        <f>IF(Ujian!AY154="","",IF(LEFT(Ujian!AY154,1)=SEKOR!AY$2,1,0))</f>
        <v/>
      </c>
      <c r="AZ147" s="125" t="str">
        <f>IF(Ujian!AZ154="","",IF(LEFT(Ujian!AZ154,1)=SEKOR!AZ$2,1,0))</f>
        <v/>
      </c>
      <c r="BA147" s="125" t="str">
        <f>IF(Ujian!BA154="","",IF(LEFT(Ujian!BA154,1)=SEKOR!BA$2,1,0))</f>
        <v/>
      </c>
      <c r="BB147" s="125" t="str">
        <f>IF(Ujian!BB154="","",IF(LEFT(Ujian!BB154,1)=SEKOR!BB$2,1,0))</f>
        <v/>
      </c>
      <c r="BC147" s="125" t="str">
        <f>IF(Ujian!BC154="","",IF(LEFT(Ujian!BC154,1)=SEKOR!BC$2,1,0))</f>
        <v/>
      </c>
      <c r="BD147" s="125" t="str">
        <f>IF(Ujian!BD154="","",IF(LEFT(Ujian!BD154,1)=SEKOR!BD$2,1,0))</f>
        <v/>
      </c>
      <c r="BE147" s="125" t="str">
        <f>IF(Ujian!BE154="","",IF(LEFT(Ujian!BE154,1)=SEKOR!BE$2,1,0))</f>
        <v/>
      </c>
      <c r="BF147" s="125" t="str">
        <f>IF(Ujian!BF154="","",IF(LEFT(Ujian!BF154,1)=SEKOR!BF$2,1,0))</f>
        <v/>
      </c>
      <c r="BG147" s="125" t="str">
        <f>IF(Ujian!BG154="","",IF(LEFT(Ujian!BG154,1)=SEKOR!BG$2,1,0))</f>
        <v/>
      </c>
      <c r="BH147" s="125" t="str">
        <f>IF(Ujian!BH154="","",IF(LEFT(Ujian!BH154,1)=SEKOR!BH$2,1,0))</f>
        <v/>
      </c>
      <c r="BI147" s="125" t="str">
        <f>IF(Ujian!BI154="","",IF(LEFT(Ujian!BI154,1)=SEKOR!BI$2,1,0))</f>
        <v/>
      </c>
      <c r="BJ147" s="125" t="str">
        <f>IF(Ujian!BJ154="","",IF(LEFT(Ujian!BJ154,1)=SEKOR!BJ$2,1,0))</f>
        <v/>
      </c>
      <c r="BK147" s="125" t="str">
        <f>IF(Ujian!BK154="","",IF(LEFT(Ujian!BK154,1)=SEKOR!BK$2,1,0))</f>
        <v/>
      </c>
      <c r="BL147" s="18">
        <f t="shared" si="4"/>
        <v>0</v>
      </c>
      <c r="BM147" s="18">
        <f>COUNTIF($D147:$BK147,"")+DATA!$F$14-DATA!$F$12</f>
        <v>60</v>
      </c>
      <c r="BN147" s="17">
        <f>IF(COUNTIF($D147:$BK147,1)&gt;DATA!$F$14,DATA!$F$14,COUNTIF($D147:$BK147,1))</f>
        <v>0</v>
      </c>
      <c r="BO147" s="17">
        <f>IF((BN147+COUNTIF($D147:$BK147,0))&lt;=DATA!$F$14,COUNTIF($D147:$BK147,0),DATA!$F$14-SEKOR!BN147)</f>
        <v>0</v>
      </c>
      <c r="BP147" s="4" t="str">
        <f>IF(BL147=0,"",BN147/DATA!$F$14*100)</f>
        <v/>
      </c>
      <c r="BQ147" s="121" t="str">
        <f t="shared" si="5"/>
        <v/>
      </c>
      <c r="BR147" s="2" t="str">
        <f>IF(Praktik!$E147=0,"",Praktik!$E147)</f>
        <v/>
      </c>
      <c r="BS147" s="2" t="str">
        <f>IF(BR147="","",(BP147*DATAINFO!$O$4)+(SEKOR!BR147*DATAINFO!$O$5)/(DATAINFO!$O$4+DATAINFO!$O$5))</f>
        <v/>
      </c>
      <c r="BT147" s="2" t="str">
        <f>IF(BL147=0,"",IF(DATA!$F$18="TIDAK",ROUNDUP((IF!$L$8*SEKOR!$BP147)+IF!$L$9,0),IF($BR147="","",ROUNDUP((IF!$L$20*$BS147)+IF!$L$21,0))))</f>
        <v/>
      </c>
      <c r="BU147" s="47" t="str">
        <f>IF(BP147="","",IF(SEKOR!BP147&gt;=DATA!$J$12,1,0))</f>
        <v/>
      </c>
      <c r="BV147" s="47" t="str">
        <f>IF(BQ147="","",IF(SEKOR!BQ147&gt;=DATA!$J$12,1,0))</f>
        <v/>
      </c>
      <c r="BW147" s="47" t="str">
        <f>IF(BR147="","",IF(SEKOR!BR147&gt;=DATA!$J$12,1,0))</f>
        <v/>
      </c>
      <c r="BX147" s="47" t="str">
        <f>IF(BT147="","",IF(DATA!$J$14="",IF(SEKOR!BT147&gt;=DATA!$J$12,1,0),IF(SEKOR!BT147&gt;=DATA!$J$14,1,0)))</f>
        <v/>
      </c>
    </row>
    <row r="148" spans="1:76" x14ac:dyDescent="0.25">
      <c r="A148" s="20" t="s">
        <v>175</v>
      </c>
      <c r="B148" s="21" t="str">
        <f>IF(Ujian!B155="","",Ujian!B155)</f>
        <v/>
      </c>
      <c r="C148" s="57" t="str">
        <f>IF(Ujian!C155="","",Ujian!C155)</f>
        <v/>
      </c>
      <c r="D148" s="125" t="str">
        <f>IF(Ujian!D155="","",IF(LEFT(Ujian!D155,1)=SEKOR!D$2,1,0))</f>
        <v/>
      </c>
      <c r="E148" s="125" t="str">
        <f>IF(Ujian!E155="","",IF(LEFT(Ujian!E155,1)=SEKOR!E$2,1,0))</f>
        <v/>
      </c>
      <c r="F148" s="125" t="str">
        <f>IF(Ujian!F155="","",IF(LEFT(Ujian!F155,1)=SEKOR!F$2,1,0))</f>
        <v/>
      </c>
      <c r="G148" s="125" t="str">
        <f>IF(Ujian!G155="","",IF(LEFT(Ujian!G155,1)=SEKOR!G$2,1,0))</f>
        <v/>
      </c>
      <c r="H148" s="125" t="str">
        <f>IF(Ujian!H155="","",IF(LEFT(Ujian!H155,1)=SEKOR!H$2,1,0))</f>
        <v/>
      </c>
      <c r="I148" s="125" t="str">
        <f>IF(Ujian!I155="","",IF(LEFT(Ujian!I155,1)=SEKOR!I$2,1,0))</f>
        <v/>
      </c>
      <c r="J148" s="125" t="str">
        <f>IF(Ujian!J155="","",IF(LEFT(Ujian!J155,1)=SEKOR!J$2,1,0))</f>
        <v/>
      </c>
      <c r="K148" s="125" t="str">
        <f>IF(Ujian!K155="","",IF(LEFT(Ujian!K155,1)=SEKOR!K$2,1,0))</f>
        <v/>
      </c>
      <c r="L148" s="125" t="str">
        <f>IF(Ujian!L155="","",IF(LEFT(Ujian!L155,1)=SEKOR!L$2,1,0))</f>
        <v/>
      </c>
      <c r="M148" s="125" t="str">
        <f>IF(Ujian!M155="","",IF(LEFT(Ujian!M155,1)=SEKOR!M$2,1,0))</f>
        <v/>
      </c>
      <c r="N148" s="125" t="str">
        <f>IF(Ujian!N155="","",IF(LEFT(Ujian!N155,1)=SEKOR!N$2,1,0))</f>
        <v/>
      </c>
      <c r="O148" s="125" t="str">
        <f>IF(Ujian!O155="","",IF(LEFT(Ujian!O155,1)=SEKOR!O$2,1,0))</f>
        <v/>
      </c>
      <c r="P148" s="125" t="str">
        <f>IF(Ujian!P155="","",IF(LEFT(Ujian!P155,1)=SEKOR!P$2,1,0))</f>
        <v/>
      </c>
      <c r="Q148" s="125" t="str">
        <f>IF(Ujian!Q155="","",IF(LEFT(Ujian!Q155,1)=SEKOR!Q$2,1,0))</f>
        <v/>
      </c>
      <c r="R148" s="125" t="str">
        <f>IF(Ujian!R155="","",IF(LEFT(Ujian!R155,1)=SEKOR!R$2,1,0))</f>
        <v/>
      </c>
      <c r="S148" s="125" t="str">
        <f>IF(Ujian!S155="","",IF(LEFT(Ujian!S155,1)=SEKOR!S$2,1,0))</f>
        <v/>
      </c>
      <c r="T148" s="125" t="str">
        <f>IF(Ujian!T155="","",IF(LEFT(Ujian!T155,1)=SEKOR!T$2,1,0))</f>
        <v/>
      </c>
      <c r="U148" s="125" t="str">
        <f>IF(Ujian!U155="","",IF(LEFT(Ujian!U155,1)=SEKOR!U$2,1,0))</f>
        <v/>
      </c>
      <c r="V148" s="125" t="str">
        <f>IF(Ujian!V155="","",IF(LEFT(Ujian!V155,1)=SEKOR!V$2,1,0))</f>
        <v/>
      </c>
      <c r="W148" s="125" t="str">
        <f>IF(Ujian!W155="","",IF(LEFT(Ujian!W155,1)=SEKOR!W$2,1,0))</f>
        <v/>
      </c>
      <c r="X148" s="125" t="str">
        <f>IF(Ujian!X155="","",IF(LEFT(Ujian!X155,1)=SEKOR!X$2,1,0))</f>
        <v/>
      </c>
      <c r="Y148" s="125" t="str">
        <f>IF(Ujian!Y155="","",IF(LEFT(Ujian!Y155,1)=SEKOR!Y$2,1,0))</f>
        <v/>
      </c>
      <c r="Z148" s="125" t="str">
        <f>IF(Ujian!Z155="","",IF(LEFT(Ujian!Z155,1)=SEKOR!Z$2,1,0))</f>
        <v/>
      </c>
      <c r="AA148" s="125" t="str">
        <f>IF(Ujian!AA155="","",IF(LEFT(Ujian!AA155,1)=SEKOR!AA$2,1,0))</f>
        <v/>
      </c>
      <c r="AB148" s="125" t="str">
        <f>IF(Ujian!AB155="","",IF(LEFT(Ujian!AB155,1)=SEKOR!AB$2,1,0))</f>
        <v/>
      </c>
      <c r="AC148" s="125" t="str">
        <f>IF(Ujian!AC155="","",IF(LEFT(Ujian!AC155,1)=SEKOR!AC$2,1,0))</f>
        <v/>
      </c>
      <c r="AD148" s="125" t="str">
        <f>IF(Ujian!AD155="","",IF(LEFT(Ujian!AD155,1)=SEKOR!AD$2,1,0))</f>
        <v/>
      </c>
      <c r="AE148" s="125" t="str">
        <f>IF(Ujian!AE155="","",IF(LEFT(Ujian!AE155,1)=SEKOR!AE$2,1,0))</f>
        <v/>
      </c>
      <c r="AF148" s="125" t="str">
        <f>IF(Ujian!AF155="","",IF(LEFT(Ujian!AF155,1)=SEKOR!AF$2,1,0))</f>
        <v/>
      </c>
      <c r="AG148" s="125" t="str">
        <f>IF(Ujian!AG155="","",IF(LEFT(Ujian!AG155,1)=SEKOR!AG$2,1,0))</f>
        <v/>
      </c>
      <c r="AH148" s="125" t="str">
        <f>IF(Ujian!AH155="","",IF(LEFT(Ujian!AH155,1)=SEKOR!AH$2,1,0))</f>
        <v/>
      </c>
      <c r="AI148" s="125" t="str">
        <f>IF(Ujian!AI155="","",IF(LEFT(Ujian!AI155,1)=SEKOR!AI$2,1,0))</f>
        <v/>
      </c>
      <c r="AJ148" s="125" t="str">
        <f>IF(Ujian!AJ155="","",IF(LEFT(Ujian!AJ155,1)=SEKOR!AJ$2,1,0))</f>
        <v/>
      </c>
      <c r="AK148" s="125" t="str">
        <f>IF(Ujian!AK155="","",IF(LEFT(Ujian!AK155,1)=SEKOR!AK$2,1,0))</f>
        <v/>
      </c>
      <c r="AL148" s="125" t="str">
        <f>IF(Ujian!AL155="","",IF(LEFT(Ujian!AL155,1)=SEKOR!AL$2,1,0))</f>
        <v/>
      </c>
      <c r="AM148" s="125" t="str">
        <f>IF(Ujian!AM155="","",IF(LEFT(Ujian!AM155,1)=SEKOR!AM$2,1,0))</f>
        <v/>
      </c>
      <c r="AN148" s="125" t="str">
        <f>IF(Ujian!AN155="","",IF(LEFT(Ujian!AN155,1)=SEKOR!AN$2,1,0))</f>
        <v/>
      </c>
      <c r="AO148" s="125" t="str">
        <f>IF(Ujian!AO155="","",IF(LEFT(Ujian!AO155,1)=SEKOR!AO$2,1,0))</f>
        <v/>
      </c>
      <c r="AP148" s="125" t="str">
        <f>IF(Ujian!AP155="","",IF(LEFT(Ujian!AP155,1)=SEKOR!AP$2,1,0))</f>
        <v/>
      </c>
      <c r="AQ148" s="125" t="str">
        <f>IF(Ujian!AQ155="","",IF(LEFT(Ujian!AQ155,1)=SEKOR!AQ$2,1,0))</f>
        <v/>
      </c>
      <c r="AR148" s="125" t="str">
        <f>IF(Ujian!AR155="","",IF(LEFT(Ujian!AR155,1)=SEKOR!AR$2,1,0))</f>
        <v/>
      </c>
      <c r="AS148" s="125" t="str">
        <f>IF(Ujian!AS155="","",IF(LEFT(Ujian!AS155,1)=SEKOR!AS$2,1,0))</f>
        <v/>
      </c>
      <c r="AT148" s="125" t="str">
        <f>IF(Ujian!AT155="","",IF(LEFT(Ujian!AT155,1)=SEKOR!AT$2,1,0))</f>
        <v/>
      </c>
      <c r="AU148" s="125" t="str">
        <f>IF(Ujian!AU155="","",IF(LEFT(Ujian!AU155,1)=SEKOR!AU$2,1,0))</f>
        <v/>
      </c>
      <c r="AV148" s="125" t="str">
        <f>IF(Ujian!AV155="","",IF(LEFT(Ujian!AV155,1)=SEKOR!AV$2,1,0))</f>
        <v/>
      </c>
      <c r="AW148" s="125" t="str">
        <f>IF(Ujian!AW155="","",IF(LEFT(Ujian!AW155,1)=SEKOR!AW$2,1,0))</f>
        <v/>
      </c>
      <c r="AX148" s="125" t="str">
        <f>IF(Ujian!AX155="","",IF(LEFT(Ujian!AX155,1)=SEKOR!AX$2,1,0))</f>
        <v/>
      </c>
      <c r="AY148" s="125" t="str">
        <f>IF(Ujian!AY155="","",IF(LEFT(Ujian!AY155,1)=SEKOR!AY$2,1,0))</f>
        <v/>
      </c>
      <c r="AZ148" s="125" t="str">
        <f>IF(Ujian!AZ155="","",IF(LEFT(Ujian!AZ155,1)=SEKOR!AZ$2,1,0))</f>
        <v/>
      </c>
      <c r="BA148" s="125" t="str">
        <f>IF(Ujian!BA155="","",IF(LEFT(Ujian!BA155,1)=SEKOR!BA$2,1,0))</f>
        <v/>
      </c>
      <c r="BB148" s="125" t="str">
        <f>IF(Ujian!BB155="","",IF(LEFT(Ujian!BB155,1)=SEKOR!BB$2,1,0))</f>
        <v/>
      </c>
      <c r="BC148" s="125" t="str">
        <f>IF(Ujian!BC155="","",IF(LEFT(Ujian!BC155,1)=SEKOR!BC$2,1,0))</f>
        <v/>
      </c>
      <c r="BD148" s="125" t="str">
        <f>IF(Ujian!BD155="","",IF(LEFT(Ujian!BD155,1)=SEKOR!BD$2,1,0))</f>
        <v/>
      </c>
      <c r="BE148" s="125" t="str">
        <f>IF(Ujian!BE155="","",IF(LEFT(Ujian!BE155,1)=SEKOR!BE$2,1,0))</f>
        <v/>
      </c>
      <c r="BF148" s="125" t="str">
        <f>IF(Ujian!BF155="","",IF(LEFT(Ujian!BF155,1)=SEKOR!BF$2,1,0))</f>
        <v/>
      </c>
      <c r="BG148" s="125" t="str">
        <f>IF(Ujian!BG155="","",IF(LEFT(Ujian!BG155,1)=SEKOR!BG$2,1,0))</f>
        <v/>
      </c>
      <c r="BH148" s="125" t="str">
        <f>IF(Ujian!BH155="","",IF(LEFT(Ujian!BH155,1)=SEKOR!BH$2,1,0))</f>
        <v/>
      </c>
      <c r="BI148" s="125" t="str">
        <f>IF(Ujian!BI155="","",IF(LEFT(Ujian!BI155,1)=SEKOR!BI$2,1,0))</f>
        <v/>
      </c>
      <c r="BJ148" s="125" t="str">
        <f>IF(Ujian!BJ155="","",IF(LEFT(Ujian!BJ155,1)=SEKOR!BJ$2,1,0))</f>
        <v/>
      </c>
      <c r="BK148" s="125" t="str">
        <f>IF(Ujian!BK155="","",IF(LEFT(Ujian!BK155,1)=SEKOR!BK$2,1,0))</f>
        <v/>
      </c>
      <c r="BL148" s="18">
        <f t="shared" si="4"/>
        <v>0</v>
      </c>
      <c r="BM148" s="18">
        <f>COUNTIF($D148:$BK148,"")+DATA!$F$14-DATA!$F$12</f>
        <v>60</v>
      </c>
      <c r="BN148" s="17">
        <f>IF(COUNTIF($D148:$BK148,1)&gt;DATA!$F$14,DATA!$F$14,COUNTIF($D148:$BK148,1))</f>
        <v>0</v>
      </c>
      <c r="BO148" s="17">
        <f>IF((BN148+COUNTIF($D148:$BK148,0))&lt;=DATA!$F$14,COUNTIF($D148:$BK148,0),DATA!$F$14-SEKOR!BN148)</f>
        <v>0</v>
      </c>
      <c r="BP148" s="4" t="str">
        <f>IF(BL148=0,"",BN148/DATA!$F$14*100)</f>
        <v/>
      </c>
      <c r="BQ148" s="121" t="str">
        <f t="shared" si="5"/>
        <v/>
      </c>
      <c r="BR148" s="2" t="str">
        <f>IF(Praktik!$E148=0,"",Praktik!$E148)</f>
        <v/>
      </c>
      <c r="BS148" s="2" t="str">
        <f>IF(BR148="","",(BP148*DATAINFO!$O$4)+(SEKOR!BR148*DATAINFO!$O$5)/(DATAINFO!$O$4+DATAINFO!$O$5))</f>
        <v/>
      </c>
      <c r="BT148" s="2" t="str">
        <f>IF(BL148=0,"",IF(DATA!$F$18="TIDAK",ROUNDUP((IF!$L$8*SEKOR!$BP148)+IF!$L$9,0),IF($BR148="","",ROUNDUP((IF!$L$20*$BS148)+IF!$L$21,0))))</f>
        <v/>
      </c>
      <c r="BU148" s="47" t="str">
        <f>IF(BP148="","",IF(SEKOR!BP148&gt;=DATA!$J$12,1,0))</f>
        <v/>
      </c>
      <c r="BV148" s="47" t="str">
        <f>IF(BQ148="","",IF(SEKOR!BQ148&gt;=DATA!$J$12,1,0))</f>
        <v/>
      </c>
      <c r="BW148" s="47" t="str">
        <f>IF(BR148="","",IF(SEKOR!BR148&gt;=DATA!$J$12,1,0))</f>
        <v/>
      </c>
      <c r="BX148" s="47" t="str">
        <f>IF(BT148="","",IF(DATA!$J$14="",IF(SEKOR!BT148&gt;=DATA!$J$12,1,0),IF(SEKOR!BT148&gt;=DATA!$J$14,1,0)))</f>
        <v/>
      </c>
    </row>
    <row r="149" spans="1:76" x14ac:dyDescent="0.25">
      <c r="A149" s="20" t="s">
        <v>176</v>
      </c>
      <c r="B149" s="21" t="str">
        <f>IF(Ujian!B156="","",Ujian!B156)</f>
        <v/>
      </c>
      <c r="C149" s="57" t="str">
        <f>IF(Ujian!C156="","",Ujian!C156)</f>
        <v/>
      </c>
      <c r="D149" s="125" t="str">
        <f>IF(Ujian!D156="","",IF(LEFT(Ujian!D156,1)=SEKOR!D$2,1,0))</f>
        <v/>
      </c>
      <c r="E149" s="125" t="str">
        <f>IF(Ujian!E156="","",IF(LEFT(Ujian!E156,1)=SEKOR!E$2,1,0))</f>
        <v/>
      </c>
      <c r="F149" s="125" t="str">
        <f>IF(Ujian!F156="","",IF(LEFT(Ujian!F156,1)=SEKOR!F$2,1,0))</f>
        <v/>
      </c>
      <c r="G149" s="125" t="str">
        <f>IF(Ujian!G156="","",IF(LEFT(Ujian!G156,1)=SEKOR!G$2,1,0))</f>
        <v/>
      </c>
      <c r="H149" s="125" t="str">
        <f>IF(Ujian!H156="","",IF(LEFT(Ujian!H156,1)=SEKOR!H$2,1,0))</f>
        <v/>
      </c>
      <c r="I149" s="125" t="str">
        <f>IF(Ujian!I156="","",IF(LEFT(Ujian!I156,1)=SEKOR!I$2,1,0))</f>
        <v/>
      </c>
      <c r="J149" s="125" t="str">
        <f>IF(Ujian!J156="","",IF(LEFT(Ujian!J156,1)=SEKOR!J$2,1,0))</f>
        <v/>
      </c>
      <c r="K149" s="125" t="str">
        <f>IF(Ujian!K156="","",IF(LEFT(Ujian!K156,1)=SEKOR!K$2,1,0))</f>
        <v/>
      </c>
      <c r="L149" s="125" t="str">
        <f>IF(Ujian!L156="","",IF(LEFT(Ujian!L156,1)=SEKOR!L$2,1,0))</f>
        <v/>
      </c>
      <c r="M149" s="125" t="str">
        <f>IF(Ujian!M156="","",IF(LEFT(Ujian!M156,1)=SEKOR!M$2,1,0))</f>
        <v/>
      </c>
      <c r="N149" s="125" t="str">
        <f>IF(Ujian!N156="","",IF(LEFT(Ujian!N156,1)=SEKOR!N$2,1,0))</f>
        <v/>
      </c>
      <c r="O149" s="125" t="str">
        <f>IF(Ujian!O156="","",IF(LEFT(Ujian!O156,1)=SEKOR!O$2,1,0))</f>
        <v/>
      </c>
      <c r="P149" s="125" t="str">
        <f>IF(Ujian!P156="","",IF(LEFT(Ujian!P156,1)=SEKOR!P$2,1,0))</f>
        <v/>
      </c>
      <c r="Q149" s="125" t="str">
        <f>IF(Ujian!Q156="","",IF(LEFT(Ujian!Q156,1)=SEKOR!Q$2,1,0))</f>
        <v/>
      </c>
      <c r="R149" s="125" t="str">
        <f>IF(Ujian!R156="","",IF(LEFT(Ujian!R156,1)=SEKOR!R$2,1,0))</f>
        <v/>
      </c>
      <c r="S149" s="125" t="str">
        <f>IF(Ujian!S156="","",IF(LEFT(Ujian!S156,1)=SEKOR!S$2,1,0))</f>
        <v/>
      </c>
      <c r="T149" s="125" t="str">
        <f>IF(Ujian!T156="","",IF(LEFT(Ujian!T156,1)=SEKOR!T$2,1,0))</f>
        <v/>
      </c>
      <c r="U149" s="125" t="str">
        <f>IF(Ujian!U156="","",IF(LEFT(Ujian!U156,1)=SEKOR!U$2,1,0))</f>
        <v/>
      </c>
      <c r="V149" s="125" t="str">
        <f>IF(Ujian!V156="","",IF(LEFT(Ujian!V156,1)=SEKOR!V$2,1,0))</f>
        <v/>
      </c>
      <c r="W149" s="125" t="str">
        <f>IF(Ujian!W156="","",IF(LEFT(Ujian!W156,1)=SEKOR!W$2,1,0))</f>
        <v/>
      </c>
      <c r="X149" s="125" t="str">
        <f>IF(Ujian!X156="","",IF(LEFT(Ujian!X156,1)=SEKOR!X$2,1,0))</f>
        <v/>
      </c>
      <c r="Y149" s="125" t="str">
        <f>IF(Ujian!Y156="","",IF(LEFT(Ujian!Y156,1)=SEKOR!Y$2,1,0))</f>
        <v/>
      </c>
      <c r="Z149" s="125" t="str">
        <f>IF(Ujian!Z156="","",IF(LEFT(Ujian!Z156,1)=SEKOR!Z$2,1,0))</f>
        <v/>
      </c>
      <c r="AA149" s="125" t="str">
        <f>IF(Ujian!AA156="","",IF(LEFT(Ujian!AA156,1)=SEKOR!AA$2,1,0))</f>
        <v/>
      </c>
      <c r="AB149" s="125" t="str">
        <f>IF(Ujian!AB156="","",IF(LEFT(Ujian!AB156,1)=SEKOR!AB$2,1,0))</f>
        <v/>
      </c>
      <c r="AC149" s="125" t="str">
        <f>IF(Ujian!AC156="","",IF(LEFT(Ujian!AC156,1)=SEKOR!AC$2,1,0))</f>
        <v/>
      </c>
      <c r="AD149" s="125" t="str">
        <f>IF(Ujian!AD156="","",IF(LEFT(Ujian!AD156,1)=SEKOR!AD$2,1,0))</f>
        <v/>
      </c>
      <c r="AE149" s="125" t="str">
        <f>IF(Ujian!AE156="","",IF(LEFT(Ujian!AE156,1)=SEKOR!AE$2,1,0))</f>
        <v/>
      </c>
      <c r="AF149" s="125" t="str">
        <f>IF(Ujian!AF156="","",IF(LEFT(Ujian!AF156,1)=SEKOR!AF$2,1,0))</f>
        <v/>
      </c>
      <c r="AG149" s="125" t="str">
        <f>IF(Ujian!AG156="","",IF(LEFT(Ujian!AG156,1)=SEKOR!AG$2,1,0))</f>
        <v/>
      </c>
      <c r="AH149" s="125" t="str">
        <f>IF(Ujian!AH156="","",IF(LEFT(Ujian!AH156,1)=SEKOR!AH$2,1,0))</f>
        <v/>
      </c>
      <c r="AI149" s="125" t="str">
        <f>IF(Ujian!AI156="","",IF(LEFT(Ujian!AI156,1)=SEKOR!AI$2,1,0))</f>
        <v/>
      </c>
      <c r="AJ149" s="125" t="str">
        <f>IF(Ujian!AJ156="","",IF(LEFT(Ujian!AJ156,1)=SEKOR!AJ$2,1,0))</f>
        <v/>
      </c>
      <c r="AK149" s="125" t="str">
        <f>IF(Ujian!AK156="","",IF(LEFT(Ujian!AK156,1)=SEKOR!AK$2,1,0))</f>
        <v/>
      </c>
      <c r="AL149" s="125" t="str">
        <f>IF(Ujian!AL156="","",IF(LEFT(Ujian!AL156,1)=SEKOR!AL$2,1,0))</f>
        <v/>
      </c>
      <c r="AM149" s="125" t="str">
        <f>IF(Ujian!AM156="","",IF(LEFT(Ujian!AM156,1)=SEKOR!AM$2,1,0))</f>
        <v/>
      </c>
      <c r="AN149" s="125" t="str">
        <f>IF(Ujian!AN156="","",IF(LEFT(Ujian!AN156,1)=SEKOR!AN$2,1,0))</f>
        <v/>
      </c>
      <c r="AO149" s="125" t="str">
        <f>IF(Ujian!AO156="","",IF(LEFT(Ujian!AO156,1)=SEKOR!AO$2,1,0))</f>
        <v/>
      </c>
      <c r="AP149" s="125" t="str">
        <f>IF(Ujian!AP156="","",IF(LEFT(Ujian!AP156,1)=SEKOR!AP$2,1,0))</f>
        <v/>
      </c>
      <c r="AQ149" s="125" t="str">
        <f>IF(Ujian!AQ156="","",IF(LEFT(Ujian!AQ156,1)=SEKOR!AQ$2,1,0))</f>
        <v/>
      </c>
      <c r="AR149" s="125" t="str">
        <f>IF(Ujian!AR156="","",IF(LEFT(Ujian!AR156,1)=SEKOR!AR$2,1,0))</f>
        <v/>
      </c>
      <c r="AS149" s="125" t="str">
        <f>IF(Ujian!AS156="","",IF(LEFT(Ujian!AS156,1)=SEKOR!AS$2,1,0))</f>
        <v/>
      </c>
      <c r="AT149" s="125" t="str">
        <f>IF(Ujian!AT156="","",IF(LEFT(Ujian!AT156,1)=SEKOR!AT$2,1,0))</f>
        <v/>
      </c>
      <c r="AU149" s="125" t="str">
        <f>IF(Ujian!AU156="","",IF(LEFT(Ujian!AU156,1)=SEKOR!AU$2,1,0))</f>
        <v/>
      </c>
      <c r="AV149" s="125" t="str">
        <f>IF(Ujian!AV156="","",IF(LEFT(Ujian!AV156,1)=SEKOR!AV$2,1,0))</f>
        <v/>
      </c>
      <c r="AW149" s="125" t="str">
        <f>IF(Ujian!AW156="","",IF(LEFT(Ujian!AW156,1)=SEKOR!AW$2,1,0))</f>
        <v/>
      </c>
      <c r="AX149" s="125" t="str">
        <f>IF(Ujian!AX156="","",IF(LEFT(Ujian!AX156,1)=SEKOR!AX$2,1,0))</f>
        <v/>
      </c>
      <c r="AY149" s="125" t="str">
        <f>IF(Ujian!AY156="","",IF(LEFT(Ujian!AY156,1)=SEKOR!AY$2,1,0))</f>
        <v/>
      </c>
      <c r="AZ149" s="125" t="str">
        <f>IF(Ujian!AZ156="","",IF(LEFT(Ujian!AZ156,1)=SEKOR!AZ$2,1,0))</f>
        <v/>
      </c>
      <c r="BA149" s="125" t="str">
        <f>IF(Ujian!BA156="","",IF(LEFT(Ujian!BA156,1)=SEKOR!BA$2,1,0))</f>
        <v/>
      </c>
      <c r="BB149" s="125" t="str">
        <f>IF(Ujian!BB156="","",IF(LEFT(Ujian!BB156,1)=SEKOR!BB$2,1,0))</f>
        <v/>
      </c>
      <c r="BC149" s="125" t="str">
        <f>IF(Ujian!BC156="","",IF(LEFT(Ujian!BC156,1)=SEKOR!BC$2,1,0))</f>
        <v/>
      </c>
      <c r="BD149" s="125" t="str">
        <f>IF(Ujian!BD156="","",IF(LEFT(Ujian!BD156,1)=SEKOR!BD$2,1,0))</f>
        <v/>
      </c>
      <c r="BE149" s="125" t="str">
        <f>IF(Ujian!BE156="","",IF(LEFT(Ujian!BE156,1)=SEKOR!BE$2,1,0))</f>
        <v/>
      </c>
      <c r="BF149" s="125" t="str">
        <f>IF(Ujian!BF156="","",IF(LEFT(Ujian!BF156,1)=SEKOR!BF$2,1,0))</f>
        <v/>
      </c>
      <c r="BG149" s="125" t="str">
        <f>IF(Ujian!BG156="","",IF(LEFT(Ujian!BG156,1)=SEKOR!BG$2,1,0))</f>
        <v/>
      </c>
      <c r="BH149" s="125" t="str">
        <f>IF(Ujian!BH156="","",IF(LEFT(Ujian!BH156,1)=SEKOR!BH$2,1,0))</f>
        <v/>
      </c>
      <c r="BI149" s="125" t="str">
        <f>IF(Ujian!BI156="","",IF(LEFT(Ujian!BI156,1)=SEKOR!BI$2,1,0))</f>
        <v/>
      </c>
      <c r="BJ149" s="125" t="str">
        <f>IF(Ujian!BJ156="","",IF(LEFT(Ujian!BJ156,1)=SEKOR!BJ$2,1,0))</f>
        <v/>
      </c>
      <c r="BK149" s="125" t="str">
        <f>IF(Ujian!BK156="","",IF(LEFT(Ujian!BK156,1)=SEKOR!BK$2,1,0))</f>
        <v/>
      </c>
      <c r="BL149" s="18">
        <f t="shared" si="4"/>
        <v>0</v>
      </c>
      <c r="BM149" s="18">
        <f>COUNTIF($D149:$BK149,"")+DATA!$F$14-DATA!$F$12</f>
        <v>60</v>
      </c>
      <c r="BN149" s="17">
        <f>IF(COUNTIF($D149:$BK149,1)&gt;DATA!$F$14,DATA!$F$14,COUNTIF($D149:$BK149,1))</f>
        <v>0</v>
      </c>
      <c r="BO149" s="17">
        <f>IF((BN149+COUNTIF($D149:$BK149,0))&lt;=DATA!$F$14,COUNTIF($D149:$BK149,0),DATA!$F$14-SEKOR!BN149)</f>
        <v>0</v>
      </c>
      <c r="BP149" s="4" t="str">
        <f>IF(BL149=0,"",BN149/DATA!$F$14*100)</f>
        <v/>
      </c>
      <c r="BQ149" s="121" t="str">
        <f t="shared" si="5"/>
        <v/>
      </c>
      <c r="BR149" s="2" t="str">
        <f>IF(Praktik!$E149=0,"",Praktik!$E149)</f>
        <v/>
      </c>
      <c r="BS149" s="2" t="str">
        <f>IF(BR149="","",(BP149*DATAINFO!$O$4)+(SEKOR!BR149*DATAINFO!$O$5)/(DATAINFO!$O$4+DATAINFO!$O$5))</f>
        <v/>
      </c>
      <c r="BT149" s="2" t="str">
        <f>IF(BL149=0,"",IF(DATA!$F$18="TIDAK",ROUNDUP((IF!$L$8*SEKOR!$BP149)+IF!$L$9,0),IF($BR149="","",ROUNDUP((IF!$L$20*$BS149)+IF!$L$21,0))))</f>
        <v/>
      </c>
      <c r="BU149" s="47" t="str">
        <f>IF(BP149="","",IF(SEKOR!BP149&gt;=DATA!$J$12,1,0))</f>
        <v/>
      </c>
      <c r="BV149" s="47" t="str">
        <f>IF(BQ149="","",IF(SEKOR!BQ149&gt;=DATA!$J$12,1,0))</f>
        <v/>
      </c>
      <c r="BW149" s="47" t="str">
        <f>IF(BR149="","",IF(SEKOR!BR149&gt;=DATA!$J$12,1,0))</f>
        <v/>
      </c>
      <c r="BX149" s="47" t="str">
        <f>IF(BT149="","",IF(DATA!$J$14="",IF(SEKOR!BT149&gt;=DATA!$J$12,1,0),IF(SEKOR!BT149&gt;=DATA!$J$14,1,0)))</f>
        <v/>
      </c>
    </row>
    <row r="150" spans="1:76" x14ac:dyDescent="0.25">
      <c r="A150" s="20" t="s">
        <v>177</v>
      </c>
      <c r="B150" s="21" t="str">
        <f>IF(Ujian!B157="","",Ujian!B157)</f>
        <v/>
      </c>
      <c r="C150" s="57" t="str">
        <f>IF(Ujian!C157="","",Ujian!C157)</f>
        <v/>
      </c>
      <c r="D150" s="125" t="str">
        <f>IF(Ujian!D157="","",IF(LEFT(Ujian!D157,1)=SEKOR!D$2,1,0))</f>
        <v/>
      </c>
      <c r="E150" s="125" t="str">
        <f>IF(Ujian!E157="","",IF(LEFT(Ujian!E157,1)=SEKOR!E$2,1,0))</f>
        <v/>
      </c>
      <c r="F150" s="125" t="str">
        <f>IF(Ujian!F157="","",IF(LEFT(Ujian!F157,1)=SEKOR!F$2,1,0))</f>
        <v/>
      </c>
      <c r="G150" s="125" t="str">
        <f>IF(Ujian!G157="","",IF(LEFT(Ujian!G157,1)=SEKOR!G$2,1,0))</f>
        <v/>
      </c>
      <c r="H150" s="125" t="str">
        <f>IF(Ujian!H157="","",IF(LEFT(Ujian!H157,1)=SEKOR!H$2,1,0))</f>
        <v/>
      </c>
      <c r="I150" s="125" t="str">
        <f>IF(Ujian!I157="","",IF(LEFT(Ujian!I157,1)=SEKOR!I$2,1,0))</f>
        <v/>
      </c>
      <c r="J150" s="125" t="str">
        <f>IF(Ujian!J157="","",IF(LEFT(Ujian!J157,1)=SEKOR!J$2,1,0))</f>
        <v/>
      </c>
      <c r="K150" s="125" t="str">
        <f>IF(Ujian!K157="","",IF(LEFT(Ujian!K157,1)=SEKOR!K$2,1,0))</f>
        <v/>
      </c>
      <c r="L150" s="125" t="str">
        <f>IF(Ujian!L157="","",IF(LEFT(Ujian!L157,1)=SEKOR!L$2,1,0))</f>
        <v/>
      </c>
      <c r="M150" s="125" t="str">
        <f>IF(Ujian!M157="","",IF(LEFT(Ujian!M157,1)=SEKOR!M$2,1,0))</f>
        <v/>
      </c>
      <c r="N150" s="125" t="str">
        <f>IF(Ujian!N157="","",IF(LEFT(Ujian!N157,1)=SEKOR!N$2,1,0))</f>
        <v/>
      </c>
      <c r="O150" s="125" t="str">
        <f>IF(Ujian!O157="","",IF(LEFT(Ujian!O157,1)=SEKOR!O$2,1,0))</f>
        <v/>
      </c>
      <c r="P150" s="125" t="str">
        <f>IF(Ujian!P157="","",IF(LEFT(Ujian!P157,1)=SEKOR!P$2,1,0))</f>
        <v/>
      </c>
      <c r="Q150" s="125" t="str">
        <f>IF(Ujian!Q157="","",IF(LEFT(Ujian!Q157,1)=SEKOR!Q$2,1,0))</f>
        <v/>
      </c>
      <c r="R150" s="125" t="str">
        <f>IF(Ujian!R157="","",IF(LEFT(Ujian!R157,1)=SEKOR!R$2,1,0))</f>
        <v/>
      </c>
      <c r="S150" s="125" t="str">
        <f>IF(Ujian!S157="","",IF(LEFT(Ujian!S157,1)=SEKOR!S$2,1,0))</f>
        <v/>
      </c>
      <c r="T150" s="125" t="str">
        <f>IF(Ujian!T157="","",IF(LEFT(Ujian!T157,1)=SEKOR!T$2,1,0))</f>
        <v/>
      </c>
      <c r="U150" s="125" t="str">
        <f>IF(Ujian!U157="","",IF(LEFT(Ujian!U157,1)=SEKOR!U$2,1,0))</f>
        <v/>
      </c>
      <c r="V150" s="125" t="str">
        <f>IF(Ujian!V157="","",IF(LEFT(Ujian!V157,1)=SEKOR!V$2,1,0))</f>
        <v/>
      </c>
      <c r="W150" s="125" t="str">
        <f>IF(Ujian!W157="","",IF(LEFT(Ujian!W157,1)=SEKOR!W$2,1,0))</f>
        <v/>
      </c>
      <c r="X150" s="125" t="str">
        <f>IF(Ujian!X157="","",IF(LEFT(Ujian!X157,1)=SEKOR!X$2,1,0))</f>
        <v/>
      </c>
      <c r="Y150" s="125" t="str">
        <f>IF(Ujian!Y157="","",IF(LEFT(Ujian!Y157,1)=SEKOR!Y$2,1,0))</f>
        <v/>
      </c>
      <c r="Z150" s="125" t="str">
        <f>IF(Ujian!Z157="","",IF(LEFT(Ujian!Z157,1)=SEKOR!Z$2,1,0))</f>
        <v/>
      </c>
      <c r="AA150" s="125" t="str">
        <f>IF(Ujian!AA157="","",IF(LEFT(Ujian!AA157,1)=SEKOR!AA$2,1,0))</f>
        <v/>
      </c>
      <c r="AB150" s="125" t="str">
        <f>IF(Ujian!AB157="","",IF(LEFT(Ujian!AB157,1)=SEKOR!AB$2,1,0))</f>
        <v/>
      </c>
      <c r="AC150" s="125" t="str">
        <f>IF(Ujian!AC157="","",IF(LEFT(Ujian!AC157,1)=SEKOR!AC$2,1,0))</f>
        <v/>
      </c>
      <c r="AD150" s="125" t="str">
        <f>IF(Ujian!AD157="","",IF(LEFT(Ujian!AD157,1)=SEKOR!AD$2,1,0))</f>
        <v/>
      </c>
      <c r="AE150" s="125" t="str">
        <f>IF(Ujian!AE157="","",IF(LEFT(Ujian!AE157,1)=SEKOR!AE$2,1,0))</f>
        <v/>
      </c>
      <c r="AF150" s="125" t="str">
        <f>IF(Ujian!AF157="","",IF(LEFT(Ujian!AF157,1)=SEKOR!AF$2,1,0))</f>
        <v/>
      </c>
      <c r="AG150" s="125" t="str">
        <f>IF(Ujian!AG157="","",IF(LEFT(Ujian!AG157,1)=SEKOR!AG$2,1,0))</f>
        <v/>
      </c>
      <c r="AH150" s="125" t="str">
        <f>IF(Ujian!AH157="","",IF(LEFT(Ujian!AH157,1)=SEKOR!AH$2,1,0))</f>
        <v/>
      </c>
      <c r="AI150" s="125" t="str">
        <f>IF(Ujian!AI157="","",IF(LEFT(Ujian!AI157,1)=SEKOR!AI$2,1,0))</f>
        <v/>
      </c>
      <c r="AJ150" s="125" t="str">
        <f>IF(Ujian!AJ157="","",IF(LEFT(Ujian!AJ157,1)=SEKOR!AJ$2,1,0))</f>
        <v/>
      </c>
      <c r="AK150" s="125" t="str">
        <f>IF(Ujian!AK157="","",IF(LEFT(Ujian!AK157,1)=SEKOR!AK$2,1,0))</f>
        <v/>
      </c>
      <c r="AL150" s="125" t="str">
        <f>IF(Ujian!AL157="","",IF(LEFT(Ujian!AL157,1)=SEKOR!AL$2,1,0))</f>
        <v/>
      </c>
      <c r="AM150" s="125" t="str">
        <f>IF(Ujian!AM157="","",IF(LEFT(Ujian!AM157,1)=SEKOR!AM$2,1,0))</f>
        <v/>
      </c>
      <c r="AN150" s="125" t="str">
        <f>IF(Ujian!AN157="","",IF(LEFT(Ujian!AN157,1)=SEKOR!AN$2,1,0))</f>
        <v/>
      </c>
      <c r="AO150" s="125" t="str">
        <f>IF(Ujian!AO157="","",IF(LEFT(Ujian!AO157,1)=SEKOR!AO$2,1,0))</f>
        <v/>
      </c>
      <c r="AP150" s="125" t="str">
        <f>IF(Ujian!AP157="","",IF(LEFT(Ujian!AP157,1)=SEKOR!AP$2,1,0))</f>
        <v/>
      </c>
      <c r="AQ150" s="125" t="str">
        <f>IF(Ujian!AQ157="","",IF(LEFT(Ujian!AQ157,1)=SEKOR!AQ$2,1,0))</f>
        <v/>
      </c>
      <c r="AR150" s="125" t="str">
        <f>IF(Ujian!AR157="","",IF(LEFT(Ujian!AR157,1)=SEKOR!AR$2,1,0))</f>
        <v/>
      </c>
      <c r="AS150" s="125" t="str">
        <f>IF(Ujian!AS157="","",IF(LEFT(Ujian!AS157,1)=SEKOR!AS$2,1,0))</f>
        <v/>
      </c>
      <c r="AT150" s="125" t="str">
        <f>IF(Ujian!AT157="","",IF(LEFT(Ujian!AT157,1)=SEKOR!AT$2,1,0))</f>
        <v/>
      </c>
      <c r="AU150" s="125" t="str">
        <f>IF(Ujian!AU157="","",IF(LEFT(Ujian!AU157,1)=SEKOR!AU$2,1,0))</f>
        <v/>
      </c>
      <c r="AV150" s="125" t="str">
        <f>IF(Ujian!AV157="","",IF(LEFT(Ujian!AV157,1)=SEKOR!AV$2,1,0))</f>
        <v/>
      </c>
      <c r="AW150" s="125" t="str">
        <f>IF(Ujian!AW157="","",IF(LEFT(Ujian!AW157,1)=SEKOR!AW$2,1,0))</f>
        <v/>
      </c>
      <c r="AX150" s="125" t="str">
        <f>IF(Ujian!AX157="","",IF(LEFT(Ujian!AX157,1)=SEKOR!AX$2,1,0))</f>
        <v/>
      </c>
      <c r="AY150" s="125" t="str">
        <f>IF(Ujian!AY157="","",IF(LEFT(Ujian!AY157,1)=SEKOR!AY$2,1,0))</f>
        <v/>
      </c>
      <c r="AZ150" s="125" t="str">
        <f>IF(Ujian!AZ157="","",IF(LEFT(Ujian!AZ157,1)=SEKOR!AZ$2,1,0))</f>
        <v/>
      </c>
      <c r="BA150" s="125" t="str">
        <f>IF(Ujian!BA157="","",IF(LEFT(Ujian!BA157,1)=SEKOR!BA$2,1,0))</f>
        <v/>
      </c>
      <c r="BB150" s="125" t="str">
        <f>IF(Ujian!BB157="","",IF(LEFT(Ujian!BB157,1)=SEKOR!BB$2,1,0))</f>
        <v/>
      </c>
      <c r="BC150" s="125" t="str">
        <f>IF(Ujian!BC157="","",IF(LEFT(Ujian!BC157,1)=SEKOR!BC$2,1,0))</f>
        <v/>
      </c>
      <c r="BD150" s="125" t="str">
        <f>IF(Ujian!BD157="","",IF(LEFT(Ujian!BD157,1)=SEKOR!BD$2,1,0))</f>
        <v/>
      </c>
      <c r="BE150" s="125" t="str">
        <f>IF(Ujian!BE157="","",IF(LEFT(Ujian!BE157,1)=SEKOR!BE$2,1,0))</f>
        <v/>
      </c>
      <c r="BF150" s="125" t="str">
        <f>IF(Ujian!BF157="","",IF(LEFT(Ujian!BF157,1)=SEKOR!BF$2,1,0))</f>
        <v/>
      </c>
      <c r="BG150" s="125" t="str">
        <f>IF(Ujian!BG157="","",IF(LEFT(Ujian!BG157,1)=SEKOR!BG$2,1,0))</f>
        <v/>
      </c>
      <c r="BH150" s="125" t="str">
        <f>IF(Ujian!BH157="","",IF(LEFT(Ujian!BH157,1)=SEKOR!BH$2,1,0))</f>
        <v/>
      </c>
      <c r="BI150" s="125" t="str">
        <f>IF(Ujian!BI157="","",IF(LEFT(Ujian!BI157,1)=SEKOR!BI$2,1,0))</f>
        <v/>
      </c>
      <c r="BJ150" s="125" t="str">
        <f>IF(Ujian!BJ157="","",IF(LEFT(Ujian!BJ157,1)=SEKOR!BJ$2,1,0))</f>
        <v/>
      </c>
      <c r="BK150" s="125" t="str">
        <f>IF(Ujian!BK157="","",IF(LEFT(Ujian!BK157,1)=SEKOR!BK$2,1,0))</f>
        <v/>
      </c>
      <c r="BL150" s="18">
        <f t="shared" si="4"/>
        <v>0</v>
      </c>
      <c r="BM150" s="18">
        <f>COUNTIF($D150:$BK150,"")+DATA!$F$14-DATA!$F$12</f>
        <v>60</v>
      </c>
      <c r="BN150" s="17">
        <f>IF(COUNTIF($D150:$BK150,1)&gt;DATA!$F$14,DATA!$F$14,COUNTIF($D150:$BK150,1))</f>
        <v>0</v>
      </c>
      <c r="BO150" s="17">
        <f>IF((BN150+COUNTIF($D150:$BK150,0))&lt;=DATA!$F$14,COUNTIF($D150:$BK150,0),DATA!$F$14-SEKOR!BN150)</f>
        <v>0</v>
      </c>
      <c r="BP150" s="4" t="str">
        <f>IF(BL150=0,"",BN150/DATA!$F$14*100)</f>
        <v/>
      </c>
      <c r="BQ150" s="121" t="str">
        <f t="shared" si="5"/>
        <v/>
      </c>
      <c r="BR150" s="2" t="str">
        <f>IF(Praktik!$E150=0,"",Praktik!$E150)</f>
        <v/>
      </c>
      <c r="BS150" s="2" t="str">
        <f>IF(BR150="","",(BP150*DATAINFO!$O$4)+(SEKOR!BR150*DATAINFO!$O$5)/(DATAINFO!$O$4+DATAINFO!$O$5))</f>
        <v/>
      </c>
      <c r="BT150" s="2" t="str">
        <f>IF(BL150=0,"",IF(DATA!$F$18="TIDAK",ROUNDUP((IF!$L$8*SEKOR!$BP150)+IF!$L$9,0),IF($BR150="","",ROUNDUP((IF!$L$20*$BS150)+IF!$L$21,0))))</f>
        <v/>
      </c>
      <c r="BU150" s="47" t="str">
        <f>IF(BP150="","",IF(SEKOR!BP150&gt;=DATA!$J$12,1,0))</f>
        <v/>
      </c>
      <c r="BV150" s="47" t="str">
        <f>IF(BQ150="","",IF(SEKOR!BQ150&gt;=DATA!$J$12,1,0))</f>
        <v/>
      </c>
      <c r="BW150" s="47" t="str">
        <f>IF(BR150="","",IF(SEKOR!BR150&gt;=DATA!$J$12,1,0))</f>
        <v/>
      </c>
      <c r="BX150" s="47" t="str">
        <f>IF(BT150="","",IF(DATA!$J$14="",IF(SEKOR!BT150&gt;=DATA!$J$12,1,0),IF(SEKOR!BT150&gt;=DATA!$J$14,1,0)))</f>
        <v/>
      </c>
    </row>
    <row r="151" spans="1:76" x14ac:dyDescent="0.25">
      <c r="A151" s="20" t="s">
        <v>178</v>
      </c>
      <c r="B151" s="21" t="str">
        <f>IF(Ujian!B158="","",Ujian!B158)</f>
        <v/>
      </c>
      <c r="C151" s="57" t="str">
        <f>IF(Ujian!C158="","",Ujian!C158)</f>
        <v/>
      </c>
      <c r="D151" s="125" t="str">
        <f>IF(Ujian!D158="","",IF(LEFT(Ujian!D158,1)=SEKOR!D$2,1,0))</f>
        <v/>
      </c>
      <c r="E151" s="125" t="str">
        <f>IF(Ujian!E158="","",IF(LEFT(Ujian!E158,1)=SEKOR!E$2,1,0))</f>
        <v/>
      </c>
      <c r="F151" s="125" t="str">
        <f>IF(Ujian!F158="","",IF(LEFT(Ujian!F158,1)=SEKOR!F$2,1,0))</f>
        <v/>
      </c>
      <c r="G151" s="125" t="str">
        <f>IF(Ujian!G158="","",IF(LEFT(Ujian!G158,1)=SEKOR!G$2,1,0))</f>
        <v/>
      </c>
      <c r="H151" s="125" t="str">
        <f>IF(Ujian!H158="","",IF(LEFT(Ujian!H158,1)=SEKOR!H$2,1,0))</f>
        <v/>
      </c>
      <c r="I151" s="125" t="str">
        <f>IF(Ujian!I158="","",IF(LEFT(Ujian!I158,1)=SEKOR!I$2,1,0))</f>
        <v/>
      </c>
      <c r="J151" s="125" t="str">
        <f>IF(Ujian!J158="","",IF(LEFT(Ujian!J158,1)=SEKOR!J$2,1,0))</f>
        <v/>
      </c>
      <c r="K151" s="125" t="str">
        <f>IF(Ujian!K158="","",IF(LEFT(Ujian!K158,1)=SEKOR!K$2,1,0))</f>
        <v/>
      </c>
      <c r="L151" s="125" t="str">
        <f>IF(Ujian!L158="","",IF(LEFT(Ujian!L158,1)=SEKOR!L$2,1,0))</f>
        <v/>
      </c>
      <c r="M151" s="125" t="str">
        <f>IF(Ujian!M158="","",IF(LEFT(Ujian!M158,1)=SEKOR!M$2,1,0))</f>
        <v/>
      </c>
      <c r="N151" s="125" t="str">
        <f>IF(Ujian!N158="","",IF(LEFT(Ujian!N158,1)=SEKOR!N$2,1,0))</f>
        <v/>
      </c>
      <c r="O151" s="125" t="str">
        <f>IF(Ujian!O158="","",IF(LEFT(Ujian!O158,1)=SEKOR!O$2,1,0))</f>
        <v/>
      </c>
      <c r="P151" s="125" t="str">
        <f>IF(Ujian!P158="","",IF(LEFT(Ujian!P158,1)=SEKOR!P$2,1,0))</f>
        <v/>
      </c>
      <c r="Q151" s="125" t="str">
        <f>IF(Ujian!Q158="","",IF(LEFT(Ujian!Q158,1)=SEKOR!Q$2,1,0))</f>
        <v/>
      </c>
      <c r="R151" s="125" t="str">
        <f>IF(Ujian!R158="","",IF(LEFT(Ujian!R158,1)=SEKOR!R$2,1,0))</f>
        <v/>
      </c>
      <c r="S151" s="125" t="str">
        <f>IF(Ujian!S158="","",IF(LEFT(Ujian!S158,1)=SEKOR!S$2,1,0))</f>
        <v/>
      </c>
      <c r="T151" s="125" t="str">
        <f>IF(Ujian!T158="","",IF(LEFT(Ujian!T158,1)=SEKOR!T$2,1,0))</f>
        <v/>
      </c>
      <c r="U151" s="125" t="str">
        <f>IF(Ujian!U158="","",IF(LEFT(Ujian!U158,1)=SEKOR!U$2,1,0))</f>
        <v/>
      </c>
      <c r="V151" s="125" t="str">
        <f>IF(Ujian!V158="","",IF(LEFT(Ujian!V158,1)=SEKOR!V$2,1,0))</f>
        <v/>
      </c>
      <c r="W151" s="125" t="str">
        <f>IF(Ujian!W158="","",IF(LEFT(Ujian!W158,1)=SEKOR!W$2,1,0))</f>
        <v/>
      </c>
      <c r="X151" s="125" t="str">
        <f>IF(Ujian!X158="","",IF(LEFT(Ujian!X158,1)=SEKOR!X$2,1,0))</f>
        <v/>
      </c>
      <c r="Y151" s="125" t="str">
        <f>IF(Ujian!Y158="","",IF(LEFT(Ujian!Y158,1)=SEKOR!Y$2,1,0))</f>
        <v/>
      </c>
      <c r="Z151" s="125" t="str">
        <f>IF(Ujian!Z158="","",IF(LEFT(Ujian!Z158,1)=SEKOR!Z$2,1,0))</f>
        <v/>
      </c>
      <c r="AA151" s="125" t="str">
        <f>IF(Ujian!AA158="","",IF(LEFT(Ujian!AA158,1)=SEKOR!AA$2,1,0))</f>
        <v/>
      </c>
      <c r="AB151" s="125" t="str">
        <f>IF(Ujian!AB158="","",IF(LEFT(Ujian!AB158,1)=SEKOR!AB$2,1,0))</f>
        <v/>
      </c>
      <c r="AC151" s="125" t="str">
        <f>IF(Ujian!AC158="","",IF(LEFT(Ujian!AC158,1)=SEKOR!AC$2,1,0))</f>
        <v/>
      </c>
      <c r="AD151" s="125" t="str">
        <f>IF(Ujian!AD158="","",IF(LEFT(Ujian!AD158,1)=SEKOR!AD$2,1,0))</f>
        <v/>
      </c>
      <c r="AE151" s="125" t="str">
        <f>IF(Ujian!AE158="","",IF(LEFT(Ujian!AE158,1)=SEKOR!AE$2,1,0))</f>
        <v/>
      </c>
      <c r="AF151" s="125" t="str">
        <f>IF(Ujian!AF158="","",IF(LEFT(Ujian!AF158,1)=SEKOR!AF$2,1,0))</f>
        <v/>
      </c>
      <c r="AG151" s="125" t="str">
        <f>IF(Ujian!AG158="","",IF(LEFT(Ujian!AG158,1)=SEKOR!AG$2,1,0))</f>
        <v/>
      </c>
      <c r="AH151" s="125" t="str">
        <f>IF(Ujian!AH158="","",IF(LEFT(Ujian!AH158,1)=SEKOR!AH$2,1,0))</f>
        <v/>
      </c>
      <c r="AI151" s="125" t="str">
        <f>IF(Ujian!AI158="","",IF(LEFT(Ujian!AI158,1)=SEKOR!AI$2,1,0))</f>
        <v/>
      </c>
      <c r="AJ151" s="125" t="str">
        <f>IF(Ujian!AJ158="","",IF(LEFT(Ujian!AJ158,1)=SEKOR!AJ$2,1,0))</f>
        <v/>
      </c>
      <c r="AK151" s="125" t="str">
        <f>IF(Ujian!AK158="","",IF(LEFT(Ujian!AK158,1)=SEKOR!AK$2,1,0))</f>
        <v/>
      </c>
      <c r="AL151" s="125" t="str">
        <f>IF(Ujian!AL158="","",IF(LEFT(Ujian!AL158,1)=SEKOR!AL$2,1,0))</f>
        <v/>
      </c>
      <c r="AM151" s="125" t="str">
        <f>IF(Ujian!AM158="","",IF(LEFT(Ujian!AM158,1)=SEKOR!AM$2,1,0))</f>
        <v/>
      </c>
      <c r="AN151" s="125" t="str">
        <f>IF(Ujian!AN158="","",IF(LEFT(Ujian!AN158,1)=SEKOR!AN$2,1,0))</f>
        <v/>
      </c>
      <c r="AO151" s="125" t="str">
        <f>IF(Ujian!AO158="","",IF(LEFT(Ujian!AO158,1)=SEKOR!AO$2,1,0))</f>
        <v/>
      </c>
      <c r="AP151" s="125" t="str">
        <f>IF(Ujian!AP158="","",IF(LEFT(Ujian!AP158,1)=SEKOR!AP$2,1,0))</f>
        <v/>
      </c>
      <c r="AQ151" s="125" t="str">
        <f>IF(Ujian!AQ158="","",IF(LEFT(Ujian!AQ158,1)=SEKOR!AQ$2,1,0))</f>
        <v/>
      </c>
      <c r="AR151" s="125" t="str">
        <f>IF(Ujian!AR158="","",IF(LEFT(Ujian!AR158,1)=SEKOR!AR$2,1,0))</f>
        <v/>
      </c>
      <c r="AS151" s="125" t="str">
        <f>IF(Ujian!AS158="","",IF(LEFT(Ujian!AS158,1)=SEKOR!AS$2,1,0))</f>
        <v/>
      </c>
      <c r="AT151" s="125" t="str">
        <f>IF(Ujian!AT158="","",IF(LEFT(Ujian!AT158,1)=SEKOR!AT$2,1,0))</f>
        <v/>
      </c>
      <c r="AU151" s="125" t="str">
        <f>IF(Ujian!AU158="","",IF(LEFT(Ujian!AU158,1)=SEKOR!AU$2,1,0))</f>
        <v/>
      </c>
      <c r="AV151" s="125" t="str">
        <f>IF(Ujian!AV158="","",IF(LEFT(Ujian!AV158,1)=SEKOR!AV$2,1,0))</f>
        <v/>
      </c>
      <c r="AW151" s="125" t="str">
        <f>IF(Ujian!AW158="","",IF(LEFT(Ujian!AW158,1)=SEKOR!AW$2,1,0))</f>
        <v/>
      </c>
      <c r="AX151" s="125" t="str">
        <f>IF(Ujian!AX158="","",IF(LEFT(Ujian!AX158,1)=SEKOR!AX$2,1,0))</f>
        <v/>
      </c>
      <c r="AY151" s="125" t="str">
        <f>IF(Ujian!AY158="","",IF(LEFT(Ujian!AY158,1)=SEKOR!AY$2,1,0))</f>
        <v/>
      </c>
      <c r="AZ151" s="125" t="str">
        <f>IF(Ujian!AZ158="","",IF(LEFT(Ujian!AZ158,1)=SEKOR!AZ$2,1,0))</f>
        <v/>
      </c>
      <c r="BA151" s="125" t="str">
        <f>IF(Ujian!BA158="","",IF(LEFT(Ujian!BA158,1)=SEKOR!BA$2,1,0))</f>
        <v/>
      </c>
      <c r="BB151" s="125" t="str">
        <f>IF(Ujian!BB158="","",IF(LEFT(Ujian!BB158,1)=SEKOR!BB$2,1,0))</f>
        <v/>
      </c>
      <c r="BC151" s="125" t="str">
        <f>IF(Ujian!BC158="","",IF(LEFT(Ujian!BC158,1)=SEKOR!BC$2,1,0))</f>
        <v/>
      </c>
      <c r="BD151" s="125" t="str">
        <f>IF(Ujian!BD158="","",IF(LEFT(Ujian!BD158,1)=SEKOR!BD$2,1,0))</f>
        <v/>
      </c>
      <c r="BE151" s="125" t="str">
        <f>IF(Ujian!BE158="","",IF(LEFT(Ujian!BE158,1)=SEKOR!BE$2,1,0))</f>
        <v/>
      </c>
      <c r="BF151" s="125" t="str">
        <f>IF(Ujian!BF158="","",IF(LEFT(Ujian!BF158,1)=SEKOR!BF$2,1,0))</f>
        <v/>
      </c>
      <c r="BG151" s="125" t="str">
        <f>IF(Ujian!BG158="","",IF(LEFT(Ujian!BG158,1)=SEKOR!BG$2,1,0))</f>
        <v/>
      </c>
      <c r="BH151" s="125" t="str">
        <f>IF(Ujian!BH158="","",IF(LEFT(Ujian!BH158,1)=SEKOR!BH$2,1,0))</f>
        <v/>
      </c>
      <c r="BI151" s="125" t="str">
        <f>IF(Ujian!BI158="","",IF(LEFT(Ujian!BI158,1)=SEKOR!BI$2,1,0))</f>
        <v/>
      </c>
      <c r="BJ151" s="125" t="str">
        <f>IF(Ujian!BJ158="","",IF(LEFT(Ujian!BJ158,1)=SEKOR!BJ$2,1,0))</f>
        <v/>
      </c>
      <c r="BK151" s="125" t="str">
        <f>IF(Ujian!BK158="","",IF(LEFT(Ujian!BK158,1)=SEKOR!BK$2,1,0))</f>
        <v/>
      </c>
      <c r="BL151" s="18">
        <f t="shared" si="4"/>
        <v>0</v>
      </c>
      <c r="BM151" s="18">
        <f>COUNTIF($D151:$BK151,"")+DATA!$F$14-DATA!$F$12</f>
        <v>60</v>
      </c>
      <c r="BN151" s="17">
        <f>IF(COUNTIF($D151:$BK151,1)&gt;DATA!$F$14,DATA!$F$14,COUNTIF($D151:$BK151,1))</f>
        <v>0</v>
      </c>
      <c r="BO151" s="17">
        <f>IF((BN151+COUNTIF($D151:$BK151,0))&lt;=DATA!$F$14,COUNTIF($D151:$BK151,0),DATA!$F$14-SEKOR!BN151)</f>
        <v>0</v>
      </c>
      <c r="BP151" s="4" t="str">
        <f>IF(BL151=0,"",BN151/DATA!$F$14*100)</f>
        <v/>
      </c>
      <c r="BQ151" s="121" t="str">
        <f t="shared" si="5"/>
        <v/>
      </c>
      <c r="BR151" s="2" t="str">
        <f>IF(Praktik!$E151=0,"",Praktik!$E151)</f>
        <v/>
      </c>
      <c r="BS151" s="2" t="str">
        <f>IF(BR151="","",(BP151*DATAINFO!$O$4)+(SEKOR!BR151*DATAINFO!$O$5)/(DATAINFO!$O$4+DATAINFO!$O$5))</f>
        <v/>
      </c>
      <c r="BT151" s="2" t="str">
        <f>IF(BL151=0,"",IF(DATA!$F$18="TIDAK",ROUNDUP((IF!$L$8*SEKOR!$BP151)+IF!$L$9,0),IF($BR151="","",ROUNDUP((IF!$L$20*$BS151)+IF!$L$21,0))))</f>
        <v/>
      </c>
      <c r="BU151" s="47" t="str">
        <f>IF(BP151="","",IF(SEKOR!BP151&gt;=DATA!$J$12,1,0))</f>
        <v/>
      </c>
      <c r="BV151" s="47" t="str">
        <f>IF(BQ151="","",IF(SEKOR!BQ151&gt;=DATA!$J$12,1,0))</f>
        <v/>
      </c>
      <c r="BW151" s="47" t="str">
        <f>IF(BR151="","",IF(SEKOR!BR151&gt;=DATA!$J$12,1,0))</f>
        <v/>
      </c>
      <c r="BX151" s="47" t="str">
        <f>IF(BT151="","",IF(DATA!$J$14="",IF(SEKOR!BT151&gt;=DATA!$J$12,1,0),IF(SEKOR!BT151&gt;=DATA!$J$14,1,0)))</f>
        <v/>
      </c>
    </row>
    <row r="152" spans="1:76" x14ac:dyDescent="0.25">
      <c r="A152" s="20" t="s">
        <v>179</v>
      </c>
      <c r="B152" s="21" t="str">
        <f>IF(Ujian!B159="","",Ujian!B159)</f>
        <v/>
      </c>
      <c r="C152" s="57" t="str">
        <f>IF(Ujian!C159="","",Ujian!C159)</f>
        <v/>
      </c>
      <c r="D152" s="125" t="str">
        <f>IF(Ujian!D159="","",IF(LEFT(Ujian!D159,1)=SEKOR!D$2,1,0))</f>
        <v/>
      </c>
      <c r="E152" s="125" t="str">
        <f>IF(Ujian!E159="","",IF(LEFT(Ujian!E159,1)=SEKOR!E$2,1,0))</f>
        <v/>
      </c>
      <c r="F152" s="125" t="str">
        <f>IF(Ujian!F159="","",IF(LEFT(Ujian!F159,1)=SEKOR!F$2,1,0))</f>
        <v/>
      </c>
      <c r="G152" s="125" t="str">
        <f>IF(Ujian!G159="","",IF(LEFT(Ujian!G159,1)=SEKOR!G$2,1,0))</f>
        <v/>
      </c>
      <c r="H152" s="125" t="str">
        <f>IF(Ujian!H159="","",IF(LEFT(Ujian!H159,1)=SEKOR!H$2,1,0))</f>
        <v/>
      </c>
      <c r="I152" s="125" t="str">
        <f>IF(Ujian!I159="","",IF(LEFT(Ujian!I159,1)=SEKOR!I$2,1,0))</f>
        <v/>
      </c>
      <c r="J152" s="125" t="str">
        <f>IF(Ujian!J159="","",IF(LEFT(Ujian!J159,1)=SEKOR!J$2,1,0))</f>
        <v/>
      </c>
      <c r="K152" s="125" t="str">
        <f>IF(Ujian!K159="","",IF(LEFT(Ujian!K159,1)=SEKOR!K$2,1,0))</f>
        <v/>
      </c>
      <c r="L152" s="125" t="str">
        <f>IF(Ujian!L159="","",IF(LEFT(Ujian!L159,1)=SEKOR!L$2,1,0))</f>
        <v/>
      </c>
      <c r="M152" s="125" t="str">
        <f>IF(Ujian!M159="","",IF(LEFT(Ujian!M159,1)=SEKOR!M$2,1,0))</f>
        <v/>
      </c>
      <c r="N152" s="125" t="str">
        <f>IF(Ujian!N159="","",IF(LEFT(Ujian!N159,1)=SEKOR!N$2,1,0))</f>
        <v/>
      </c>
      <c r="O152" s="125" t="str">
        <f>IF(Ujian!O159="","",IF(LEFT(Ujian!O159,1)=SEKOR!O$2,1,0))</f>
        <v/>
      </c>
      <c r="P152" s="125" t="str">
        <f>IF(Ujian!P159="","",IF(LEFT(Ujian!P159,1)=SEKOR!P$2,1,0))</f>
        <v/>
      </c>
      <c r="Q152" s="125" t="str">
        <f>IF(Ujian!Q159="","",IF(LEFT(Ujian!Q159,1)=SEKOR!Q$2,1,0))</f>
        <v/>
      </c>
      <c r="R152" s="125" t="str">
        <f>IF(Ujian!R159="","",IF(LEFT(Ujian!R159,1)=SEKOR!R$2,1,0))</f>
        <v/>
      </c>
      <c r="S152" s="125" t="str">
        <f>IF(Ujian!S159="","",IF(LEFT(Ujian!S159,1)=SEKOR!S$2,1,0))</f>
        <v/>
      </c>
      <c r="T152" s="125" t="str">
        <f>IF(Ujian!T159="","",IF(LEFT(Ujian!T159,1)=SEKOR!T$2,1,0))</f>
        <v/>
      </c>
      <c r="U152" s="125" t="str">
        <f>IF(Ujian!U159="","",IF(LEFT(Ujian!U159,1)=SEKOR!U$2,1,0))</f>
        <v/>
      </c>
      <c r="V152" s="125" t="str">
        <f>IF(Ujian!V159="","",IF(LEFT(Ujian!V159,1)=SEKOR!V$2,1,0))</f>
        <v/>
      </c>
      <c r="W152" s="125" t="str">
        <f>IF(Ujian!W159="","",IF(LEFT(Ujian!W159,1)=SEKOR!W$2,1,0))</f>
        <v/>
      </c>
      <c r="X152" s="125" t="str">
        <f>IF(Ujian!X159="","",IF(LEFT(Ujian!X159,1)=SEKOR!X$2,1,0))</f>
        <v/>
      </c>
      <c r="Y152" s="125" t="str">
        <f>IF(Ujian!Y159="","",IF(LEFT(Ujian!Y159,1)=SEKOR!Y$2,1,0))</f>
        <v/>
      </c>
      <c r="Z152" s="125" t="str">
        <f>IF(Ujian!Z159="","",IF(LEFT(Ujian!Z159,1)=SEKOR!Z$2,1,0))</f>
        <v/>
      </c>
      <c r="AA152" s="125" t="str">
        <f>IF(Ujian!AA159="","",IF(LEFT(Ujian!AA159,1)=SEKOR!AA$2,1,0))</f>
        <v/>
      </c>
      <c r="AB152" s="125" t="str">
        <f>IF(Ujian!AB159="","",IF(LEFT(Ujian!AB159,1)=SEKOR!AB$2,1,0))</f>
        <v/>
      </c>
      <c r="AC152" s="125" t="str">
        <f>IF(Ujian!AC159="","",IF(LEFT(Ujian!AC159,1)=SEKOR!AC$2,1,0))</f>
        <v/>
      </c>
      <c r="AD152" s="125" t="str">
        <f>IF(Ujian!AD159="","",IF(LEFT(Ujian!AD159,1)=SEKOR!AD$2,1,0))</f>
        <v/>
      </c>
      <c r="AE152" s="125" t="str">
        <f>IF(Ujian!AE159="","",IF(LEFT(Ujian!AE159,1)=SEKOR!AE$2,1,0))</f>
        <v/>
      </c>
      <c r="AF152" s="125" t="str">
        <f>IF(Ujian!AF159="","",IF(LEFT(Ujian!AF159,1)=SEKOR!AF$2,1,0))</f>
        <v/>
      </c>
      <c r="AG152" s="125" t="str">
        <f>IF(Ujian!AG159="","",IF(LEFT(Ujian!AG159,1)=SEKOR!AG$2,1,0))</f>
        <v/>
      </c>
      <c r="AH152" s="125" t="str">
        <f>IF(Ujian!AH159="","",IF(LEFT(Ujian!AH159,1)=SEKOR!AH$2,1,0))</f>
        <v/>
      </c>
      <c r="AI152" s="125" t="str">
        <f>IF(Ujian!AI159="","",IF(LEFT(Ujian!AI159,1)=SEKOR!AI$2,1,0))</f>
        <v/>
      </c>
      <c r="AJ152" s="125" t="str">
        <f>IF(Ujian!AJ159="","",IF(LEFT(Ujian!AJ159,1)=SEKOR!AJ$2,1,0))</f>
        <v/>
      </c>
      <c r="AK152" s="125" t="str">
        <f>IF(Ujian!AK159="","",IF(LEFT(Ujian!AK159,1)=SEKOR!AK$2,1,0))</f>
        <v/>
      </c>
      <c r="AL152" s="125" t="str">
        <f>IF(Ujian!AL159="","",IF(LEFT(Ujian!AL159,1)=SEKOR!AL$2,1,0))</f>
        <v/>
      </c>
      <c r="AM152" s="125" t="str">
        <f>IF(Ujian!AM159="","",IF(LEFT(Ujian!AM159,1)=SEKOR!AM$2,1,0))</f>
        <v/>
      </c>
      <c r="AN152" s="125" t="str">
        <f>IF(Ujian!AN159="","",IF(LEFT(Ujian!AN159,1)=SEKOR!AN$2,1,0))</f>
        <v/>
      </c>
      <c r="AO152" s="125" t="str">
        <f>IF(Ujian!AO159="","",IF(LEFT(Ujian!AO159,1)=SEKOR!AO$2,1,0))</f>
        <v/>
      </c>
      <c r="AP152" s="125" t="str">
        <f>IF(Ujian!AP159="","",IF(LEFT(Ujian!AP159,1)=SEKOR!AP$2,1,0))</f>
        <v/>
      </c>
      <c r="AQ152" s="125" t="str">
        <f>IF(Ujian!AQ159="","",IF(LEFT(Ujian!AQ159,1)=SEKOR!AQ$2,1,0))</f>
        <v/>
      </c>
      <c r="AR152" s="125" t="str">
        <f>IF(Ujian!AR159="","",IF(LEFT(Ujian!AR159,1)=SEKOR!AR$2,1,0))</f>
        <v/>
      </c>
      <c r="AS152" s="125" t="str">
        <f>IF(Ujian!AS159="","",IF(LEFT(Ujian!AS159,1)=SEKOR!AS$2,1,0))</f>
        <v/>
      </c>
      <c r="AT152" s="125" t="str">
        <f>IF(Ujian!AT159="","",IF(LEFT(Ujian!AT159,1)=SEKOR!AT$2,1,0))</f>
        <v/>
      </c>
      <c r="AU152" s="125" t="str">
        <f>IF(Ujian!AU159="","",IF(LEFT(Ujian!AU159,1)=SEKOR!AU$2,1,0))</f>
        <v/>
      </c>
      <c r="AV152" s="125" t="str">
        <f>IF(Ujian!AV159="","",IF(LEFT(Ujian!AV159,1)=SEKOR!AV$2,1,0))</f>
        <v/>
      </c>
      <c r="AW152" s="125" t="str">
        <f>IF(Ujian!AW159="","",IF(LEFT(Ujian!AW159,1)=SEKOR!AW$2,1,0))</f>
        <v/>
      </c>
      <c r="AX152" s="125" t="str">
        <f>IF(Ujian!AX159="","",IF(LEFT(Ujian!AX159,1)=SEKOR!AX$2,1,0))</f>
        <v/>
      </c>
      <c r="AY152" s="125" t="str">
        <f>IF(Ujian!AY159="","",IF(LEFT(Ujian!AY159,1)=SEKOR!AY$2,1,0))</f>
        <v/>
      </c>
      <c r="AZ152" s="125" t="str">
        <f>IF(Ujian!AZ159="","",IF(LEFT(Ujian!AZ159,1)=SEKOR!AZ$2,1,0))</f>
        <v/>
      </c>
      <c r="BA152" s="125" t="str">
        <f>IF(Ujian!BA159="","",IF(LEFT(Ujian!BA159,1)=SEKOR!BA$2,1,0))</f>
        <v/>
      </c>
      <c r="BB152" s="125" t="str">
        <f>IF(Ujian!BB159="","",IF(LEFT(Ujian!BB159,1)=SEKOR!BB$2,1,0))</f>
        <v/>
      </c>
      <c r="BC152" s="125" t="str">
        <f>IF(Ujian!BC159="","",IF(LEFT(Ujian!BC159,1)=SEKOR!BC$2,1,0))</f>
        <v/>
      </c>
      <c r="BD152" s="125" t="str">
        <f>IF(Ujian!BD159="","",IF(LEFT(Ujian!BD159,1)=SEKOR!BD$2,1,0))</f>
        <v/>
      </c>
      <c r="BE152" s="125" t="str">
        <f>IF(Ujian!BE159="","",IF(LEFT(Ujian!BE159,1)=SEKOR!BE$2,1,0))</f>
        <v/>
      </c>
      <c r="BF152" s="125" t="str">
        <f>IF(Ujian!BF159="","",IF(LEFT(Ujian!BF159,1)=SEKOR!BF$2,1,0))</f>
        <v/>
      </c>
      <c r="BG152" s="125" t="str">
        <f>IF(Ujian!BG159="","",IF(LEFT(Ujian!BG159,1)=SEKOR!BG$2,1,0))</f>
        <v/>
      </c>
      <c r="BH152" s="125" t="str">
        <f>IF(Ujian!BH159="","",IF(LEFT(Ujian!BH159,1)=SEKOR!BH$2,1,0))</f>
        <v/>
      </c>
      <c r="BI152" s="125" t="str">
        <f>IF(Ujian!BI159="","",IF(LEFT(Ujian!BI159,1)=SEKOR!BI$2,1,0))</f>
        <v/>
      </c>
      <c r="BJ152" s="125" t="str">
        <f>IF(Ujian!BJ159="","",IF(LEFT(Ujian!BJ159,1)=SEKOR!BJ$2,1,0))</f>
        <v/>
      </c>
      <c r="BK152" s="125" t="str">
        <f>IF(Ujian!BK159="","",IF(LEFT(Ujian!BK159,1)=SEKOR!BK$2,1,0))</f>
        <v/>
      </c>
      <c r="BL152" s="18">
        <f t="shared" si="4"/>
        <v>0</v>
      </c>
      <c r="BM152" s="18">
        <f>COUNTIF($D152:$BK152,"")+DATA!$F$14-DATA!$F$12</f>
        <v>60</v>
      </c>
      <c r="BN152" s="17">
        <f>IF(COUNTIF($D152:$BK152,1)&gt;DATA!$F$14,DATA!$F$14,COUNTIF($D152:$BK152,1))</f>
        <v>0</v>
      </c>
      <c r="BO152" s="17">
        <f>IF((BN152+COUNTIF($D152:$BK152,0))&lt;=DATA!$F$14,COUNTIF($D152:$BK152,0),DATA!$F$14-SEKOR!BN152)</f>
        <v>0</v>
      </c>
      <c r="BP152" s="4" t="str">
        <f>IF(BL152=0,"",BN152/DATA!$F$14*100)</f>
        <v/>
      </c>
      <c r="BQ152" s="121" t="str">
        <f t="shared" si="5"/>
        <v/>
      </c>
      <c r="BR152" s="2" t="str">
        <f>IF(Praktik!$E152=0,"",Praktik!$E152)</f>
        <v/>
      </c>
      <c r="BS152" s="2" t="str">
        <f>IF(BR152="","",(BP152*DATAINFO!$O$4)+(SEKOR!BR152*DATAINFO!$O$5)/(DATAINFO!$O$4+DATAINFO!$O$5))</f>
        <v/>
      </c>
      <c r="BT152" s="2" t="str">
        <f>IF(BL152=0,"",IF(DATA!$F$18="TIDAK",ROUNDUP((IF!$L$8*SEKOR!$BP152)+IF!$L$9,0),IF($BR152="","",ROUNDUP((IF!$L$20*$BS152)+IF!$L$21,0))))</f>
        <v/>
      </c>
      <c r="BU152" s="47" t="str">
        <f>IF(BP152="","",IF(SEKOR!BP152&gt;=DATA!$J$12,1,0))</f>
        <v/>
      </c>
      <c r="BV152" s="47" t="str">
        <f>IF(BQ152="","",IF(SEKOR!BQ152&gt;=DATA!$J$12,1,0))</f>
        <v/>
      </c>
      <c r="BW152" s="47" t="str">
        <f>IF(BR152="","",IF(SEKOR!BR152&gt;=DATA!$J$12,1,0))</f>
        <v/>
      </c>
      <c r="BX152" s="47" t="str">
        <f>IF(BT152="","",IF(DATA!$J$14="",IF(SEKOR!BT152&gt;=DATA!$J$12,1,0),IF(SEKOR!BT152&gt;=DATA!$J$14,1,0)))</f>
        <v/>
      </c>
    </row>
    <row r="153" spans="1:76" x14ac:dyDescent="0.25">
      <c r="A153" s="20" t="s">
        <v>180</v>
      </c>
      <c r="B153" s="21" t="str">
        <f>IF(Ujian!B160="","",Ujian!B160)</f>
        <v/>
      </c>
      <c r="C153" s="57" t="str">
        <f>IF(Ujian!C160="","",Ujian!C160)</f>
        <v/>
      </c>
      <c r="D153" s="125" t="str">
        <f>IF(Ujian!D160="","",IF(LEFT(Ujian!D160,1)=SEKOR!D$2,1,0))</f>
        <v/>
      </c>
      <c r="E153" s="125" t="str">
        <f>IF(Ujian!E160="","",IF(LEFT(Ujian!E160,1)=SEKOR!E$2,1,0))</f>
        <v/>
      </c>
      <c r="F153" s="125" t="str">
        <f>IF(Ujian!F160="","",IF(LEFT(Ujian!F160,1)=SEKOR!F$2,1,0))</f>
        <v/>
      </c>
      <c r="G153" s="125" t="str">
        <f>IF(Ujian!G160="","",IF(LEFT(Ujian!G160,1)=SEKOR!G$2,1,0))</f>
        <v/>
      </c>
      <c r="H153" s="125" t="str">
        <f>IF(Ujian!H160="","",IF(LEFT(Ujian!H160,1)=SEKOR!H$2,1,0))</f>
        <v/>
      </c>
      <c r="I153" s="125" t="str">
        <f>IF(Ujian!I160="","",IF(LEFT(Ujian!I160,1)=SEKOR!I$2,1,0))</f>
        <v/>
      </c>
      <c r="J153" s="125" t="str">
        <f>IF(Ujian!J160="","",IF(LEFT(Ujian!J160,1)=SEKOR!J$2,1,0))</f>
        <v/>
      </c>
      <c r="K153" s="125" t="str">
        <f>IF(Ujian!K160="","",IF(LEFT(Ujian!K160,1)=SEKOR!K$2,1,0))</f>
        <v/>
      </c>
      <c r="L153" s="125" t="str">
        <f>IF(Ujian!L160="","",IF(LEFT(Ujian!L160,1)=SEKOR!L$2,1,0))</f>
        <v/>
      </c>
      <c r="M153" s="125" t="str">
        <f>IF(Ujian!M160="","",IF(LEFT(Ujian!M160,1)=SEKOR!M$2,1,0))</f>
        <v/>
      </c>
      <c r="N153" s="125" t="str">
        <f>IF(Ujian!N160="","",IF(LEFT(Ujian!N160,1)=SEKOR!N$2,1,0))</f>
        <v/>
      </c>
      <c r="O153" s="125" t="str">
        <f>IF(Ujian!O160="","",IF(LEFT(Ujian!O160,1)=SEKOR!O$2,1,0))</f>
        <v/>
      </c>
      <c r="P153" s="125" t="str">
        <f>IF(Ujian!P160="","",IF(LEFT(Ujian!P160,1)=SEKOR!P$2,1,0))</f>
        <v/>
      </c>
      <c r="Q153" s="125" t="str">
        <f>IF(Ujian!Q160="","",IF(LEFT(Ujian!Q160,1)=SEKOR!Q$2,1,0))</f>
        <v/>
      </c>
      <c r="R153" s="125" t="str">
        <f>IF(Ujian!R160="","",IF(LEFT(Ujian!R160,1)=SEKOR!R$2,1,0))</f>
        <v/>
      </c>
      <c r="S153" s="125" t="str">
        <f>IF(Ujian!S160="","",IF(LEFT(Ujian!S160,1)=SEKOR!S$2,1,0))</f>
        <v/>
      </c>
      <c r="T153" s="125" t="str">
        <f>IF(Ujian!T160="","",IF(LEFT(Ujian!T160,1)=SEKOR!T$2,1,0))</f>
        <v/>
      </c>
      <c r="U153" s="125" t="str">
        <f>IF(Ujian!U160="","",IF(LEFT(Ujian!U160,1)=SEKOR!U$2,1,0))</f>
        <v/>
      </c>
      <c r="V153" s="125" t="str">
        <f>IF(Ujian!V160="","",IF(LEFT(Ujian!V160,1)=SEKOR!V$2,1,0))</f>
        <v/>
      </c>
      <c r="W153" s="125" t="str">
        <f>IF(Ujian!W160="","",IF(LEFT(Ujian!W160,1)=SEKOR!W$2,1,0))</f>
        <v/>
      </c>
      <c r="X153" s="125" t="str">
        <f>IF(Ujian!X160="","",IF(LEFT(Ujian!X160,1)=SEKOR!X$2,1,0))</f>
        <v/>
      </c>
      <c r="Y153" s="125" t="str">
        <f>IF(Ujian!Y160="","",IF(LEFT(Ujian!Y160,1)=SEKOR!Y$2,1,0))</f>
        <v/>
      </c>
      <c r="Z153" s="125" t="str">
        <f>IF(Ujian!Z160="","",IF(LEFT(Ujian!Z160,1)=SEKOR!Z$2,1,0))</f>
        <v/>
      </c>
      <c r="AA153" s="125" t="str">
        <f>IF(Ujian!AA160="","",IF(LEFT(Ujian!AA160,1)=SEKOR!AA$2,1,0))</f>
        <v/>
      </c>
      <c r="AB153" s="125" t="str">
        <f>IF(Ujian!AB160="","",IF(LEFT(Ujian!AB160,1)=SEKOR!AB$2,1,0))</f>
        <v/>
      </c>
      <c r="AC153" s="125" t="str">
        <f>IF(Ujian!AC160="","",IF(LEFT(Ujian!AC160,1)=SEKOR!AC$2,1,0))</f>
        <v/>
      </c>
      <c r="AD153" s="125" t="str">
        <f>IF(Ujian!AD160="","",IF(LEFT(Ujian!AD160,1)=SEKOR!AD$2,1,0))</f>
        <v/>
      </c>
      <c r="AE153" s="125" t="str">
        <f>IF(Ujian!AE160="","",IF(LEFT(Ujian!AE160,1)=SEKOR!AE$2,1,0))</f>
        <v/>
      </c>
      <c r="AF153" s="125" t="str">
        <f>IF(Ujian!AF160="","",IF(LEFT(Ujian!AF160,1)=SEKOR!AF$2,1,0))</f>
        <v/>
      </c>
      <c r="AG153" s="125" t="str">
        <f>IF(Ujian!AG160="","",IF(LEFT(Ujian!AG160,1)=SEKOR!AG$2,1,0))</f>
        <v/>
      </c>
      <c r="AH153" s="125" t="str">
        <f>IF(Ujian!AH160="","",IF(LEFT(Ujian!AH160,1)=SEKOR!AH$2,1,0))</f>
        <v/>
      </c>
      <c r="AI153" s="125" t="str">
        <f>IF(Ujian!AI160="","",IF(LEFT(Ujian!AI160,1)=SEKOR!AI$2,1,0))</f>
        <v/>
      </c>
      <c r="AJ153" s="125" t="str">
        <f>IF(Ujian!AJ160="","",IF(LEFT(Ujian!AJ160,1)=SEKOR!AJ$2,1,0))</f>
        <v/>
      </c>
      <c r="AK153" s="125" t="str">
        <f>IF(Ujian!AK160="","",IF(LEFT(Ujian!AK160,1)=SEKOR!AK$2,1,0))</f>
        <v/>
      </c>
      <c r="AL153" s="125" t="str">
        <f>IF(Ujian!AL160="","",IF(LEFT(Ujian!AL160,1)=SEKOR!AL$2,1,0))</f>
        <v/>
      </c>
      <c r="AM153" s="125" t="str">
        <f>IF(Ujian!AM160="","",IF(LEFT(Ujian!AM160,1)=SEKOR!AM$2,1,0))</f>
        <v/>
      </c>
      <c r="AN153" s="125" t="str">
        <f>IF(Ujian!AN160="","",IF(LEFT(Ujian!AN160,1)=SEKOR!AN$2,1,0))</f>
        <v/>
      </c>
      <c r="AO153" s="125" t="str">
        <f>IF(Ujian!AO160="","",IF(LEFT(Ujian!AO160,1)=SEKOR!AO$2,1,0))</f>
        <v/>
      </c>
      <c r="AP153" s="125" t="str">
        <f>IF(Ujian!AP160="","",IF(LEFT(Ujian!AP160,1)=SEKOR!AP$2,1,0))</f>
        <v/>
      </c>
      <c r="AQ153" s="125" t="str">
        <f>IF(Ujian!AQ160="","",IF(LEFT(Ujian!AQ160,1)=SEKOR!AQ$2,1,0))</f>
        <v/>
      </c>
      <c r="AR153" s="125" t="str">
        <f>IF(Ujian!AR160="","",IF(LEFT(Ujian!AR160,1)=SEKOR!AR$2,1,0))</f>
        <v/>
      </c>
      <c r="AS153" s="125" t="str">
        <f>IF(Ujian!AS160="","",IF(LEFT(Ujian!AS160,1)=SEKOR!AS$2,1,0))</f>
        <v/>
      </c>
      <c r="AT153" s="125" t="str">
        <f>IF(Ujian!AT160="","",IF(LEFT(Ujian!AT160,1)=SEKOR!AT$2,1,0))</f>
        <v/>
      </c>
      <c r="AU153" s="125" t="str">
        <f>IF(Ujian!AU160="","",IF(LEFT(Ujian!AU160,1)=SEKOR!AU$2,1,0))</f>
        <v/>
      </c>
      <c r="AV153" s="125" t="str">
        <f>IF(Ujian!AV160="","",IF(LEFT(Ujian!AV160,1)=SEKOR!AV$2,1,0))</f>
        <v/>
      </c>
      <c r="AW153" s="125" t="str">
        <f>IF(Ujian!AW160="","",IF(LEFT(Ujian!AW160,1)=SEKOR!AW$2,1,0))</f>
        <v/>
      </c>
      <c r="AX153" s="125" t="str">
        <f>IF(Ujian!AX160="","",IF(LEFT(Ujian!AX160,1)=SEKOR!AX$2,1,0))</f>
        <v/>
      </c>
      <c r="AY153" s="125" t="str">
        <f>IF(Ujian!AY160="","",IF(LEFT(Ujian!AY160,1)=SEKOR!AY$2,1,0))</f>
        <v/>
      </c>
      <c r="AZ153" s="125" t="str">
        <f>IF(Ujian!AZ160="","",IF(LEFT(Ujian!AZ160,1)=SEKOR!AZ$2,1,0))</f>
        <v/>
      </c>
      <c r="BA153" s="125" t="str">
        <f>IF(Ujian!BA160="","",IF(LEFT(Ujian!BA160,1)=SEKOR!BA$2,1,0))</f>
        <v/>
      </c>
      <c r="BB153" s="125" t="str">
        <f>IF(Ujian!BB160="","",IF(LEFT(Ujian!BB160,1)=SEKOR!BB$2,1,0))</f>
        <v/>
      </c>
      <c r="BC153" s="125" t="str">
        <f>IF(Ujian!BC160="","",IF(LEFT(Ujian!BC160,1)=SEKOR!BC$2,1,0))</f>
        <v/>
      </c>
      <c r="BD153" s="125" t="str">
        <f>IF(Ujian!BD160="","",IF(LEFT(Ujian!BD160,1)=SEKOR!BD$2,1,0))</f>
        <v/>
      </c>
      <c r="BE153" s="125" t="str">
        <f>IF(Ujian!BE160="","",IF(LEFT(Ujian!BE160,1)=SEKOR!BE$2,1,0))</f>
        <v/>
      </c>
      <c r="BF153" s="125" t="str">
        <f>IF(Ujian!BF160="","",IF(LEFT(Ujian!BF160,1)=SEKOR!BF$2,1,0))</f>
        <v/>
      </c>
      <c r="BG153" s="125" t="str">
        <f>IF(Ujian!BG160="","",IF(LEFT(Ujian!BG160,1)=SEKOR!BG$2,1,0))</f>
        <v/>
      </c>
      <c r="BH153" s="125" t="str">
        <f>IF(Ujian!BH160="","",IF(LEFT(Ujian!BH160,1)=SEKOR!BH$2,1,0))</f>
        <v/>
      </c>
      <c r="BI153" s="125" t="str">
        <f>IF(Ujian!BI160="","",IF(LEFT(Ujian!BI160,1)=SEKOR!BI$2,1,0))</f>
        <v/>
      </c>
      <c r="BJ153" s="125" t="str">
        <f>IF(Ujian!BJ160="","",IF(LEFT(Ujian!BJ160,1)=SEKOR!BJ$2,1,0))</f>
        <v/>
      </c>
      <c r="BK153" s="125" t="str">
        <f>IF(Ujian!BK160="","",IF(LEFT(Ujian!BK160,1)=SEKOR!BK$2,1,0))</f>
        <v/>
      </c>
      <c r="BL153" s="18">
        <f t="shared" si="4"/>
        <v>0</v>
      </c>
      <c r="BM153" s="18">
        <f>COUNTIF($D153:$BK153,"")+DATA!$F$14-DATA!$F$12</f>
        <v>60</v>
      </c>
      <c r="BN153" s="17">
        <f>IF(COUNTIF($D153:$BK153,1)&gt;DATA!$F$14,DATA!$F$14,COUNTIF($D153:$BK153,1))</f>
        <v>0</v>
      </c>
      <c r="BO153" s="17">
        <f>IF((BN153+COUNTIF($D153:$BK153,0))&lt;=DATA!$F$14,COUNTIF($D153:$BK153,0),DATA!$F$14-SEKOR!BN153)</f>
        <v>0</v>
      </c>
      <c r="BP153" s="4" t="str">
        <f>IF(BL153=0,"",BN153/DATA!$F$14*100)</f>
        <v/>
      </c>
      <c r="BQ153" s="121" t="str">
        <f t="shared" si="5"/>
        <v/>
      </c>
      <c r="BR153" s="2" t="str">
        <f>IF(Praktik!$E153=0,"",Praktik!$E153)</f>
        <v/>
      </c>
      <c r="BS153" s="2" t="str">
        <f>IF(BR153="","",(BP153*DATAINFO!$O$4)+(SEKOR!BR153*DATAINFO!$O$5)/(DATAINFO!$O$4+DATAINFO!$O$5))</f>
        <v/>
      </c>
      <c r="BT153" s="2" t="str">
        <f>IF(BL153=0,"",IF(DATA!$F$18="TIDAK",ROUNDUP((IF!$L$8*SEKOR!$BP153)+IF!$L$9,0),IF($BR153="","",ROUNDUP((IF!$L$20*$BS153)+IF!$L$21,0))))</f>
        <v/>
      </c>
      <c r="BU153" s="47" t="str">
        <f>IF(BP153="","",IF(SEKOR!BP153&gt;=DATA!$J$12,1,0))</f>
        <v/>
      </c>
      <c r="BV153" s="47" t="str">
        <f>IF(BQ153="","",IF(SEKOR!BQ153&gt;=DATA!$J$12,1,0))</f>
        <v/>
      </c>
      <c r="BW153" s="47" t="str">
        <f>IF(BR153="","",IF(SEKOR!BR153&gt;=DATA!$J$12,1,0))</f>
        <v/>
      </c>
      <c r="BX153" s="47" t="str">
        <f>IF(BT153="","",IF(DATA!$J$14="",IF(SEKOR!BT153&gt;=DATA!$J$12,1,0),IF(SEKOR!BT153&gt;=DATA!$J$14,1,0)))</f>
        <v/>
      </c>
    </row>
    <row r="154" spans="1:76" x14ac:dyDescent="0.25">
      <c r="A154" s="20" t="s">
        <v>181</v>
      </c>
      <c r="B154" s="21" t="str">
        <f>IF(Ujian!B161="","",Ujian!B161)</f>
        <v/>
      </c>
      <c r="C154" s="57" t="str">
        <f>IF(Ujian!C161="","",Ujian!C161)</f>
        <v/>
      </c>
      <c r="D154" s="125" t="str">
        <f>IF(Ujian!D161="","",IF(LEFT(Ujian!D161,1)=SEKOR!D$2,1,0))</f>
        <v/>
      </c>
      <c r="E154" s="125" t="str">
        <f>IF(Ujian!E161="","",IF(LEFT(Ujian!E161,1)=SEKOR!E$2,1,0))</f>
        <v/>
      </c>
      <c r="F154" s="125" t="str">
        <f>IF(Ujian!F161="","",IF(LEFT(Ujian!F161,1)=SEKOR!F$2,1,0))</f>
        <v/>
      </c>
      <c r="G154" s="125" t="str">
        <f>IF(Ujian!G161="","",IF(LEFT(Ujian!G161,1)=SEKOR!G$2,1,0))</f>
        <v/>
      </c>
      <c r="H154" s="125" t="str">
        <f>IF(Ujian!H161="","",IF(LEFT(Ujian!H161,1)=SEKOR!H$2,1,0))</f>
        <v/>
      </c>
      <c r="I154" s="125" t="str">
        <f>IF(Ujian!I161="","",IF(LEFT(Ujian!I161,1)=SEKOR!I$2,1,0))</f>
        <v/>
      </c>
      <c r="J154" s="125" t="str">
        <f>IF(Ujian!J161="","",IF(LEFT(Ujian!J161,1)=SEKOR!J$2,1,0))</f>
        <v/>
      </c>
      <c r="K154" s="125" t="str">
        <f>IF(Ujian!K161="","",IF(LEFT(Ujian!K161,1)=SEKOR!K$2,1,0))</f>
        <v/>
      </c>
      <c r="L154" s="125" t="str">
        <f>IF(Ujian!L161="","",IF(LEFT(Ujian!L161,1)=SEKOR!L$2,1,0))</f>
        <v/>
      </c>
      <c r="M154" s="125" t="str">
        <f>IF(Ujian!M161="","",IF(LEFT(Ujian!M161,1)=SEKOR!M$2,1,0))</f>
        <v/>
      </c>
      <c r="N154" s="125" t="str">
        <f>IF(Ujian!N161="","",IF(LEFT(Ujian!N161,1)=SEKOR!N$2,1,0))</f>
        <v/>
      </c>
      <c r="O154" s="125" t="str">
        <f>IF(Ujian!O161="","",IF(LEFT(Ujian!O161,1)=SEKOR!O$2,1,0))</f>
        <v/>
      </c>
      <c r="P154" s="125" t="str">
        <f>IF(Ujian!P161="","",IF(LEFT(Ujian!P161,1)=SEKOR!P$2,1,0))</f>
        <v/>
      </c>
      <c r="Q154" s="125" t="str">
        <f>IF(Ujian!Q161="","",IF(LEFT(Ujian!Q161,1)=SEKOR!Q$2,1,0))</f>
        <v/>
      </c>
      <c r="R154" s="125" t="str">
        <f>IF(Ujian!R161="","",IF(LEFT(Ujian!R161,1)=SEKOR!R$2,1,0))</f>
        <v/>
      </c>
      <c r="S154" s="125" t="str">
        <f>IF(Ujian!S161="","",IF(LEFT(Ujian!S161,1)=SEKOR!S$2,1,0))</f>
        <v/>
      </c>
      <c r="T154" s="125" t="str">
        <f>IF(Ujian!T161="","",IF(LEFT(Ujian!T161,1)=SEKOR!T$2,1,0))</f>
        <v/>
      </c>
      <c r="U154" s="125" t="str">
        <f>IF(Ujian!U161="","",IF(LEFT(Ujian!U161,1)=SEKOR!U$2,1,0))</f>
        <v/>
      </c>
      <c r="V154" s="125" t="str">
        <f>IF(Ujian!V161="","",IF(LEFT(Ujian!V161,1)=SEKOR!V$2,1,0))</f>
        <v/>
      </c>
      <c r="W154" s="125" t="str">
        <f>IF(Ujian!W161="","",IF(LEFT(Ujian!W161,1)=SEKOR!W$2,1,0))</f>
        <v/>
      </c>
      <c r="X154" s="125" t="str">
        <f>IF(Ujian!X161="","",IF(LEFT(Ujian!X161,1)=SEKOR!X$2,1,0))</f>
        <v/>
      </c>
      <c r="Y154" s="125" t="str">
        <f>IF(Ujian!Y161="","",IF(LEFT(Ujian!Y161,1)=SEKOR!Y$2,1,0))</f>
        <v/>
      </c>
      <c r="Z154" s="125" t="str">
        <f>IF(Ujian!Z161="","",IF(LEFT(Ujian!Z161,1)=SEKOR!Z$2,1,0))</f>
        <v/>
      </c>
      <c r="AA154" s="125" t="str">
        <f>IF(Ujian!AA161="","",IF(LEFT(Ujian!AA161,1)=SEKOR!AA$2,1,0))</f>
        <v/>
      </c>
      <c r="AB154" s="125" t="str">
        <f>IF(Ujian!AB161="","",IF(LEFT(Ujian!AB161,1)=SEKOR!AB$2,1,0))</f>
        <v/>
      </c>
      <c r="AC154" s="125" t="str">
        <f>IF(Ujian!AC161="","",IF(LEFT(Ujian!AC161,1)=SEKOR!AC$2,1,0))</f>
        <v/>
      </c>
      <c r="AD154" s="125" t="str">
        <f>IF(Ujian!AD161="","",IF(LEFT(Ujian!AD161,1)=SEKOR!AD$2,1,0))</f>
        <v/>
      </c>
      <c r="AE154" s="125" t="str">
        <f>IF(Ujian!AE161="","",IF(LEFT(Ujian!AE161,1)=SEKOR!AE$2,1,0))</f>
        <v/>
      </c>
      <c r="AF154" s="125" t="str">
        <f>IF(Ujian!AF161="","",IF(LEFT(Ujian!AF161,1)=SEKOR!AF$2,1,0))</f>
        <v/>
      </c>
      <c r="AG154" s="125" t="str">
        <f>IF(Ujian!AG161="","",IF(LEFT(Ujian!AG161,1)=SEKOR!AG$2,1,0))</f>
        <v/>
      </c>
      <c r="AH154" s="125" t="str">
        <f>IF(Ujian!AH161="","",IF(LEFT(Ujian!AH161,1)=SEKOR!AH$2,1,0))</f>
        <v/>
      </c>
      <c r="AI154" s="125" t="str">
        <f>IF(Ujian!AI161="","",IF(LEFT(Ujian!AI161,1)=SEKOR!AI$2,1,0))</f>
        <v/>
      </c>
      <c r="AJ154" s="125" t="str">
        <f>IF(Ujian!AJ161="","",IF(LEFT(Ujian!AJ161,1)=SEKOR!AJ$2,1,0))</f>
        <v/>
      </c>
      <c r="AK154" s="125" t="str">
        <f>IF(Ujian!AK161="","",IF(LEFT(Ujian!AK161,1)=SEKOR!AK$2,1,0))</f>
        <v/>
      </c>
      <c r="AL154" s="125" t="str">
        <f>IF(Ujian!AL161="","",IF(LEFT(Ujian!AL161,1)=SEKOR!AL$2,1,0))</f>
        <v/>
      </c>
      <c r="AM154" s="125" t="str">
        <f>IF(Ujian!AM161="","",IF(LEFT(Ujian!AM161,1)=SEKOR!AM$2,1,0))</f>
        <v/>
      </c>
      <c r="AN154" s="125" t="str">
        <f>IF(Ujian!AN161="","",IF(LEFT(Ujian!AN161,1)=SEKOR!AN$2,1,0))</f>
        <v/>
      </c>
      <c r="AO154" s="125" t="str">
        <f>IF(Ujian!AO161="","",IF(LEFT(Ujian!AO161,1)=SEKOR!AO$2,1,0))</f>
        <v/>
      </c>
      <c r="AP154" s="125" t="str">
        <f>IF(Ujian!AP161="","",IF(LEFT(Ujian!AP161,1)=SEKOR!AP$2,1,0))</f>
        <v/>
      </c>
      <c r="AQ154" s="125" t="str">
        <f>IF(Ujian!AQ161="","",IF(LEFT(Ujian!AQ161,1)=SEKOR!AQ$2,1,0))</f>
        <v/>
      </c>
      <c r="AR154" s="125" t="str">
        <f>IF(Ujian!AR161="","",IF(LEFT(Ujian!AR161,1)=SEKOR!AR$2,1,0))</f>
        <v/>
      </c>
      <c r="AS154" s="125" t="str">
        <f>IF(Ujian!AS161="","",IF(LEFT(Ujian!AS161,1)=SEKOR!AS$2,1,0))</f>
        <v/>
      </c>
      <c r="AT154" s="125" t="str">
        <f>IF(Ujian!AT161="","",IF(LEFT(Ujian!AT161,1)=SEKOR!AT$2,1,0))</f>
        <v/>
      </c>
      <c r="AU154" s="125" t="str">
        <f>IF(Ujian!AU161="","",IF(LEFT(Ujian!AU161,1)=SEKOR!AU$2,1,0))</f>
        <v/>
      </c>
      <c r="AV154" s="125" t="str">
        <f>IF(Ujian!AV161="","",IF(LEFT(Ujian!AV161,1)=SEKOR!AV$2,1,0))</f>
        <v/>
      </c>
      <c r="AW154" s="125" t="str">
        <f>IF(Ujian!AW161="","",IF(LEFT(Ujian!AW161,1)=SEKOR!AW$2,1,0))</f>
        <v/>
      </c>
      <c r="AX154" s="125" t="str">
        <f>IF(Ujian!AX161="","",IF(LEFT(Ujian!AX161,1)=SEKOR!AX$2,1,0))</f>
        <v/>
      </c>
      <c r="AY154" s="125" t="str">
        <f>IF(Ujian!AY161="","",IF(LEFT(Ujian!AY161,1)=SEKOR!AY$2,1,0))</f>
        <v/>
      </c>
      <c r="AZ154" s="125" t="str">
        <f>IF(Ujian!AZ161="","",IF(LEFT(Ujian!AZ161,1)=SEKOR!AZ$2,1,0))</f>
        <v/>
      </c>
      <c r="BA154" s="125" t="str">
        <f>IF(Ujian!BA161="","",IF(LEFT(Ujian!BA161,1)=SEKOR!BA$2,1,0))</f>
        <v/>
      </c>
      <c r="BB154" s="125" t="str">
        <f>IF(Ujian!BB161="","",IF(LEFT(Ujian!BB161,1)=SEKOR!BB$2,1,0))</f>
        <v/>
      </c>
      <c r="BC154" s="125" t="str">
        <f>IF(Ujian!BC161="","",IF(LEFT(Ujian!BC161,1)=SEKOR!BC$2,1,0))</f>
        <v/>
      </c>
      <c r="BD154" s="125" t="str">
        <f>IF(Ujian!BD161="","",IF(LEFT(Ujian!BD161,1)=SEKOR!BD$2,1,0))</f>
        <v/>
      </c>
      <c r="BE154" s="125" t="str">
        <f>IF(Ujian!BE161="","",IF(LEFT(Ujian!BE161,1)=SEKOR!BE$2,1,0))</f>
        <v/>
      </c>
      <c r="BF154" s="125" t="str">
        <f>IF(Ujian!BF161="","",IF(LEFT(Ujian!BF161,1)=SEKOR!BF$2,1,0))</f>
        <v/>
      </c>
      <c r="BG154" s="125" t="str">
        <f>IF(Ujian!BG161="","",IF(LEFT(Ujian!BG161,1)=SEKOR!BG$2,1,0))</f>
        <v/>
      </c>
      <c r="BH154" s="125" t="str">
        <f>IF(Ujian!BH161="","",IF(LEFT(Ujian!BH161,1)=SEKOR!BH$2,1,0))</f>
        <v/>
      </c>
      <c r="BI154" s="125" t="str">
        <f>IF(Ujian!BI161="","",IF(LEFT(Ujian!BI161,1)=SEKOR!BI$2,1,0))</f>
        <v/>
      </c>
      <c r="BJ154" s="125" t="str">
        <f>IF(Ujian!BJ161="","",IF(LEFT(Ujian!BJ161,1)=SEKOR!BJ$2,1,0))</f>
        <v/>
      </c>
      <c r="BK154" s="125" t="str">
        <f>IF(Ujian!BK161="","",IF(LEFT(Ujian!BK161,1)=SEKOR!BK$2,1,0))</f>
        <v/>
      </c>
      <c r="BL154" s="18">
        <f t="shared" si="4"/>
        <v>0</v>
      </c>
      <c r="BM154" s="18">
        <f>COUNTIF($D154:$BK154,"")+DATA!$F$14-DATA!$F$12</f>
        <v>60</v>
      </c>
      <c r="BN154" s="17">
        <f>IF(COUNTIF($D154:$BK154,1)&gt;DATA!$F$14,DATA!$F$14,COUNTIF($D154:$BK154,1))</f>
        <v>0</v>
      </c>
      <c r="BO154" s="17">
        <f>IF((BN154+COUNTIF($D154:$BK154,0))&lt;=DATA!$F$14,COUNTIF($D154:$BK154,0),DATA!$F$14-SEKOR!BN154)</f>
        <v>0</v>
      </c>
      <c r="BP154" s="4" t="str">
        <f>IF(BL154=0,"",BN154/DATA!$F$14*100)</f>
        <v/>
      </c>
      <c r="BQ154" s="121" t="str">
        <f t="shared" si="5"/>
        <v/>
      </c>
      <c r="BR154" s="2" t="str">
        <f>IF(Praktik!$E154=0,"",Praktik!$E154)</f>
        <v/>
      </c>
      <c r="BS154" s="2" t="str">
        <f>IF(BR154="","",(BP154*DATAINFO!$O$4)+(SEKOR!BR154*DATAINFO!$O$5)/(DATAINFO!$O$4+DATAINFO!$O$5))</f>
        <v/>
      </c>
      <c r="BT154" s="2" t="str">
        <f>IF(BL154=0,"",IF(DATA!$F$18="TIDAK",ROUNDUP((IF!$L$8*SEKOR!$BP154)+IF!$L$9,0),IF($BR154="","",ROUNDUP((IF!$L$20*$BS154)+IF!$L$21,0))))</f>
        <v/>
      </c>
      <c r="BU154" s="47" t="str">
        <f>IF(BP154="","",IF(SEKOR!BP154&gt;=DATA!$J$12,1,0))</f>
        <v/>
      </c>
      <c r="BV154" s="47" t="str">
        <f>IF(BQ154="","",IF(SEKOR!BQ154&gt;=DATA!$J$12,1,0))</f>
        <v/>
      </c>
      <c r="BW154" s="47" t="str">
        <f>IF(BR154="","",IF(SEKOR!BR154&gt;=DATA!$J$12,1,0))</f>
        <v/>
      </c>
      <c r="BX154" s="47" t="str">
        <f>IF(BT154="","",IF(DATA!$J$14="",IF(SEKOR!BT154&gt;=DATA!$J$12,1,0),IF(SEKOR!BT154&gt;=DATA!$J$14,1,0)))</f>
        <v/>
      </c>
    </row>
    <row r="155" spans="1:76" x14ac:dyDescent="0.25">
      <c r="A155" s="20" t="s">
        <v>182</v>
      </c>
      <c r="B155" s="21" t="str">
        <f>IF(Ujian!B162="","",Ujian!B162)</f>
        <v/>
      </c>
      <c r="C155" s="57" t="str">
        <f>IF(Ujian!C162="","",Ujian!C162)</f>
        <v/>
      </c>
      <c r="D155" s="125" t="str">
        <f>IF(Ujian!D162="","",IF(LEFT(Ujian!D162,1)=SEKOR!D$2,1,0))</f>
        <v/>
      </c>
      <c r="E155" s="125" t="str">
        <f>IF(Ujian!E162="","",IF(LEFT(Ujian!E162,1)=SEKOR!E$2,1,0))</f>
        <v/>
      </c>
      <c r="F155" s="125" t="str">
        <f>IF(Ujian!F162="","",IF(LEFT(Ujian!F162,1)=SEKOR!F$2,1,0))</f>
        <v/>
      </c>
      <c r="G155" s="125" t="str">
        <f>IF(Ujian!G162="","",IF(LEFT(Ujian!G162,1)=SEKOR!G$2,1,0))</f>
        <v/>
      </c>
      <c r="H155" s="125" t="str">
        <f>IF(Ujian!H162="","",IF(LEFT(Ujian!H162,1)=SEKOR!H$2,1,0))</f>
        <v/>
      </c>
      <c r="I155" s="125" t="str">
        <f>IF(Ujian!I162="","",IF(LEFT(Ujian!I162,1)=SEKOR!I$2,1,0))</f>
        <v/>
      </c>
      <c r="J155" s="125" t="str">
        <f>IF(Ujian!J162="","",IF(LEFT(Ujian!J162,1)=SEKOR!J$2,1,0))</f>
        <v/>
      </c>
      <c r="K155" s="125" t="str">
        <f>IF(Ujian!K162="","",IF(LEFT(Ujian!K162,1)=SEKOR!K$2,1,0))</f>
        <v/>
      </c>
      <c r="L155" s="125" t="str">
        <f>IF(Ujian!L162="","",IF(LEFT(Ujian!L162,1)=SEKOR!L$2,1,0))</f>
        <v/>
      </c>
      <c r="M155" s="125" t="str">
        <f>IF(Ujian!M162="","",IF(LEFT(Ujian!M162,1)=SEKOR!M$2,1,0))</f>
        <v/>
      </c>
      <c r="N155" s="125" t="str">
        <f>IF(Ujian!N162="","",IF(LEFT(Ujian!N162,1)=SEKOR!N$2,1,0))</f>
        <v/>
      </c>
      <c r="O155" s="125" t="str">
        <f>IF(Ujian!O162="","",IF(LEFT(Ujian!O162,1)=SEKOR!O$2,1,0))</f>
        <v/>
      </c>
      <c r="P155" s="125" t="str">
        <f>IF(Ujian!P162="","",IF(LEFT(Ujian!P162,1)=SEKOR!P$2,1,0))</f>
        <v/>
      </c>
      <c r="Q155" s="125" t="str">
        <f>IF(Ujian!Q162="","",IF(LEFT(Ujian!Q162,1)=SEKOR!Q$2,1,0))</f>
        <v/>
      </c>
      <c r="R155" s="125" t="str">
        <f>IF(Ujian!R162="","",IF(LEFT(Ujian!R162,1)=SEKOR!R$2,1,0))</f>
        <v/>
      </c>
      <c r="S155" s="125" t="str">
        <f>IF(Ujian!S162="","",IF(LEFT(Ujian!S162,1)=SEKOR!S$2,1,0))</f>
        <v/>
      </c>
      <c r="T155" s="125" t="str">
        <f>IF(Ujian!T162="","",IF(LEFT(Ujian!T162,1)=SEKOR!T$2,1,0))</f>
        <v/>
      </c>
      <c r="U155" s="125" t="str">
        <f>IF(Ujian!U162="","",IF(LEFT(Ujian!U162,1)=SEKOR!U$2,1,0))</f>
        <v/>
      </c>
      <c r="V155" s="125" t="str">
        <f>IF(Ujian!V162="","",IF(LEFT(Ujian!V162,1)=SEKOR!V$2,1,0))</f>
        <v/>
      </c>
      <c r="W155" s="125" t="str">
        <f>IF(Ujian!W162="","",IF(LEFT(Ujian!W162,1)=SEKOR!W$2,1,0))</f>
        <v/>
      </c>
      <c r="X155" s="125" t="str">
        <f>IF(Ujian!X162="","",IF(LEFT(Ujian!X162,1)=SEKOR!X$2,1,0))</f>
        <v/>
      </c>
      <c r="Y155" s="125" t="str">
        <f>IF(Ujian!Y162="","",IF(LEFT(Ujian!Y162,1)=SEKOR!Y$2,1,0))</f>
        <v/>
      </c>
      <c r="Z155" s="125" t="str">
        <f>IF(Ujian!Z162="","",IF(LEFT(Ujian!Z162,1)=SEKOR!Z$2,1,0))</f>
        <v/>
      </c>
      <c r="AA155" s="125" t="str">
        <f>IF(Ujian!AA162="","",IF(LEFT(Ujian!AA162,1)=SEKOR!AA$2,1,0))</f>
        <v/>
      </c>
      <c r="AB155" s="125" t="str">
        <f>IF(Ujian!AB162="","",IF(LEFT(Ujian!AB162,1)=SEKOR!AB$2,1,0))</f>
        <v/>
      </c>
      <c r="AC155" s="125" t="str">
        <f>IF(Ujian!AC162="","",IF(LEFT(Ujian!AC162,1)=SEKOR!AC$2,1,0))</f>
        <v/>
      </c>
      <c r="AD155" s="125" t="str">
        <f>IF(Ujian!AD162="","",IF(LEFT(Ujian!AD162,1)=SEKOR!AD$2,1,0))</f>
        <v/>
      </c>
      <c r="AE155" s="125" t="str">
        <f>IF(Ujian!AE162="","",IF(LEFT(Ujian!AE162,1)=SEKOR!AE$2,1,0))</f>
        <v/>
      </c>
      <c r="AF155" s="125" t="str">
        <f>IF(Ujian!AF162="","",IF(LEFT(Ujian!AF162,1)=SEKOR!AF$2,1,0))</f>
        <v/>
      </c>
      <c r="AG155" s="125" t="str">
        <f>IF(Ujian!AG162="","",IF(LEFT(Ujian!AG162,1)=SEKOR!AG$2,1,0))</f>
        <v/>
      </c>
      <c r="AH155" s="125" t="str">
        <f>IF(Ujian!AH162="","",IF(LEFT(Ujian!AH162,1)=SEKOR!AH$2,1,0))</f>
        <v/>
      </c>
      <c r="AI155" s="125" t="str">
        <f>IF(Ujian!AI162="","",IF(LEFT(Ujian!AI162,1)=SEKOR!AI$2,1,0))</f>
        <v/>
      </c>
      <c r="AJ155" s="125" t="str">
        <f>IF(Ujian!AJ162="","",IF(LEFT(Ujian!AJ162,1)=SEKOR!AJ$2,1,0))</f>
        <v/>
      </c>
      <c r="AK155" s="125" t="str">
        <f>IF(Ujian!AK162="","",IF(LEFT(Ujian!AK162,1)=SEKOR!AK$2,1,0))</f>
        <v/>
      </c>
      <c r="AL155" s="125" t="str">
        <f>IF(Ujian!AL162="","",IF(LEFT(Ujian!AL162,1)=SEKOR!AL$2,1,0))</f>
        <v/>
      </c>
      <c r="AM155" s="125" t="str">
        <f>IF(Ujian!AM162="","",IF(LEFT(Ujian!AM162,1)=SEKOR!AM$2,1,0))</f>
        <v/>
      </c>
      <c r="AN155" s="125" t="str">
        <f>IF(Ujian!AN162="","",IF(LEFT(Ujian!AN162,1)=SEKOR!AN$2,1,0))</f>
        <v/>
      </c>
      <c r="AO155" s="125" t="str">
        <f>IF(Ujian!AO162="","",IF(LEFT(Ujian!AO162,1)=SEKOR!AO$2,1,0))</f>
        <v/>
      </c>
      <c r="AP155" s="125" t="str">
        <f>IF(Ujian!AP162="","",IF(LEFT(Ujian!AP162,1)=SEKOR!AP$2,1,0))</f>
        <v/>
      </c>
      <c r="AQ155" s="125" t="str">
        <f>IF(Ujian!AQ162="","",IF(LEFT(Ujian!AQ162,1)=SEKOR!AQ$2,1,0))</f>
        <v/>
      </c>
      <c r="AR155" s="125" t="str">
        <f>IF(Ujian!AR162="","",IF(LEFT(Ujian!AR162,1)=SEKOR!AR$2,1,0))</f>
        <v/>
      </c>
      <c r="AS155" s="125" t="str">
        <f>IF(Ujian!AS162="","",IF(LEFT(Ujian!AS162,1)=SEKOR!AS$2,1,0))</f>
        <v/>
      </c>
      <c r="AT155" s="125" t="str">
        <f>IF(Ujian!AT162="","",IF(LEFT(Ujian!AT162,1)=SEKOR!AT$2,1,0))</f>
        <v/>
      </c>
      <c r="AU155" s="125" t="str">
        <f>IF(Ujian!AU162="","",IF(LEFT(Ujian!AU162,1)=SEKOR!AU$2,1,0))</f>
        <v/>
      </c>
      <c r="AV155" s="125" t="str">
        <f>IF(Ujian!AV162="","",IF(LEFT(Ujian!AV162,1)=SEKOR!AV$2,1,0))</f>
        <v/>
      </c>
      <c r="AW155" s="125" t="str">
        <f>IF(Ujian!AW162="","",IF(LEFT(Ujian!AW162,1)=SEKOR!AW$2,1,0))</f>
        <v/>
      </c>
      <c r="AX155" s="125" t="str">
        <f>IF(Ujian!AX162="","",IF(LEFT(Ujian!AX162,1)=SEKOR!AX$2,1,0))</f>
        <v/>
      </c>
      <c r="AY155" s="125" t="str">
        <f>IF(Ujian!AY162="","",IF(LEFT(Ujian!AY162,1)=SEKOR!AY$2,1,0))</f>
        <v/>
      </c>
      <c r="AZ155" s="125" t="str">
        <f>IF(Ujian!AZ162="","",IF(LEFT(Ujian!AZ162,1)=SEKOR!AZ$2,1,0))</f>
        <v/>
      </c>
      <c r="BA155" s="125" t="str">
        <f>IF(Ujian!BA162="","",IF(LEFT(Ujian!BA162,1)=SEKOR!BA$2,1,0))</f>
        <v/>
      </c>
      <c r="BB155" s="125" t="str">
        <f>IF(Ujian!BB162="","",IF(LEFT(Ujian!BB162,1)=SEKOR!BB$2,1,0))</f>
        <v/>
      </c>
      <c r="BC155" s="125" t="str">
        <f>IF(Ujian!BC162="","",IF(LEFT(Ujian!BC162,1)=SEKOR!BC$2,1,0))</f>
        <v/>
      </c>
      <c r="BD155" s="125" t="str">
        <f>IF(Ujian!BD162="","",IF(LEFT(Ujian!BD162,1)=SEKOR!BD$2,1,0))</f>
        <v/>
      </c>
      <c r="BE155" s="125" t="str">
        <f>IF(Ujian!BE162="","",IF(LEFT(Ujian!BE162,1)=SEKOR!BE$2,1,0))</f>
        <v/>
      </c>
      <c r="BF155" s="125" t="str">
        <f>IF(Ujian!BF162="","",IF(LEFT(Ujian!BF162,1)=SEKOR!BF$2,1,0))</f>
        <v/>
      </c>
      <c r="BG155" s="125" t="str">
        <f>IF(Ujian!BG162="","",IF(LEFT(Ujian!BG162,1)=SEKOR!BG$2,1,0))</f>
        <v/>
      </c>
      <c r="BH155" s="125" t="str">
        <f>IF(Ujian!BH162="","",IF(LEFT(Ujian!BH162,1)=SEKOR!BH$2,1,0))</f>
        <v/>
      </c>
      <c r="BI155" s="125" t="str">
        <f>IF(Ujian!BI162="","",IF(LEFT(Ujian!BI162,1)=SEKOR!BI$2,1,0))</f>
        <v/>
      </c>
      <c r="BJ155" s="125" t="str">
        <f>IF(Ujian!BJ162="","",IF(LEFT(Ujian!BJ162,1)=SEKOR!BJ$2,1,0))</f>
        <v/>
      </c>
      <c r="BK155" s="125" t="str">
        <f>IF(Ujian!BK162="","",IF(LEFT(Ujian!BK162,1)=SEKOR!BK$2,1,0))</f>
        <v/>
      </c>
      <c r="BL155" s="18">
        <f t="shared" si="4"/>
        <v>0</v>
      </c>
      <c r="BM155" s="18">
        <f>COUNTIF($D155:$BK155,"")+DATA!$F$14-DATA!$F$12</f>
        <v>60</v>
      </c>
      <c r="BN155" s="17">
        <f>IF(COUNTIF($D155:$BK155,1)&gt;DATA!$F$14,DATA!$F$14,COUNTIF($D155:$BK155,1))</f>
        <v>0</v>
      </c>
      <c r="BO155" s="17">
        <f>IF((BN155+COUNTIF($D155:$BK155,0))&lt;=DATA!$F$14,COUNTIF($D155:$BK155,0),DATA!$F$14-SEKOR!BN155)</f>
        <v>0</v>
      </c>
      <c r="BP155" s="4" t="str">
        <f>IF(BL155=0,"",BN155/DATA!$F$14*100)</f>
        <v/>
      </c>
      <c r="BQ155" s="121" t="str">
        <f t="shared" si="5"/>
        <v/>
      </c>
      <c r="BR155" s="2" t="str">
        <f>IF(Praktik!$E155=0,"",Praktik!$E155)</f>
        <v/>
      </c>
      <c r="BS155" s="2" t="str">
        <f>IF(BR155="","",(BP155*DATAINFO!$O$4)+(SEKOR!BR155*DATAINFO!$O$5)/(DATAINFO!$O$4+DATAINFO!$O$5))</f>
        <v/>
      </c>
      <c r="BT155" s="2" t="str">
        <f>IF(BL155=0,"",IF(DATA!$F$18="TIDAK",ROUNDUP((IF!$L$8*SEKOR!$BP155)+IF!$L$9,0),IF($BR155="","",ROUNDUP((IF!$L$20*$BS155)+IF!$L$21,0))))</f>
        <v/>
      </c>
      <c r="BU155" s="47" t="str">
        <f>IF(BP155="","",IF(SEKOR!BP155&gt;=DATA!$J$12,1,0))</f>
        <v/>
      </c>
      <c r="BV155" s="47" t="str">
        <f>IF(BQ155="","",IF(SEKOR!BQ155&gt;=DATA!$J$12,1,0))</f>
        <v/>
      </c>
      <c r="BW155" s="47" t="str">
        <f>IF(BR155="","",IF(SEKOR!BR155&gt;=DATA!$J$12,1,0))</f>
        <v/>
      </c>
      <c r="BX155" s="47" t="str">
        <f>IF(BT155="","",IF(DATA!$J$14="",IF(SEKOR!BT155&gt;=DATA!$J$12,1,0),IF(SEKOR!BT155&gt;=DATA!$J$14,1,0)))</f>
        <v/>
      </c>
    </row>
    <row r="156" spans="1:76" x14ac:dyDescent="0.25">
      <c r="A156" s="20" t="s">
        <v>183</v>
      </c>
      <c r="B156" s="21" t="str">
        <f>IF(Ujian!B163="","",Ujian!B163)</f>
        <v/>
      </c>
      <c r="C156" s="57" t="str">
        <f>IF(Ujian!C163="","",Ujian!C163)</f>
        <v/>
      </c>
      <c r="D156" s="125" t="str">
        <f>IF(Ujian!D163="","",IF(LEFT(Ujian!D163,1)=SEKOR!D$2,1,0))</f>
        <v/>
      </c>
      <c r="E156" s="125" t="str">
        <f>IF(Ujian!E163="","",IF(LEFT(Ujian!E163,1)=SEKOR!E$2,1,0))</f>
        <v/>
      </c>
      <c r="F156" s="125" t="str">
        <f>IF(Ujian!F163="","",IF(LEFT(Ujian!F163,1)=SEKOR!F$2,1,0))</f>
        <v/>
      </c>
      <c r="G156" s="125" t="str">
        <f>IF(Ujian!G163="","",IF(LEFT(Ujian!G163,1)=SEKOR!G$2,1,0))</f>
        <v/>
      </c>
      <c r="H156" s="125" t="str">
        <f>IF(Ujian!H163="","",IF(LEFT(Ujian!H163,1)=SEKOR!H$2,1,0))</f>
        <v/>
      </c>
      <c r="I156" s="125" t="str">
        <f>IF(Ujian!I163="","",IF(LEFT(Ujian!I163,1)=SEKOR!I$2,1,0))</f>
        <v/>
      </c>
      <c r="J156" s="125" t="str">
        <f>IF(Ujian!J163="","",IF(LEFT(Ujian!J163,1)=SEKOR!J$2,1,0))</f>
        <v/>
      </c>
      <c r="K156" s="125" t="str">
        <f>IF(Ujian!K163="","",IF(LEFT(Ujian!K163,1)=SEKOR!K$2,1,0))</f>
        <v/>
      </c>
      <c r="L156" s="125" t="str">
        <f>IF(Ujian!L163="","",IF(LEFT(Ujian!L163,1)=SEKOR!L$2,1,0))</f>
        <v/>
      </c>
      <c r="M156" s="125" t="str">
        <f>IF(Ujian!M163="","",IF(LEFT(Ujian!M163,1)=SEKOR!M$2,1,0))</f>
        <v/>
      </c>
      <c r="N156" s="125" t="str">
        <f>IF(Ujian!N163="","",IF(LEFT(Ujian!N163,1)=SEKOR!N$2,1,0))</f>
        <v/>
      </c>
      <c r="O156" s="125" t="str">
        <f>IF(Ujian!O163="","",IF(LEFT(Ujian!O163,1)=SEKOR!O$2,1,0))</f>
        <v/>
      </c>
      <c r="P156" s="125" t="str">
        <f>IF(Ujian!P163="","",IF(LEFT(Ujian!P163,1)=SEKOR!P$2,1,0))</f>
        <v/>
      </c>
      <c r="Q156" s="125" t="str">
        <f>IF(Ujian!Q163="","",IF(LEFT(Ujian!Q163,1)=SEKOR!Q$2,1,0))</f>
        <v/>
      </c>
      <c r="R156" s="125" t="str">
        <f>IF(Ujian!R163="","",IF(LEFT(Ujian!R163,1)=SEKOR!R$2,1,0))</f>
        <v/>
      </c>
      <c r="S156" s="125" t="str">
        <f>IF(Ujian!S163="","",IF(LEFT(Ujian!S163,1)=SEKOR!S$2,1,0))</f>
        <v/>
      </c>
      <c r="T156" s="125" t="str">
        <f>IF(Ujian!T163="","",IF(LEFT(Ujian!T163,1)=SEKOR!T$2,1,0))</f>
        <v/>
      </c>
      <c r="U156" s="125" t="str">
        <f>IF(Ujian!U163="","",IF(LEFT(Ujian!U163,1)=SEKOR!U$2,1,0))</f>
        <v/>
      </c>
      <c r="V156" s="125" t="str">
        <f>IF(Ujian!V163="","",IF(LEFT(Ujian!V163,1)=SEKOR!V$2,1,0))</f>
        <v/>
      </c>
      <c r="W156" s="125" t="str">
        <f>IF(Ujian!W163="","",IF(LEFT(Ujian!W163,1)=SEKOR!W$2,1,0))</f>
        <v/>
      </c>
      <c r="X156" s="125" t="str">
        <f>IF(Ujian!X163="","",IF(LEFT(Ujian!X163,1)=SEKOR!X$2,1,0))</f>
        <v/>
      </c>
      <c r="Y156" s="125" t="str">
        <f>IF(Ujian!Y163="","",IF(LEFT(Ujian!Y163,1)=SEKOR!Y$2,1,0))</f>
        <v/>
      </c>
      <c r="Z156" s="125" t="str">
        <f>IF(Ujian!Z163="","",IF(LEFT(Ujian!Z163,1)=SEKOR!Z$2,1,0))</f>
        <v/>
      </c>
      <c r="AA156" s="125" t="str">
        <f>IF(Ujian!AA163="","",IF(LEFT(Ujian!AA163,1)=SEKOR!AA$2,1,0))</f>
        <v/>
      </c>
      <c r="AB156" s="125" t="str">
        <f>IF(Ujian!AB163="","",IF(LEFT(Ujian!AB163,1)=SEKOR!AB$2,1,0))</f>
        <v/>
      </c>
      <c r="AC156" s="125" t="str">
        <f>IF(Ujian!AC163="","",IF(LEFT(Ujian!AC163,1)=SEKOR!AC$2,1,0))</f>
        <v/>
      </c>
      <c r="AD156" s="125" t="str">
        <f>IF(Ujian!AD163="","",IF(LEFT(Ujian!AD163,1)=SEKOR!AD$2,1,0))</f>
        <v/>
      </c>
      <c r="AE156" s="125" t="str">
        <f>IF(Ujian!AE163="","",IF(LEFT(Ujian!AE163,1)=SEKOR!AE$2,1,0))</f>
        <v/>
      </c>
      <c r="AF156" s="125" t="str">
        <f>IF(Ujian!AF163="","",IF(LEFT(Ujian!AF163,1)=SEKOR!AF$2,1,0))</f>
        <v/>
      </c>
      <c r="AG156" s="125" t="str">
        <f>IF(Ujian!AG163="","",IF(LEFT(Ujian!AG163,1)=SEKOR!AG$2,1,0))</f>
        <v/>
      </c>
      <c r="AH156" s="125" t="str">
        <f>IF(Ujian!AH163="","",IF(LEFT(Ujian!AH163,1)=SEKOR!AH$2,1,0))</f>
        <v/>
      </c>
      <c r="AI156" s="125" t="str">
        <f>IF(Ujian!AI163="","",IF(LEFT(Ujian!AI163,1)=SEKOR!AI$2,1,0))</f>
        <v/>
      </c>
      <c r="AJ156" s="125" t="str">
        <f>IF(Ujian!AJ163="","",IF(LEFT(Ujian!AJ163,1)=SEKOR!AJ$2,1,0))</f>
        <v/>
      </c>
      <c r="AK156" s="125" t="str">
        <f>IF(Ujian!AK163="","",IF(LEFT(Ujian!AK163,1)=SEKOR!AK$2,1,0))</f>
        <v/>
      </c>
      <c r="AL156" s="125" t="str">
        <f>IF(Ujian!AL163="","",IF(LEFT(Ujian!AL163,1)=SEKOR!AL$2,1,0))</f>
        <v/>
      </c>
      <c r="AM156" s="125" t="str">
        <f>IF(Ujian!AM163="","",IF(LEFT(Ujian!AM163,1)=SEKOR!AM$2,1,0))</f>
        <v/>
      </c>
      <c r="AN156" s="125" t="str">
        <f>IF(Ujian!AN163="","",IF(LEFT(Ujian!AN163,1)=SEKOR!AN$2,1,0))</f>
        <v/>
      </c>
      <c r="AO156" s="125" t="str">
        <f>IF(Ujian!AO163="","",IF(LEFT(Ujian!AO163,1)=SEKOR!AO$2,1,0))</f>
        <v/>
      </c>
      <c r="AP156" s="125" t="str">
        <f>IF(Ujian!AP163="","",IF(LEFT(Ujian!AP163,1)=SEKOR!AP$2,1,0))</f>
        <v/>
      </c>
      <c r="AQ156" s="125" t="str">
        <f>IF(Ujian!AQ163="","",IF(LEFT(Ujian!AQ163,1)=SEKOR!AQ$2,1,0))</f>
        <v/>
      </c>
      <c r="AR156" s="125" t="str">
        <f>IF(Ujian!AR163="","",IF(LEFT(Ujian!AR163,1)=SEKOR!AR$2,1,0))</f>
        <v/>
      </c>
      <c r="AS156" s="125" t="str">
        <f>IF(Ujian!AS163="","",IF(LEFT(Ujian!AS163,1)=SEKOR!AS$2,1,0))</f>
        <v/>
      </c>
      <c r="AT156" s="125" t="str">
        <f>IF(Ujian!AT163="","",IF(LEFT(Ujian!AT163,1)=SEKOR!AT$2,1,0))</f>
        <v/>
      </c>
      <c r="AU156" s="125" t="str">
        <f>IF(Ujian!AU163="","",IF(LEFT(Ujian!AU163,1)=SEKOR!AU$2,1,0))</f>
        <v/>
      </c>
      <c r="AV156" s="125" t="str">
        <f>IF(Ujian!AV163="","",IF(LEFT(Ujian!AV163,1)=SEKOR!AV$2,1,0))</f>
        <v/>
      </c>
      <c r="AW156" s="125" t="str">
        <f>IF(Ujian!AW163="","",IF(LEFT(Ujian!AW163,1)=SEKOR!AW$2,1,0))</f>
        <v/>
      </c>
      <c r="AX156" s="125" t="str">
        <f>IF(Ujian!AX163="","",IF(LEFT(Ujian!AX163,1)=SEKOR!AX$2,1,0))</f>
        <v/>
      </c>
      <c r="AY156" s="125" t="str">
        <f>IF(Ujian!AY163="","",IF(LEFT(Ujian!AY163,1)=SEKOR!AY$2,1,0))</f>
        <v/>
      </c>
      <c r="AZ156" s="125" t="str">
        <f>IF(Ujian!AZ163="","",IF(LEFT(Ujian!AZ163,1)=SEKOR!AZ$2,1,0))</f>
        <v/>
      </c>
      <c r="BA156" s="125" t="str">
        <f>IF(Ujian!BA163="","",IF(LEFT(Ujian!BA163,1)=SEKOR!BA$2,1,0))</f>
        <v/>
      </c>
      <c r="BB156" s="125" t="str">
        <f>IF(Ujian!BB163="","",IF(LEFT(Ujian!BB163,1)=SEKOR!BB$2,1,0))</f>
        <v/>
      </c>
      <c r="BC156" s="125" t="str">
        <f>IF(Ujian!BC163="","",IF(LEFT(Ujian!BC163,1)=SEKOR!BC$2,1,0))</f>
        <v/>
      </c>
      <c r="BD156" s="125" t="str">
        <f>IF(Ujian!BD163="","",IF(LEFT(Ujian!BD163,1)=SEKOR!BD$2,1,0))</f>
        <v/>
      </c>
      <c r="BE156" s="125" t="str">
        <f>IF(Ujian!BE163="","",IF(LEFT(Ujian!BE163,1)=SEKOR!BE$2,1,0))</f>
        <v/>
      </c>
      <c r="BF156" s="125" t="str">
        <f>IF(Ujian!BF163="","",IF(LEFT(Ujian!BF163,1)=SEKOR!BF$2,1,0))</f>
        <v/>
      </c>
      <c r="BG156" s="125" t="str">
        <f>IF(Ujian!BG163="","",IF(LEFT(Ujian!BG163,1)=SEKOR!BG$2,1,0))</f>
        <v/>
      </c>
      <c r="BH156" s="125" t="str">
        <f>IF(Ujian!BH163="","",IF(LEFT(Ujian!BH163,1)=SEKOR!BH$2,1,0))</f>
        <v/>
      </c>
      <c r="BI156" s="125" t="str">
        <f>IF(Ujian!BI163="","",IF(LEFT(Ujian!BI163,1)=SEKOR!BI$2,1,0))</f>
        <v/>
      </c>
      <c r="BJ156" s="125" t="str">
        <f>IF(Ujian!BJ163="","",IF(LEFT(Ujian!BJ163,1)=SEKOR!BJ$2,1,0))</f>
        <v/>
      </c>
      <c r="BK156" s="125" t="str">
        <f>IF(Ujian!BK163="","",IF(LEFT(Ujian!BK163,1)=SEKOR!BK$2,1,0))</f>
        <v/>
      </c>
      <c r="BL156" s="18">
        <f t="shared" si="4"/>
        <v>0</v>
      </c>
      <c r="BM156" s="18">
        <f>COUNTIF($D156:$BK156,"")+DATA!$F$14-DATA!$F$12</f>
        <v>60</v>
      </c>
      <c r="BN156" s="17">
        <f>IF(COUNTIF($D156:$BK156,1)&gt;DATA!$F$14,DATA!$F$14,COUNTIF($D156:$BK156,1))</f>
        <v>0</v>
      </c>
      <c r="BO156" s="17">
        <f>IF((BN156+COUNTIF($D156:$BK156,0))&lt;=DATA!$F$14,COUNTIF($D156:$BK156,0),DATA!$F$14-SEKOR!BN156)</f>
        <v>0</v>
      </c>
      <c r="BP156" s="4" t="str">
        <f>IF(BL156=0,"",BN156/DATA!$F$14*100)</f>
        <v/>
      </c>
      <c r="BQ156" s="121" t="str">
        <f t="shared" si="5"/>
        <v/>
      </c>
      <c r="BR156" s="2" t="str">
        <f>IF(Praktik!$E156=0,"",Praktik!$E156)</f>
        <v/>
      </c>
      <c r="BS156" s="2" t="str">
        <f>IF(BR156="","",(BP156*DATAINFO!$O$4)+(SEKOR!BR156*DATAINFO!$O$5)/(DATAINFO!$O$4+DATAINFO!$O$5))</f>
        <v/>
      </c>
      <c r="BT156" s="2" t="str">
        <f>IF(BL156=0,"",IF(DATA!$F$18="TIDAK",ROUNDUP((IF!$L$8*SEKOR!$BP156)+IF!$L$9,0),IF($BR156="","",ROUNDUP((IF!$L$20*$BS156)+IF!$L$21,0))))</f>
        <v/>
      </c>
      <c r="BU156" s="47" t="str">
        <f>IF(BP156="","",IF(SEKOR!BP156&gt;=DATA!$J$12,1,0))</f>
        <v/>
      </c>
      <c r="BV156" s="47" t="str">
        <f>IF(BQ156="","",IF(SEKOR!BQ156&gt;=DATA!$J$12,1,0))</f>
        <v/>
      </c>
      <c r="BW156" s="47" t="str">
        <f>IF(BR156="","",IF(SEKOR!BR156&gt;=DATA!$J$12,1,0))</f>
        <v/>
      </c>
      <c r="BX156" s="47" t="str">
        <f>IF(BT156="","",IF(DATA!$J$14="",IF(SEKOR!BT156&gt;=DATA!$J$12,1,0),IF(SEKOR!BT156&gt;=DATA!$J$14,1,0)))</f>
        <v/>
      </c>
    </row>
    <row r="157" spans="1:76" x14ac:dyDescent="0.25">
      <c r="A157" s="20" t="s">
        <v>184</v>
      </c>
      <c r="B157" s="21" t="str">
        <f>IF(Ujian!B164="","",Ujian!B164)</f>
        <v/>
      </c>
      <c r="C157" s="57" t="str">
        <f>IF(Ujian!C164="","",Ujian!C164)</f>
        <v/>
      </c>
      <c r="D157" s="125" t="str">
        <f>IF(Ujian!D164="","",IF(LEFT(Ujian!D164,1)=SEKOR!D$2,1,0))</f>
        <v/>
      </c>
      <c r="E157" s="125" t="str">
        <f>IF(Ujian!E164="","",IF(LEFT(Ujian!E164,1)=SEKOR!E$2,1,0))</f>
        <v/>
      </c>
      <c r="F157" s="125" t="str">
        <f>IF(Ujian!F164="","",IF(LEFT(Ujian!F164,1)=SEKOR!F$2,1,0))</f>
        <v/>
      </c>
      <c r="G157" s="125" t="str">
        <f>IF(Ujian!G164="","",IF(LEFT(Ujian!G164,1)=SEKOR!G$2,1,0))</f>
        <v/>
      </c>
      <c r="H157" s="125" t="str">
        <f>IF(Ujian!H164="","",IF(LEFT(Ujian!H164,1)=SEKOR!H$2,1,0))</f>
        <v/>
      </c>
      <c r="I157" s="125" t="str">
        <f>IF(Ujian!I164="","",IF(LEFT(Ujian!I164,1)=SEKOR!I$2,1,0))</f>
        <v/>
      </c>
      <c r="J157" s="125" t="str">
        <f>IF(Ujian!J164="","",IF(LEFT(Ujian!J164,1)=SEKOR!J$2,1,0))</f>
        <v/>
      </c>
      <c r="K157" s="125" t="str">
        <f>IF(Ujian!K164="","",IF(LEFT(Ujian!K164,1)=SEKOR!K$2,1,0))</f>
        <v/>
      </c>
      <c r="L157" s="125" t="str">
        <f>IF(Ujian!L164="","",IF(LEFT(Ujian!L164,1)=SEKOR!L$2,1,0))</f>
        <v/>
      </c>
      <c r="M157" s="125" t="str">
        <f>IF(Ujian!M164="","",IF(LEFT(Ujian!M164,1)=SEKOR!M$2,1,0))</f>
        <v/>
      </c>
      <c r="N157" s="125" t="str">
        <f>IF(Ujian!N164="","",IF(LEFT(Ujian!N164,1)=SEKOR!N$2,1,0))</f>
        <v/>
      </c>
      <c r="O157" s="125" t="str">
        <f>IF(Ujian!O164="","",IF(LEFT(Ujian!O164,1)=SEKOR!O$2,1,0))</f>
        <v/>
      </c>
      <c r="P157" s="125" t="str">
        <f>IF(Ujian!P164="","",IF(LEFT(Ujian!P164,1)=SEKOR!P$2,1,0))</f>
        <v/>
      </c>
      <c r="Q157" s="125" t="str">
        <f>IF(Ujian!Q164="","",IF(LEFT(Ujian!Q164,1)=SEKOR!Q$2,1,0))</f>
        <v/>
      </c>
      <c r="R157" s="125" t="str">
        <f>IF(Ujian!R164="","",IF(LEFT(Ujian!R164,1)=SEKOR!R$2,1,0))</f>
        <v/>
      </c>
      <c r="S157" s="125" t="str">
        <f>IF(Ujian!S164="","",IF(LEFT(Ujian!S164,1)=SEKOR!S$2,1,0))</f>
        <v/>
      </c>
      <c r="T157" s="125" t="str">
        <f>IF(Ujian!T164="","",IF(LEFT(Ujian!T164,1)=SEKOR!T$2,1,0))</f>
        <v/>
      </c>
      <c r="U157" s="125" t="str">
        <f>IF(Ujian!U164="","",IF(LEFT(Ujian!U164,1)=SEKOR!U$2,1,0))</f>
        <v/>
      </c>
      <c r="V157" s="125" t="str">
        <f>IF(Ujian!V164="","",IF(LEFT(Ujian!V164,1)=SEKOR!V$2,1,0))</f>
        <v/>
      </c>
      <c r="W157" s="125" t="str">
        <f>IF(Ujian!W164="","",IF(LEFT(Ujian!W164,1)=SEKOR!W$2,1,0))</f>
        <v/>
      </c>
      <c r="X157" s="125" t="str">
        <f>IF(Ujian!X164="","",IF(LEFT(Ujian!X164,1)=SEKOR!X$2,1,0))</f>
        <v/>
      </c>
      <c r="Y157" s="125" t="str">
        <f>IF(Ujian!Y164="","",IF(LEFT(Ujian!Y164,1)=SEKOR!Y$2,1,0))</f>
        <v/>
      </c>
      <c r="Z157" s="125" t="str">
        <f>IF(Ujian!Z164="","",IF(LEFT(Ujian!Z164,1)=SEKOR!Z$2,1,0))</f>
        <v/>
      </c>
      <c r="AA157" s="125" t="str">
        <f>IF(Ujian!AA164="","",IF(LEFT(Ujian!AA164,1)=SEKOR!AA$2,1,0))</f>
        <v/>
      </c>
      <c r="AB157" s="125" t="str">
        <f>IF(Ujian!AB164="","",IF(LEFT(Ujian!AB164,1)=SEKOR!AB$2,1,0))</f>
        <v/>
      </c>
      <c r="AC157" s="125" t="str">
        <f>IF(Ujian!AC164="","",IF(LEFT(Ujian!AC164,1)=SEKOR!AC$2,1,0))</f>
        <v/>
      </c>
      <c r="AD157" s="125" t="str">
        <f>IF(Ujian!AD164="","",IF(LEFT(Ujian!AD164,1)=SEKOR!AD$2,1,0))</f>
        <v/>
      </c>
      <c r="AE157" s="125" t="str">
        <f>IF(Ujian!AE164="","",IF(LEFT(Ujian!AE164,1)=SEKOR!AE$2,1,0))</f>
        <v/>
      </c>
      <c r="AF157" s="125" t="str">
        <f>IF(Ujian!AF164="","",IF(LEFT(Ujian!AF164,1)=SEKOR!AF$2,1,0))</f>
        <v/>
      </c>
      <c r="AG157" s="125" t="str">
        <f>IF(Ujian!AG164="","",IF(LEFT(Ujian!AG164,1)=SEKOR!AG$2,1,0))</f>
        <v/>
      </c>
      <c r="AH157" s="125" t="str">
        <f>IF(Ujian!AH164="","",IF(LEFT(Ujian!AH164,1)=SEKOR!AH$2,1,0))</f>
        <v/>
      </c>
      <c r="AI157" s="125" t="str">
        <f>IF(Ujian!AI164="","",IF(LEFT(Ujian!AI164,1)=SEKOR!AI$2,1,0))</f>
        <v/>
      </c>
      <c r="AJ157" s="125" t="str">
        <f>IF(Ujian!AJ164="","",IF(LEFT(Ujian!AJ164,1)=SEKOR!AJ$2,1,0))</f>
        <v/>
      </c>
      <c r="AK157" s="125" t="str">
        <f>IF(Ujian!AK164="","",IF(LEFT(Ujian!AK164,1)=SEKOR!AK$2,1,0))</f>
        <v/>
      </c>
      <c r="AL157" s="125" t="str">
        <f>IF(Ujian!AL164="","",IF(LEFT(Ujian!AL164,1)=SEKOR!AL$2,1,0))</f>
        <v/>
      </c>
      <c r="AM157" s="125" t="str">
        <f>IF(Ujian!AM164="","",IF(LEFT(Ujian!AM164,1)=SEKOR!AM$2,1,0))</f>
        <v/>
      </c>
      <c r="AN157" s="125" t="str">
        <f>IF(Ujian!AN164="","",IF(LEFT(Ujian!AN164,1)=SEKOR!AN$2,1,0))</f>
        <v/>
      </c>
      <c r="AO157" s="125" t="str">
        <f>IF(Ujian!AO164="","",IF(LEFT(Ujian!AO164,1)=SEKOR!AO$2,1,0))</f>
        <v/>
      </c>
      <c r="AP157" s="125" t="str">
        <f>IF(Ujian!AP164="","",IF(LEFT(Ujian!AP164,1)=SEKOR!AP$2,1,0))</f>
        <v/>
      </c>
      <c r="AQ157" s="125" t="str">
        <f>IF(Ujian!AQ164="","",IF(LEFT(Ujian!AQ164,1)=SEKOR!AQ$2,1,0))</f>
        <v/>
      </c>
      <c r="AR157" s="125" t="str">
        <f>IF(Ujian!AR164="","",IF(LEFT(Ujian!AR164,1)=SEKOR!AR$2,1,0))</f>
        <v/>
      </c>
      <c r="AS157" s="125" t="str">
        <f>IF(Ujian!AS164="","",IF(LEFT(Ujian!AS164,1)=SEKOR!AS$2,1,0))</f>
        <v/>
      </c>
      <c r="AT157" s="125" t="str">
        <f>IF(Ujian!AT164="","",IF(LEFT(Ujian!AT164,1)=SEKOR!AT$2,1,0))</f>
        <v/>
      </c>
      <c r="AU157" s="125" t="str">
        <f>IF(Ujian!AU164="","",IF(LEFT(Ujian!AU164,1)=SEKOR!AU$2,1,0))</f>
        <v/>
      </c>
      <c r="AV157" s="125" t="str">
        <f>IF(Ujian!AV164="","",IF(LEFT(Ujian!AV164,1)=SEKOR!AV$2,1,0))</f>
        <v/>
      </c>
      <c r="AW157" s="125" t="str">
        <f>IF(Ujian!AW164="","",IF(LEFT(Ujian!AW164,1)=SEKOR!AW$2,1,0))</f>
        <v/>
      </c>
      <c r="AX157" s="125" t="str">
        <f>IF(Ujian!AX164="","",IF(LEFT(Ujian!AX164,1)=SEKOR!AX$2,1,0))</f>
        <v/>
      </c>
      <c r="AY157" s="125" t="str">
        <f>IF(Ujian!AY164="","",IF(LEFT(Ujian!AY164,1)=SEKOR!AY$2,1,0))</f>
        <v/>
      </c>
      <c r="AZ157" s="125" t="str">
        <f>IF(Ujian!AZ164="","",IF(LEFT(Ujian!AZ164,1)=SEKOR!AZ$2,1,0))</f>
        <v/>
      </c>
      <c r="BA157" s="125" t="str">
        <f>IF(Ujian!BA164="","",IF(LEFT(Ujian!BA164,1)=SEKOR!BA$2,1,0))</f>
        <v/>
      </c>
      <c r="BB157" s="125" t="str">
        <f>IF(Ujian!BB164="","",IF(LEFT(Ujian!BB164,1)=SEKOR!BB$2,1,0))</f>
        <v/>
      </c>
      <c r="BC157" s="125" t="str">
        <f>IF(Ujian!BC164="","",IF(LEFT(Ujian!BC164,1)=SEKOR!BC$2,1,0))</f>
        <v/>
      </c>
      <c r="BD157" s="125" t="str">
        <f>IF(Ujian!BD164="","",IF(LEFT(Ujian!BD164,1)=SEKOR!BD$2,1,0))</f>
        <v/>
      </c>
      <c r="BE157" s="125" t="str">
        <f>IF(Ujian!BE164="","",IF(LEFT(Ujian!BE164,1)=SEKOR!BE$2,1,0))</f>
        <v/>
      </c>
      <c r="BF157" s="125" t="str">
        <f>IF(Ujian!BF164="","",IF(LEFT(Ujian!BF164,1)=SEKOR!BF$2,1,0))</f>
        <v/>
      </c>
      <c r="BG157" s="125" t="str">
        <f>IF(Ujian!BG164="","",IF(LEFT(Ujian!BG164,1)=SEKOR!BG$2,1,0))</f>
        <v/>
      </c>
      <c r="BH157" s="125" t="str">
        <f>IF(Ujian!BH164="","",IF(LEFT(Ujian!BH164,1)=SEKOR!BH$2,1,0))</f>
        <v/>
      </c>
      <c r="BI157" s="125" t="str">
        <f>IF(Ujian!BI164="","",IF(LEFT(Ujian!BI164,1)=SEKOR!BI$2,1,0))</f>
        <v/>
      </c>
      <c r="BJ157" s="125" t="str">
        <f>IF(Ujian!BJ164="","",IF(LEFT(Ujian!BJ164,1)=SEKOR!BJ$2,1,0))</f>
        <v/>
      </c>
      <c r="BK157" s="125" t="str">
        <f>IF(Ujian!BK164="","",IF(LEFT(Ujian!BK164,1)=SEKOR!BK$2,1,0))</f>
        <v/>
      </c>
      <c r="BL157" s="18">
        <f t="shared" si="4"/>
        <v>0</v>
      </c>
      <c r="BM157" s="18">
        <f>COUNTIF($D157:$BK157,"")+DATA!$F$14-DATA!$F$12</f>
        <v>60</v>
      </c>
      <c r="BN157" s="17">
        <f>IF(COUNTIF($D157:$BK157,1)&gt;DATA!$F$14,DATA!$F$14,COUNTIF($D157:$BK157,1))</f>
        <v>0</v>
      </c>
      <c r="BO157" s="17">
        <f>IF((BN157+COUNTIF($D157:$BK157,0))&lt;=DATA!$F$14,COUNTIF($D157:$BK157,0),DATA!$F$14-SEKOR!BN157)</f>
        <v>0</v>
      </c>
      <c r="BP157" s="4" t="str">
        <f>IF(BL157=0,"",BN157/DATA!$F$14*100)</f>
        <v/>
      </c>
      <c r="BQ157" s="121" t="str">
        <f t="shared" si="5"/>
        <v/>
      </c>
      <c r="BR157" s="2" t="str">
        <f>IF(Praktik!$E157=0,"",Praktik!$E157)</f>
        <v/>
      </c>
      <c r="BS157" s="2" t="str">
        <f>IF(BR157="","",(BP157*DATAINFO!$O$4)+(SEKOR!BR157*DATAINFO!$O$5)/(DATAINFO!$O$4+DATAINFO!$O$5))</f>
        <v/>
      </c>
      <c r="BT157" s="2" t="str">
        <f>IF(BL157=0,"",IF(DATA!$F$18="TIDAK",ROUNDUP((IF!$L$8*SEKOR!$BP157)+IF!$L$9,0),IF($BR157="","",ROUNDUP((IF!$L$20*$BS157)+IF!$L$21,0))))</f>
        <v/>
      </c>
      <c r="BU157" s="47" t="str">
        <f>IF(BP157="","",IF(SEKOR!BP157&gt;=DATA!$J$12,1,0))</f>
        <v/>
      </c>
      <c r="BV157" s="47" t="str">
        <f>IF(BQ157="","",IF(SEKOR!BQ157&gt;=DATA!$J$12,1,0))</f>
        <v/>
      </c>
      <c r="BW157" s="47" t="str">
        <f>IF(BR157="","",IF(SEKOR!BR157&gt;=DATA!$J$12,1,0))</f>
        <v/>
      </c>
      <c r="BX157" s="47" t="str">
        <f>IF(BT157="","",IF(DATA!$J$14="",IF(SEKOR!BT157&gt;=DATA!$J$12,1,0),IF(SEKOR!BT157&gt;=DATA!$J$14,1,0)))</f>
        <v/>
      </c>
    </row>
    <row r="158" spans="1:76" x14ac:dyDescent="0.25">
      <c r="A158" s="20" t="s">
        <v>185</v>
      </c>
      <c r="B158" s="21" t="str">
        <f>IF(Ujian!B165="","",Ujian!B165)</f>
        <v/>
      </c>
      <c r="C158" s="57" t="str">
        <f>IF(Ujian!C165="","",Ujian!C165)</f>
        <v/>
      </c>
      <c r="D158" s="125" t="str">
        <f>IF(Ujian!D165="","",IF(LEFT(Ujian!D165,1)=SEKOR!D$2,1,0))</f>
        <v/>
      </c>
      <c r="E158" s="125" t="str">
        <f>IF(Ujian!E165="","",IF(LEFT(Ujian!E165,1)=SEKOR!E$2,1,0))</f>
        <v/>
      </c>
      <c r="F158" s="125" t="str">
        <f>IF(Ujian!F165="","",IF(LEFT(Ujian!F165,1)=SEKOR!F$2,1,0))</f>
        <v/>
      </c>
      <c r="G158" s="125" t="str">
        <f>IF(Ujian!G165="","",IF(LEFT(Ujian!G165,1)=SEKOR!G$2,1,0))</f>
        <v/>
      </c>
      <c r="H158" s="125" t="str">
        <f>IF(Ujian!H165="","",IF(LEFT(Ujian!H165,1)=SEKOR!H$2,1,0))</f>
        <v/>
      </c>
      <c r="I158" s="125" t="str">
        <f>IF(Ujian!I165="","",IF(LEFT(Ujian!I165,1)=SEKOR!I$2,1,0))</f>
        <v/>
      </c>
      <c r="J158" s="125" t="str">
        <f>IF(Ujian!J165="","",IF(LEFT(Ujian!J165,1)=SEKOR!J$2,1,0))</f>
        <v/>
      </c>
      <c r="K158" s="125" t="str">
        <f>IF(Ujian!K165="","",IF(LEFT(Ujian!K165,1)=SEKOR!K$2,1,0))</f>
        <v/>
      </c>
      <c r="L158" s="125" t="str">
        <f>IF(Ujian!L165="","",IF(LEFT(Ujian!L165,1)=SEKOR!L$2,1,0))</f>
        <v/>
      </c>
      <c r="M158" s="125" t="str">
        <f>IF(Ujian!M165="","",IF(LEFT(Ujian!M165,1)=SEKOR!M$2,1,0))</f>
        <v/>
      </c>
      <c r="N158" s="125" t="str">
        <f>IF(Ujian!N165="","",IF(LEFT(Ujian!N165,1)=SEKOR!N$2,1,0))</f>
        <v/>
      </c>
      <c r="O158" s="125" t="str">
        <f>IF(Ujian!O165="","",IF(LEFT(Ujian!O165,1)=SEKOR!O$2,1,0))</f>
        <v/>
      </c>
      <c r="P158" s="125" t="str">
        <f>IF(Ujian!P165="","",IF(LEFT(Ujian!P165,1)=SEKOR!P$2,1,0))</f>
        <v/>
      </c>
      <c r="Q158" s="125" t="str">
        <f>IF(Ujian!Q165="","",IF(LEFT(Ujian!Q165,1)=SEKOR!Q$2,1,0))</f>
        <v/>
      </c>
      <c r="R158" s="125" t="str">
        <f>IF(Ujian!R165="","",IF(LEFT(Ujian!R165,1)=SEKOR!R$2,1,0))</f>
        <v/>
      </c>
      <c r="S158" s="125" t="str">
        <f>IF(Ujian!S165="","",IF(LEFT(Ujian!S165,1)=SEKOR!S$2,1,0))</f>
        <v/>
      </c>
      <c r="T158" s="125" t="str">
        <f>IF(Ujian!T165="","",IF(LEFT(Ujian!T165,1)=SEKOR!T$2,1,0))</f>
        <v/>
      </c>
      <c r="U158" s="125" t="str">
        <f>IF(Ujian!U165="","",IF(LEFT(Ujian!U165,1)=SEKOR!U$2,1,0))</f>
        <v/>
      </c>
      <c r="V158" s="125" t="str">
        <f>IF(Ujian!V165="","",IF(LEFT(Ujian!V165,1)=SEKOR!V$2,1,0))</f>
        <v/>
      </c>
      <c r="W158" s="125" t="str">
        <f>IF(Ujian!W165="","",IF(LEFT(Ujian!W165,1)=SEKOR!W$2,1,0))</f>
        <v/>
      </c>
      <c r="X158" s="125" t="str">
        <f>IF(Ujian!X165="","",IF(LEFT(Ujian!X165,1)=SEKOR!X$2,1,0))</f>
        <v/>
      </c>
      <c r="Y158" s="125" t="str">
        <f>IF(Ujian!Y165="","",IF(LEFT(Ujian!Y165,1)=SEKOR!Y$2,1,0))</f>
        <v/>
      </c>
      <c r="Z158" s="125" t="str">
        <f>IF(Ujian!Z165="","",IF(LEFT(Ujian!Z165,1)=SEKOR!Z$2,1,0))</f>
        <v/>
      </c>
      <c r="AA158" s="125" t="str">
        <f>IF(Ujian!AA165="","",IF(LEFT(Ujian!AA165,1)=SEKOR!AA$2,1,0))</f>
        <v/>
      </c>
      <c r="AB158" s="125" t="str">
        <f>IF(Ujian!AB165="","",IF(LEFT(Ujian!AB165,1)=SEKOR!AB$2,1,0))</f>
        <v/>
      </c>
      <c r="AC158" s="125" t="str">
        <f>IF(Ujian!AC165="","",IF(LEFT(Ujian!AC165,1)=SEKOR!AC$2,1,0))</f>
        <v/>
      </c>
      <c r="AD158" s="125" t="str">
        <f>IF(Ujian!AD165="","",IF(LEFT(Ujian!AD165,1)=SEKOR!AD$2,1,0))</f>
        <v/>
      </c>
      <c r="AE158" s="125" t="str">
        <f>IF(Ujian!AE165="","",IF(LEFT(Ujian!AE165,1)=SEKOR!AE$2,1,0))</f>
        <v/>
      </c>
      <c r="AF158" s="125" t="str">
        <f>IF(Ujian!AF165="","",IF(LEFT(Ujian!AF165,1)=SEKOR!AF$2,1,0))</f>
        <v/>
      </c>
      <c r="AG158" s="125" t="str">
        <f>IF(Ujian!AG165="","",IF(LEFT(Ujian!AG165,1)=SEKOR!AG$2,1,0))</f>
        <v/>
      </c>
      <c r="AH158" s="125" t="str">
        <f>IF(Ujian!AH165="","",IF(LEFT(Ujian!AH165,1)=SEKOR!AH$2,1,0))</f>
        <v/>
      </c>
      <c r="AI158" s="125" t="str">
        <f>IF(Ujian!AI165="","",IF(LEFT(Ujian!AI165,1)=SEKOR!AI$2,1,0))</f>
        <v/>
      </c>
      <c r="AJ158" s="125" t="str">
        <f>IF(Ujian!AJ165="","",IF(LEFT(Ujian!AJ165,1)=SEKOR!AJ$2,1,0))</f>
        <v/>
      </c>
      <c r="AK158" s="125" t="str">
        <f>IF(Ujian!AK165="","",IF(LEFT(Ujian!AK165,1)=SEKOR!AK$2,1,0))</f>
        <v/>
      </c>
      <c r="AL158" s="125" t="str">
        <f>IF(Ujian!AL165="","",IF(LEFT(Ujian!AL165,1)=SEKOR!AL$2,1,0))</f>
        <v/>
      </c>
      <c r="AM158" s="125" t="str">
        <f>IF(Ujian!AM165="","",IF(LEFT(Ujian!AM165,1)=SEKOR!AM$2,1,0))</f>
        <v/>
      </c>
      <c r="AN158" s="125" t="str">
        <f>IF(Ujian!AN165="","",IF(LEFT(Ujian!AN165,1)=SEKOR!AN$2,1,0))</f>
        <v/>
      </c>
      <c r="AO158" s="125" t="str">
        <f>IF(Ujian!AO165="","",IF(LEFT(Ujian!AO165,1)=SEKOR!AO$2,1,0))</f>
        <v/>
      </c>
      <c r="AP158" s="125" t="str">
        <f>IF(Ujian!AP165="","",IF(LEFT(Ujian!AP165,1)=SEKOR!AP$2,1,0))</f>
        <v/>
      </c>
      <c r="AQ158" s="125" t="str">
        <f>IF(Ujian!AQ165="","",IF(LEFT(Ujian!AQ165,1)=SEKOR!AQ$2,1,0))</f>
        <v/>
      </c>
      <c r="AR158" s="125" t="str">
        <f>IF(Ujian!AR165="","",IF(LEFT(Ujian!AR165,1)=SEKOR!AR$2,1,0))</f>
        <v/>
      </c>
      <c r="AS158" s="125" t="str">
        <f>IF(Ujian!AS165="","",IF(LEFT(Ujian!AS165,1)=SEKOR!AS$2,1,0))</f>
        <v/>
      </c>
      <c r="AT158" s="125" t="str">
        <f>IF(Ujian!AT165="","",IF(LEFT(Ujian!AT165,1)=SEKOR!AT$2,1,0))</f>
        <v/>
      </c>
      <c r="AU158" s="125" t="str">
        <f>IF(Ujian!AU165="","",IF(LEFT(Ujian!AU165,1)=SEKOR!AU$2,1,0))</f>
        <v/>
      </c>
      <c r="AV158" s="125" t="str">
        <f>IF(Ujian!AV165="","",IF(LEFT(Ujian!AV165,1)=SEKOR!AV$2,1,0))</f>
        <v/>
      </c>
      <c r="AW158" s="125" t="str">
        <f>IF(Ujian!AW165="","",IF(LEFT(Ujian!AW165,1)=SEKOR!AW$2,1,0))</f>
        <v/>
      </c>
      <c r="AX158" s="125" t="str">
        <f>IF(Ujian!AX165="","",IF(LEFT(Ujian!AX165,1)=SEKOR!AX$2,1,0))</f>
        <v/>
      </c>
      <c r="AY158" s="125" t="str">
        <f>IF(Ujian!AY165="","",IF(LEFT(Ujian!AY165,1)=SEKOR!AY$2,1,0))</f>
        <v/>
      </c>
      <c r="AZ158" s="125" t="str">
        <f>IF(Ujian!AZ165="","",IF(LEFT(Ujian!AZ165,1)=SEKOR!AZ$2,1,0))</f>
        <v/>
      </c>
      <c r="BA158" s="125" t="str">
        <f>IF(Ujian!BA165="","",IF(LEFT(Ujian!BA165,1)=SEKOR!BA$2,1,0))</f>
        <v/>
      </c>
      <c r="BB158" s="125" t="str">
        <f>IF(Ujian!BB165="","",IF(LEFT(Ujian!BB165,1)=SEKOR!BB$2,1,0))</f>
        <v/>
      </c>
      <c r="BC158" s="125" t="str">
        <f>IF(Ujian!BC165="","",IF(LEFT(Ujian!BC165,1)=SEKOR!BC$2,1,0))</f>
        <v/>
      </c>
      <c r="BD158" s="125" t="str">
        <f>IF(Ujian!BD165="","",IF(LEFT(Ujian!BD165,1)=SEKOR!BD$2,1,0))</f>
        <v/>
      </c>
      <c r="BE158" s="125" t="str">
        <f>IF(Ujian!BE165="","",IF(LEFT(Ujian!BE165,1)=SEKOR!BE$2,1,0))</f>
        <v/>
      </c>
      <c r="BF158" s="125" t="str">
        <f>IF(Ujian!BF165="","",IF(LEFT(Ujian!BF165,1)=SEKOR!BF$2,1,0))</f>
        <v/>
      </c>
      <c r="BG158" s="125" t="str">
        <f>IF(Ujian!BG165="","",IF(LEFT(Ujian!BG165,1)=SEKOR!BG$2,1,0))</f>
        <v/>
      </c>
      <c r="BH158" s="125" t="str">
        <f>IF(Ujian!BH165="","",IF(LEFT(Ujian!BH165,1)=SEKOR!BH$2,1,0))</f>
        <v/>
      </c>
      <c r="BI158" s="125" t="str">
        <f>IF(Ujian!BI165="","",IF(LEFT(Ujian!BI165,1)=SEKOR!BI$2,1,0))</f>
        <v/>
      </c>
      <c r="BJ158" s="125" t="str">
        <f>IF(Ujian!BJ165="","",IF(LEFT(Ujian!BJ165,1)=SEKOR!BJ$2,1,0))</f>
        <v/>
      </c>
      <c r="BK158" s="125" t="str">
        <f>IF(Ujian!BK165="","",IF(LEFT(Ujian!BK165,1)=SEKOR!BK$2,1,0))</f>
        <v/>
      </c>
      <c r="BL158" s="18">
        <f t="shared" si="4"/>
        <v>0</v>
      </c>
      <c r="BM158" s="18">
        <f>COUNTIF($D158:$BK158,"")+DATA!$F$14-DATA!$F$12</f>
        <v>60</v>
      </c>
      <c r="BN158" s="17">
        <f>IF(COUNTIF($D158:$BK158,1)&gt;DATA!$F$14,DATA!$F$14,COUNTIF($D158:$BK158,1))</f>
        <v>0</v>
      </c>
      <c r="BO158" s="17">
        <f>IF((BN158+COUNTIF($D158:$BK158,0))&lt;=DATA!$F$14,COUNTIF($D158:$BK158,0),DATA!$F$14-SEKOR!BN158)</f>
        <v>0</v>
      </c>
      <c r="BP158" s="4" t="str">
        <f>IF(BL158=0,"",BN158/DATA!$F$14*100)</f>
        <v/>
      </c>
      <c r="BQ158" s="121" t="str">
        <f t="shared" si="5"/>
        <v/>
      </c>
      <c r="BR158" s="2" t="str">
        <f>IF(Praktik!$E158=0,"",Praktik!$E158)</f>
        <v/>
      </c>
      <c r="BS158" s="2" t="str">
        <f>IF(BR158="","",(BP158*DATAINFO!$O$4)+(SEKOR!BR158*DATAINFO!$O$5)/(DATAINFO!$O$4+DATAINFO!$O$5))</f>
        <v/>
      </c>
      <c r="BT158" s="2" t="str">
        <f>IF(BL158=0,"",IF(DATA!$F$18="TIDAK",ROUNDUP((IF!$L$8*SEKOR!$BP158)+IF!$L$9,0),IF($BR158="","",ROUNDUP((IF!$L$20*$BS158)+IF!$L$21,0))))</f>
        <v/>
      </c>
      <c r="BU158" s="47" t="str">
        <f>IF(BP158="","",IF(SEKOR!BP158&gt;=DATA!$J$12,1,0))</f>
        <v/>
      </c>
      <c r="BV158" s="47" t="str">
        <f>IF(BQ158="","",IF(SEKOR!BQ158&gt;=DATA!$J$12,1,0))</f>
        <v/>
      </c>
      <c r="BW158" s="47" t="str">
        <f>IF(BR158="","",IF(SEKOR!BR158&gt;=DATA!$J$12,1,0))</f>
        <v/>
      </c>
      <c r="BX158" s="47" t="str">
        <f>IF(BT158="","",IF(DATA!$J$14="",IF(SEKOR!BT158&gt;=DATA!$J$12,1,0),IF(SEKOR!BT158&gt;=DATA!$J$14,1,0)))</f>
        <v/>
      </c>
    </row>
    <row r="159" spans="1:76" x14ac:dyDescent="0.25">
      <c r="A159" s="20" t="s">
        <v>186</v>
      </c>
      <c r="B159" s="21" t="str">
        <f>IF(Ujian!B166="","",Ujian!B166)</f>
        <v/>
      </c>
      <c r="C159" s="57" t="str">
        <f>IF(Ujian!C166="","",Ujian!C166)</f>
        <v/>
      </c>
      <c r="D159" s="125" t="str">
        <f>IF(Ujian!D166="","",IF(LEFT(Ujian!D166,1)=SEKOR!D$2,1,0))</f>
        <v/>
      </c>
      <c r="E159" s="125" t="str">
        <f>IF(Ujian!E166="","",IF(LEFT(Ujian!E166,1)=SEKOR!E$2,1,0))</f>
        <v/>
      </c>
      <c r="F159" s="125" t="str">
        <f>IF(Ujian!F166="","",IF(LEFT(Ujian!F166,1)=SEKOR!F$2,1,0))</f>
        <v/>
      </c>
      <c r="G159" s="125" t="str">
        <f>IF(Ujian!G166="","",IF(LEFT(Ujian!G166,1)=SEKOR!G$2,1,0))</f>
        <v/>
      </c>
      <c r="H159" s="125" t="str">
        <f>IF(Ujian!H166="","",IF(LEFT(Ujian!H166,1)=SEKOR!H$2,1,0))</f>
        <v/>
      </c>
      <c r="I159" s="125" t="str">
        <f>IF(Ujian!I166="","",IF(LEFT(Ujian!I166,1)=SEKOR!I$2,1,0))</f>
        <v/>
      </c>
      <c r="J159" s="125" t="str">
        <f>IF(Ujian!J166="","",IF(LEFT(Ujian!J166,1)=SEKOR!J$2,1,0))</f>
        <v/>
      </c>
      <c r="K159" s="125" t="str">
        <f>IF(Ujian!K166="","",IF(LEFT(Ujian!K166,1)=SEKOR!K$2,1,0))</f>
        <v/>
      </c>
      <c r="L159" s="125" t="str">
        <f>IF(Ujian!L166="","",IF(LEFT(Ujian!L166,1)=SEKOR!L$2,1,0))</f>
        <v/>
      </c>
      <c r="M159" s="125" t="str">
        <f>IF(Ujian!M166="","",IF(LEFT(Ujian!M166,1)=SEKOR!M$2,1,0))</f>
        <v/>
      </c>
      <c r="N159" s="125" t="str">
        <f>IF(Ujian!N166="","",IF(LEFT(Ujian!N166,1)=SEKOR!N$2,1,0))</f>
        <v/>
      </c>
      <c r="O159" s="125" t="str">
        <f>IF(Ujian!O166="","",IF(LEFT(Ujian!O166,1)=SEKOR!O$2,1,0))</f>
        <v/>
      </c>
      <c r="P159" s="125" t="str">
        <f>IF(Ujian!P166="","",IF(LEFT(Ujian!P166,1)=SEKOR!P$2,1,0))</f>
        <v/>
      </c>
      <c r="Q159" s="125" t="str">
        <f>IF(Ujian!Q166="","",IF(LEFT(Ujian!Q166,1)=SEKOR!Q$2,1,0))</f>
        <v/>
      </c>
      <c r="R159" s="125" t="str">
        <f>IF(Ujian!R166="","",IF(LEFT(Ujian!R166,1)=SEKOR!R$2,1,0))</f>
        <v/>
      </c>
      <c r="S159" s="125" t="str">
        <f>IF(Ujian!S166="","",IF(LEFT(Ujian!S166,1)=SEKOR!S$2,1,0))</f>
        <v/>
      </c>
      <c r="T159" s="125" t="str">
        <f>IF(Ujian!T166="","",IF(LEFT(Ujian!T166,1)=SEKOR!T$2,1,0))</f>
        <v/>
      </c>
      <c r="U159" s="125" t="str">
        <f>IF(Ujian!U166="","",IF(LEFT(Ujian!U166,1)=SEKOR!U$2,1,0))</f>
        <v/>
      </c>
      <c r="V159" s="125" t="str">
        <f>IF(Ujian!V166="","",IF(LEFT(Ujian!V166,1)=SEKOR!V$2,1,0))</f>
        <v/>
      </c>
      <c r="W159" s="125" t="str">
        <f>IF(Ujian!W166="","",IF(LEFT(Ujian!W166,1)=SEKOR!W$2,1,0))</f>
        <v/>
      </c>
      <c r="X159" s="125" t="str">
        <f>IF(Ujian!X166="","",IF(LEFT(Ujian!X166,1)=SEKOR!X$2,1,0))</f>
        <v/>
      </c>
      <c r="Y159" s="125" t="str">
        <f>IF(Ujian!Y166="","",IF(LEFT(Ujian!Y166,1)=SEKOR!Y$2,1,0))</f>
        <v/>
      </c>
      <c r="Z159" s="125" t="str">
        <f>IF(Ujian!Z166="","",IF(LEFT(Ujian!Z166,1)=SEKOR!Z$2,1,0))</f>
        <v/>
      </c>
      <c r="AA159" s="125" t="str">
        <f>IF(Ujian!AA166="","",IF(LEFT(Ujian!AA166,1)=SEKOR!AA$2,1,0))</f>
        <v/>
      </c>
      <c r="AB159" s="125" t="str">
        <f>IF(Ujian!AB166="","",IF(LEFT(Ujian!AB166,1)=SEKOR!AB$2,1,0))</f>
        <v/>
      </c>
      <c r="AC159" s="125" t="str">
        <f>IF(Ujian!AC166="","",IF(LEFT(Ujian!AC166,1)=SEKOR!AC$2,1,0))</f>
        <v/>
      </c>
      <c r="AD159" s="125" t="str">
        <f>IF(Ujian!AD166="","",IF(LEFT(Ujian!AD166,1)=SEKOR!AD$2,1,0))</f>
        <v/>
      </c>
      <c r="AE159" s="125" t="str">
        <f>IF(Ujian!AE166="","",IF(LEFT(Ujian!AE166,1)=SEKOR!AE$2,1,0))</f>
        <v/>
      </c>
      <c r="AF159" s="125" t="str">
        <f>IF(Ujian!AF166="","",IF(LEFT(Ujian!AF166,1)=SEKOR!AF$2,1,0))</f>
        <v/>
      </c>
      <c r="AG159" s="125" t="str">
        <f>IF(Ujian!AG166="","",IF(LEFT(Ujian!AG166,1)=SEKOR!AG$2,1,0))</f>
        <v/>
      </c>
      <c r="AH159" s="125" t="str">
        <f>IF(Ujian!AH166="","",IF(LEFT(Ujian!AH166,1)=SEKOR!AH$2,1,0))</f>
        <v/>
      </c>
      <c r="AI159" s="125" t="str">
        <f>IF(Ujian!AI166="","",IF(LEFT(Ujian!AI166,1)=SEKOR!AI$2,1,0))</f>
        <v/>
      </c>
      <c r="AJ159" s="125" t="str">
        <f>IF(Ujian!AJ166="","",IF(LEFT(Ujian!AJ166,1)=SEKOR!AJ$2,1,0))</f>
        <v/>
      </c>
      <c r="AK159" s="125" t="str">
        <f>IF(Ujian!AK166="","",IF(LEFT(Ujian!AK166,1)=SEKOR!AK$2,1,0))</f>
        <v/>
      </c>
      <c r="AL159" s="125" t="str">
        <f>IF(Ujian!AL166="","",IF(LEFT(Ujian!AL166,1)=SEKOR!AL$2,1,0))</f>
        <v/>
      </c>
      <c r="AM159" s="125" t="str">
        <f>IF(Ujian!AM166="","",IF(LEFT(Ujian!AM166,1)=SEKOR!AM$2,1,0))</f>
        <v/>
      </c>
      <c r="AN159" s="125" t="str">
        <f>IF(Ujian!AN166="","",IF(LEFT(Ujian!AN166,1)=SEKOR!AN$2,1,0))</f>
        <v/>
      </c>
      <c r="AO159" s="125" t="str">
        <f>IF(Ujian!AO166="","",IF(LEFT(Ujian!AO166,1)=SEKOR!AO$2,1,0))</f>
        <v/>
      </c>
      <c r="AP159" s="125" t="str">
        <f>IF(Ujian!AP166="","",IF(LEFT(Ujian!AP166,1)=SEKOR!AP$2,1,0))</f>
        <v/>
      </c>
      <c r="AQ159" s="125" t="str">
        <f>IF(Ujian!AQ166="","",IF(LEFT(Ujian!AQ166,1)=SEKOR!AQ$2,1,0))</f>
        <v/>
      </c>
      <c r="AR159" s="125" t="str">
        <f>IF(Ujian!AR166="","",IF(LEFT(Ujian!AR166,1)=SEKOR!AR$2,1,0))</f>
        <v/>
      </c>
      <c r="AS159" s="125" t="str">
        <f>IF(Ujian!AS166="","",IF(LEFT(Ujian!AS166,1)=SEKOR!AS$2,1,0))</f>
        <v/>
      </c>
      <c r="AT159" s="125" t="str">
        <f>IF(Ujian!AT166="","",IF(LEFT(Ujian!AT166,1)=SEKOR!AT$2,1,0))</f>
        <v/>
      </c>
      <c r="AU159" s="125" t="str">
        <f>IF(Ujian!AU166="","",IF(LEFT(Ujian!AU166,1)=SEKOR!AU$2,1,0))</f>
        <v/>
      </c>
      <c r="AV159" s="125" t="str">
        <f>IF(Ujian!AV166="","",IF(LEFT(Ujian!AV166,1)=SEKOR!AV$2,1,0))</f>
        <v/>
      </c>
      <c r="AW159" s="125" t="str">
        <f>IF(Ujian!AW166="","",IF(LEFT(Ujian!AW166,1)=SEKOR!AW$2,1,0))</f>
        <v/>
      </c>
      <c r="AX159" s="125" t="str">
        <f>IF(Ujian!AX166="","",IF(LEFT(Ujian!AX166,1)=SEKOR!AX$2,1,0))</f>
        <v/>
      </c>
      <c r="AY159" s="125" t="str">
        <f>IF(Ujian!AY166="","",IF(LEFT(Ujian!AY166,1)=SEKOR!AY$2,1,0))</f>
        <v/>
      </c>
      <c r="AZ159" s="125" t="str">
        <f>IF(Ujian!AZ166="","",IF(LEFT(Ujian!AZ166,1)=SEKOR!AZ$2,1,0))</f>
        <v/>
      </c>
      <c r="BA159" s="125" t="str">
        <f>IF(Ujian!BA166="","",IF(LEFT(Ujian!BA166,1)=SEKOR!BA$2,1,0))</f>
        <v/>
      </c>
      <c r="BB159" s="125" t="str">
        <f>IF(Ujian!BB166="","",IF(LEFT(Ujian!BB166,1)=SEKOR!BB$2,1,0))</f>
        <v/>
      </c>
      <c r="BC159" s="125" t="str">
        <f>IF(Ujian!BC166="","",IF(LEFT(Ujian!BC166,1)=SEKOR!BC$2,1,0))</f>
        <v/>
      </c>
      <c r="BD159" s="125" t="str">
        <f>IF(Ujian!BD166="","",IF(LEFT(Ujian!BD166,1)=SEKOR!BD$2,1,0))</f>
        <v/>
      </c>
      <c r="BE159" s="125" t="str">
        <f>IF(Ujian!BE166="","",IF(LEFT(Ujian!BE166,1)=SEKOR!BE$2,1,0))</f>
        <v/>
      </c>
      <c r="BF159" s="125" t="str">
        <f>IF(Ujian!BF166="","",IF(LEFT(Ujian!BF166,1)=SEKOR!BF$2,1,0))</f>
        <v/>
      </c>
      <c r="BG159" s="125" t="str">
        <f>IF(Ujian!BG166="","",IF(LEFT(Ujian!BG166,1)=SEKOR!BG$2,1,0))</f>
        <v/>
      </c>
      <c r="BH159" s="125" t="str">
        <f>IF(Ujian!BH166="","",IF(LEFT(Ujian!BH166,1)=SEKOR!BH$2,1,0))</f>
        <v/>
      </c>
      <c r="BI159" s="125" t="str">
        <f>IF(Ujian!BI166="","",IF(LEFT(Ujian!BI166,1)=SEKOR!BI$2,1,0))</f>
        <v/>
      </c>
      <c r="BJ159" s="125" t="str">
        <f>IF(Ujian!BJ166="","",IF(LEFT(Ujian!BJ166,1)=SEKOR!BJ$2,1,0))</f>
        <v/>
      </c>
      <c r="BK159" s="125" t="str">
        <f>IF(Ujian!BK166="","",IF(LEFT(Ujian!BK166,1)=SEKOR!BK$2,1,0))</f>
        <v/>
      </c>
      <c r="BL159" s="18">
        <f t="shared" si="4"/>
        <v>0</v>
      </c>
      <c r="BM159" s="18">
        <f>COUNTIF($D159:$BK159,"")+DATA!$F$14-DATA!$F$12</f>
        <v>60</v>
      </c>
      <c r="BN159" s="17">
        <f>IF(COUNTIF($D159:$BK159,1)&gt;DATA!$F$14,DATA!$F$14,COUNTIF($D159:$BK159,1))</f>
        <v>0</v>
      </c>
      <c r="BO159" s="17">
        <f>IF((BN159+COUNTIF($D159:$BK159,0))&lt;=DATA!$F$14,COUNTIF($D159:$BK159,0),DATA!$F$14-SEKOR!BN159)</f>
        <v>0</v>
      </c>
      <c r="BP159" s="4" t="str">
        <f>IF(BL159=0,"",BN159/DATA!$F$14*100)</f>
        <v/>
      </c>
      <c r="BQ159" s="121" t="str">
        <f t="shared" si="5"/>
        <v/>
      </c>
      <c r="BR159" s="2" t="str">
        <f>IF(Praktik!$E159=0,"",Praktik!$E159)</f>
        <v/>
      </c>
      <c r="BS159" s="2" t="str">
        <f>IF(BR159="","",(BP159*DATAINFO!$O$4)+(SEKOR!BR159*DATAINFO!$O$5)/(DATAINFO!$O$4+DATAINFO!$O$5))</f>
        <v/>
      </c>
      <c r="BT159" s="2" t="str">
        <f>IF(BL159=0,"",IF(DATA!$F$18="TIDAK",ROUNDUP((IF!$L$8*SEKOR!$BP159)+IF!$L$9,0),IF($BR159="","",ROUNDUP((IF!$L$20*$BS159)+IF!$L$21,0))))</f>
        <v/>
      </c>
      <c r="BU159" s="47" t="str">
        <f>IF(BP159="","",IF(SEKOR!BP159&gt;=DATA!$J$12,1,0))</f>
        <v/>
      </c>
      <c r="BV159" s="47" t="str">
        <f>IF(BQ159="","",IF(SEKOR!BQ159&gt;=DATA!$J$12,1,0))</f>
        <v/>
      </c>
      <c r="BW159" s="47" t="str">
        <f>IF(BR159="","",IF(SEKOR!BR159&gt;=DATA!$J$12,1,0))</f>
        <v/>
      </c>
      <c r="BX159" s="47" t="str">
        <f>IF(BT159="","",IF(DATA!$J$14="",IF(SEKOR!BT159&gt;=DATA!$J$12,1,0),IF(SEKOR!BT159&gt;=DATA!$J$14,1,0)))</f>
        <v/>
      </c>
    </row>
    <row r="160" spans="1:76" x14ac:dyDescent="0.25">
      <c r="A160" s="20" t="s">
        <v>187</v>
      </c>
      <c r="B160" s="21" t="str">
        <f>IF(Ujian!B167="","",Ujian!B167)</f>
        <v/>
      </c>
      <c r="C160" s="57" t="str">
        <f>IF(Ujian!C167="","",Ujian!C167)</f>
        <v/>
      </c>
      <c r="D160" s="125" t="str">
        <f>IF(Ujian!D167="","",IF(LEFT(Ujian!D167,1)=SEKOR!D$2,1,0))</f>
        <v/>
      </c>
      <c r="E160" s="125" t="str">
        <f>IF(Ujian!E167="","",IF(LEFT(Ujian!E167,1)=SEKOR!E$2,1,0))</f>
        <v/>
      </c>
      <c r="F160" s="125" t="str">
        <f>IF(Ujian!F167="","",IF(LEFT(Ujian!F167,1)=SEKOR!F$2,1,0))</f>
        <v/>
      </c>
      <c r="G160" s="125" t="str">
        <f>IF(Ujian!G167="","",IF(LEFT(Ujian!G167,1)=SEKOR!G$2,1,0))</f>
        <v/>
      </c>
      <c r="H160" s="125" t="str">
        <f>IF(Ujian!H167="","",IF(LEFT(Ujian!H167,1)=SEKOR!H$2,1,0))</f>
        <v/>
      </c>
      <c r="I160" s="125" t="str">
        <f>IF(Ujian!I167="","",IF(LEFT(Ujian!I167,1)=SEKOR!I$2,1,0))</f>
        <v/>
      </c>
      <c r="J160" s="125" t="str">
        <f>IF(Ujian!J167="","",IF(LEFT(Ujian!J167,1)=SEKOR!J$2,1,0))</f>
        <v/>
      </c>
      <c r="K160" s="125" t="str">
        <f>IF(Ujian!K167="","",IF(LEFT(Ujian!K167,1)=SEKOR!K$2,1,0))</f>
        <v/>
      </c>
      <c r="L160" s="125" t="str">
        <f>IF(Ujian!L167="","",IF(LEFT(Ujian!L167,1)=SEKOR!L$2,1,0))</f>
        <v/>
      </c>
      <c r="M160" s="125" t="str">
        <f>IF(Ujian!M167="","",IF(LEFT(Ujian!M167,1)=SEKOR!M$2,1,0))</f>
        <v/>
      </c>
      <c r="N160" s="125" t="str">
        <f>IF(Ujian!N167="","",IF(LEFT(Ujian!N167,1)=SEKOR!N$2,1,0))</f>
        <v/>
      </c>
      <c r="O160" s="125" t="str">
        <f>IF(Ujian!O167="","",IF(LEFT(Ujian!O167,1)=SEKOR!O$2,1,0))</f>
        <v/>
      </c>
      <c r="P160" s="125" t="str">
        <f>IF(Ujian!P167="","",IF(LEFT(Ujian!P167,1)=SEKOR!P$2,1,0))</f>
        <v/>
      </c>
      <c r="Q160" s="125" t="str">
        <f>IF(Ujian!Q167="","",IF(LEFT(Ujian!Q167,1)=SEKOR!Q$2,1,0))</f>
        <v/>
      </c>
      <c r="R160" s="125" t="str">
        <f>IF(Ujian!R167="","",IF(LEFT(Ujian!R167,1)=SEKOR!R$2,1,0))</f>
        <v/>
      </c>
      <c r="S160" s="125" t="str">
        <f>IF(Ujian!S167="","",IF(LEFT(Ujian!S167,1)=SEKOR!S$2,1,0))</f>
        <v/>
      </c>
      <c r="T160" s="125" t="str">
        <f>IF(Ujian!T167="","",IF(LEFT(Ujian!T167,1)=SEKOR!T$2,1,0))</f>
        <v/>
      </c>
      <c r="U160" s="125" t="str">
        <f>IF(Ujian!U167="","",IF(LEFT(Ujian!U167,1)=SEKOR!U$2,1,0))</f>
        <v/>
      </c>
      <c r="V160" s="125" t="str">
        <f>IF(Ujian!V167="","",IF(LEFT(Ujian!V167,1)=SEKOR!V$2,1,0))</f>
        <v/>
      </c>
      <c r="W160" s="125" t="str">
        <f>IF(Ujian!W167="","",IF(LEFT(Ujian!W167,1)=SEKOR!W$2,1,0))</f>
        <v/>
      </c>
      <c r="X160" s="125" t="str">
        <f>IF(Ujian!X167="","",IF(LEFT(Ujian!X167,1)=SEKOR!X$2,1,0))</f>
        <v/>
      </c>
      <c r="Y160" s="125" t="str">
        <f>IF(Ujian!Y167="","",IF(LEFT(Ujian!Y167,1)=SEKOR!Y$2,1,0))</f>
        <v/>
      </c>
      <c r="Z160" s="125" t="str">
        <f>IF(Ujian!Z167="","",IF(LEFT(Ujian!Z167,1)=SEKOR!Z$2,1,0))</f>
        <v/>
      </c>
      <c r="AA160" s="125" t="str">
        <f>IF(Ujian!AA167="","",IF(LEFT(Ujian!AA167,1)=SEKOR!AA$2,1,0))</f>
        <v/>
      </c>
      <c r="AB160" s="125" t="str">
        <f>IF(Ujian!AB167="","",IF(LEFT(Ujian!AB167,1)=SEKOR!AB$2,1,0))</f>
        <v/>
      </c>
      <c r="AC160" s="125" t="str">
        <f>IF(Ujian!AC167="","",IF(LEFT(Ujian!AC167,1)=SEKOR!AC$2,1,0))</f>
        <v/>
      </c>
      <c r="AD160" s="125" t="str">
        <f>IF(Ujian!AD167="","",IF(LEFT(Ujian!AD167,1)=SEKOR!AD$2,1,0))</f>
        <v/>
      </c>
      <c r="AE160" s="125" t="str">
        <f>IF(Ujian!AE167="","",IF(LEFT(Ujian!AE167,1)=SEKOR!AE$2,1,0))</f>
        <v/>
      </c>
      <c r="AF160" s="125" t="str">
        <f>IF(Ujian!AF167="","",IF(LEFT(Ujian!AF167,1)=SEKOR!AF$2,1,0))</f>
        <v/>
      </c>
      <c r="AG160" s="125" t="str">
        <f>IF(Ujian!AG167="","",IF(LEFT(Ujian!AG167,1)=SEKOR!AG$2,1,0))</f>
        <v/>
      </c>
      <c r="AH160" s="125" t="str">
        <f>IF(Ujian!AH167="","",IF(LEFT(Ujian!AH167,1)=SEKOR!AH$2,1,0))</f>
        <v/>
      </c>
      <c r="AI160" s="125" t="str">
        <f>IF(Ujian!AI167="","",IF(LEFT(Ujian!AI167,1)=SEKOR!AI$2,1,0))</f>
        <v/>
      </c>
      <c r="AJ160" s="125" t="str">
        <f>IF(Ujian!AJ167="","",IF(LEFT(Ujian!AJ167,1)=SEKOR!AJ$2,1,0))</f>
        <v/>
      </c>
      <c r="AK160" s="125" t="str">
        <f>IF(Ujian!AK167="","",IF(LEFT(Ujian!AK167,1)=SEKOR!AK$2,1,0))</f>
        <v/>
      </c>
      <c r="AL160" s="125" t="str">
        <f>IF(Ujian!AL167="","",IF(LEFT(Ujian!AL167,1)=SEKOR!AL$2,1,0))</f>
        <v/>
      </c>
      <c r="AM160" s="125" t="str">
        <f>IF(Ujian!AM167="","",IF(LEFT(Ujian!AM167,1)=SEKOR!AM$2,1,0))</f>
        <v/>
      </c>
      <c r="AN160" s="125" t="str">
        <f>IF(Ujian!AN167="","",IF(LEFT(Ujian!AN167,1)=SEKOR!AN$2,1,0))</f>
        <v/>
      </c>
      <c r="AO160" s="125" t="str">
        <f>IF(Ujian!AO167="","",IF(LEFT(Ujian!AO167,1)=SEKOR!AO$2,1,0))</f>
        <v/>
      </c>
      <c r="AP160" s="125" t="str">
        <f>IF(Ujian!AP167="","",IF(LEFT(Ujian!AP167,1)=SEKOR!AP$2,1,0))</f>
        <v/>
      </c>
      <c r="AQ160" s="125" t="str">
        <f>IF(Ujian!AQ167="","",IF(LEFT(Ujian!AQ167,1)=SEKOR!AQ$2,1,0))</f>
        <v/>
      </c>
      <c r="AR160" s="125" t="str">
        <f>IF(Ujian!AR167="","",IF(LEFT(Ujian!AR167,1)=SEKOR!AR$2,1,0))</f>
        <v/>
      </c>
      <c r="AS160" s="125" t="str">
        <f>IF(Ujian!AS167="","",IF(LEFT(Ujian!AS167,1)=SEKOR!AS$2,1,0))</f>
        <v/>
      </c>
      <c r="AT160" s="125" t="str">
        <f>IF(Ujian!AT167="","",IF(LEFT(Ujian!AT167,1)=SEKOR!AT$2,1,0))</f>
        <v/>
      </c>
      <c r="AU160" s="125" t="str">
        <f>IF(Ujian!AU167="","",IF(LEFT(Ujian!AU167,1)=SEKOR!AU$2,1,0))</f>
        <v/>
      </c>
      <c r="AV160" s="125" t="str">
        <f>IF(Ujian!AV167="","",IF(LEFT(Ujian!AV167,1)=SEKOR!AV$2,1,0))</f>
        <v/>
      </c>
      <c r="AW160" s="125" t="str">
        <f>IF(Ujian!AW167="","",IF(LEFT(Ujian!AW167,1)=SEKOR!AW$2,1,0))</f>
        <v/>
      </c>
      <c r="AX160" s="125" t="str">
        <f>IF(Ujian!AX167="","",IF(LEFT(Ujian!AX167,1)=SEKOR!AX$2,1,0))</f>
        <v/>
      </c>
      <c r="AY160" s="125" t="str">
        <f>IF(Ujian!AY167="","",IF(LEFT(Ujian!AY167,1)=SEKOR!AY$2,1,0))</f>
        <v/>
      </c>
      <c r="AZ160" s="125" t="str">
        <f>IF(Ujian!AZ167="","",IF(LEFT(Ujian!AZ167,1)=SEKOR!AZ$2,1,0))</f>
        <v/>
      </c>
      <c r="BA160" s="125" t="str">
        <f>IF(Ujian!BA167="","",IF(LEFT(Ujian!BA167,1)=SEKOR!BA$2,1,0))</f>
        <v/>
      </c>
      <c r="BB160" s="125" t="str">
        <f>IF(Ujian!BB167="","",IF(LEFT(Ujian!BB167,1)=SEKOR!BB$2,1,0))</f>
        <v/>
      </c>
      <c r="BC160" s="125" t="str">
        <f>IF(Ujian!BC167="","",IF(LEFT(Ujian!BC167,1)=SEKOR!BC$2,1,0))</f>
        <v/>
      </c>
      <c r="BD160" s="125" t="str">
        <f>IF(Ujian!BD167="","",IF(LEFT(Ujian!BD167,1)=SEKOR!BD$2,1,0))</f>
        <v/>
      </c>
      <c r="BE160" s="125" t="str">
        <f>IF(Ujian!BE167="","",IF(LEFT(Ujian!BE167,1)=SEKOR!BE$2,1,0))</f>
        <v/>
      </c>
      <c r="BF160" s="125" t="str">
        <f>IF(Ujian!BF167="","",IF(LEFT(Ujian!BF167,1)=SEKOR!BF$2,1,0))</f>
        <v/>
      </c>
      <c r="BG160" s="125" t="str">
        <f>IF(Ujian!BG167="","",IF(LEFT(Ujian!BG167,1)=SEKOR!BG$2,1,0))</f>
        <v/>
      </c>
      <c r="BH160" s="125" t="str">
        <f>IF(Ujian!BH167="","",IF(LEFT(Ujian!BH167,1)=SEKOR!BH$2,1,0))</f>
        <v/>
      </c>
      <c r="BI160" s="125" t="str">
        <f>IF(Ujian!BI167="","",IF(LEFT(Ujian!BI167,1)=SEKOR!BI$2,1,0))</f>
        <v/>
      </c>
      <c r="BJ160" s="125" t="str">
        <f>IF(Ujian!BJ167="","",IF(LEFT(Ujian!BJ167,1)=SEKOR!BJ$2,1,0))</f>
        <v/>
      </c>
      <c r="BK160" s="125" t="str">
        <f>IF(Ujian!BK167="","",IF(LEFT(Ujian!BK167,1)=SEKOR!BK$2,1,0))</f>
        <v/>
      </c>
      <c r="BL160" s="18">
        <f t="shared" si="4"/>
        <v>0</v>
      </c>
      <c r="BM160" s="18">
        <f>COUNTIF($D160:$BK160,"")+DATA!$F$14-DATA!$F$12</f>
        <v>60</v>
      </c>
      <c r="BN160" s="17">
        <f>IF(COUNTIF($D160:$BK160,1)&gt;DATA!$F$14,DATA!$F$14,COUNTIF($D160:$BK160,1))</f>
        <v>0</v>
      </c>
      <c r="BO160" s="17">
        <f>IF((BN160+COUNTIF($D160:$BK160,0))&lt;=DATA!$F$14,COUNTIF($D160:$BK160,0),DATA!$F$14-SEKOR!BN160)</f>
        <v>0</v>
      </c>
      <c r="BP160" s="4" t="str">
        <f>IF(BL160=0,"",BN160/DATA!$F$14*100)</f>
        <v/>
      </c>
      <c r="BQ160" s="121" t="str">
        <f t="shared" si="5"/>
        <v/>
      </c>
      <c r="BR160" s="2" t="str">
        <f>IF(Praktik!$E160=0,"",Praktik!$E160)</f>
        <v/>
      </c>
      <c r="BS160" s="2" t="str">
        <f>IF(BR160="","",(BP160*DATAINFO!$O$4)+(SEKOR!BR160*DATAINFO!$O$5)/(DATAINFO!$O$4+DATAINFO!$O$5))</f>
        <v/>
      </c>
      <c r="BT160" s="2" t="str">
        <f>IF(BL160=0,"",IF(DATA!$F$18="TIDAK",ROUNDUP((IF!$L$8*SEKOR!$BP160)+IF!$L$9,0),IF($BR160="","",ROUNDUP((IF!$L$20*$BS160)+IF!$L$21,0))))</f>
        <v/>
      </c>
      <c r="BU160" s="47" t="str">
        <f>IF(BP160="","",IF(SEKOR!BP160&gt;=DATA!$J$12,1,0))</f>
        <v/>
      </c>
      <c r="BV160" s="47" t="str">
        <f>IF(BQ160="","",IF(SEKOR!BQ160&gt;=DATA!$J$12,1,0))</f>
        <v/>
      </c>
      <c r="BW160" s="47" t="str">
        <f>IF(BR160="","",IF(SEKOR!BR160&gt;=DATA!$J$12,1,0))</f>
        <v/>
      </c>
      <c r="BX160" s="47" t="str">
        <f>IF(BT160="","",IF(DATA!$J$14="",IF(SEKOR!BT160&gt;=DATA!$J$12,1,0),IF(SEKOR!BT160&gt;=DATA!$J$14,1,0)))</f>
        <v/>
      </c>
    </row>
    <row r="161" spans="1:76" x14ac:dyDescent="0.25">
      <c r="A161" s="20" t="s">
        <v>188</v>
      </c>
      <c r="B161" s="21" t="str">
        <f>IF(Ujian!B168="","",Ujian!B168)</f>
        <v/>
      </c>
      <c r="C161" s="57" t="str">
        <f>IF(Ujian!C168="","",Ujian!C168)</f>
        <v/>
      </c>
      <c r="D161" s="125" t="str">
        <f>IF(Ujian!D168="","",IF(LEFT(Ujian!D168,1)=SEKOR!D$2,1,0))</f>
        <v/>
      </c>
      <c r="E161" s="125" t="str">
        <f>IF(Ujian!E168="","",IF(LEFT(Ujian!E168,1)=SEKOR!E$2,1,0))</f>
        <v/>
      </c>
      <c r="F161" s="125" t="str">
        <f>IF(Ujian!F168="","",IF(LEFT(Ujian!F168,1)=SEKOR!F$2,1,0))</f>
        <v/>
      </c>
      <c r="G161" s="125" t="str">
        <f>IF(Ujian!G168="","",IF(LEFT(Ujian!G168,1)=SEKOR!G$2,1,0))</f>
        <v/>
      </c>
      <c r="H161" s="125" t="str">
        <f>IF(Ujian!H168="","",IF(LEFT(Ujian!H168,1)=SEKOR!H$2,1,0))</f>
        <v/>
      </c>
      <c r="I161" s="125" t="str">
        <f>IF(Ujian!I168="","",IF(LEFT(Ujian!I168,1)=SEKOR!I$2,1,0))</f>
        <v/>
      </c>
      <c r="J161" s="125" t="str">
        <f>IF(Ujian!J168="","",IF(LEFT(Ujian!J168,1)=SEKOR!J$2,1,0))</f>
        <v/>
      </c>
      <c r="K161" s="125" t="str">
        <f>IF(Ujian!K168="","",IF(LEFT(Ujian!K168,1)=SEKOR!K$2,1,0))</f>
        <v/>
      </c>
      <c r="L161" s="125" t="str">
        <f>IF(Ujian!L168="","",IF(LEFT(Ujian!L168,1)=SEKOR!L$2,1,0))</f>
        <v/>
      </c>
      <c r="M161" s="125" t="str">
        <f>IF(Ujian!M168="","",IF(LEFT(Ujian!M168,1)=SEKOR!M$2,1,0))</f>
        <v/>
      </c>
      <c r="N161" s="125" t="str">
        <f>IF(Ujian!N168="","",IF(LEFT(Ujian!N168,1)=SEKOR!N$2,1,0))</f>
        <v/>
      </c>
      <c r="O161" s="125" t="str">
        <f>IF(Ujian!O168="","",IF(LEFT(Ujian!O168,1)=SEKOR!O$2,1,0))</f>
        <v/>
      </c>
      <c r="P161" s="125" t="str">
        <f>IF(Ujian!P168="","",IF(LEFT(Ujian!P168,1)=SEKOR!P$2,1,0))</f>
        <v/>
      </c>
      <c r="Q161" s="125" t="str">
        <f>IF(Ujian!Q168="","",IF(LEFT(Ujian!Q168,1)=SEKOR!Q$2,1,0))</f>
        <v/>
      </c>
      <c r="R161" s="125" t="str">
        <f>IF(Ujian!R168="","",IF(LEFT(Ujian!R168,1)=SEKOR!R$2,1,0))</f>
        <v/>
      </c>
      <c r="S161" s="125" t="str">
        <f>IF(Ujian!S168="","",IF(LEFT(Ujian!S168,1)=SEKOR!S$2,1,0))</f>
        <v/>
      </c>
      <c r="T161" s="125" t="str">
        <f>IF(Ujian!T168="","",IF(LEFT(Ujian!T168,1)=SEKOR!T$2,1,0))</f>
        <v/>
      </c>
      <c r="U161" s="125" t="str">
        <f>IF(Ujian!U168="","",IF(LEFT(Ujian!U168,1)=SEKOR!U$2,1,0))</f>
        <v/>
      </c>
      <c r="V161" s="125" t="str">
        <f>IF(Ujian!V168="","",IF(LEFT(Ujian!V168,1)=SEKOR!V$2,1,0))</f>
        <v/>
      </c>
      <c r="W161" s="125" t="str">
        <f>IF(Ujian!W168="","",IF(LEFT(Ujian!W168,1)=SEKOR!W$2,1,0))</f>
        <v/>
      </c>
      <c r="X161" s="125" t="str">
        <f>IF(Ujian!X168="","",IF(LEFT(Ujian!X168,1)=SEKOR!X$2,1,0))</f>
        <v/>
      </c>
      <c r="Y161" s="125" t="str">
        <f>IF(Ujian!Y168="","",IF(LEFT(Ujian!Y168,1)=SEKOR!Y$2,1,0))</f>
        <v/>
      </c>
      <c r="Z161" s="125" t="str">
        <f>IF(Ujian!Z168="","",IF(LEFT(Ujian!Z168,1)=SEKOR!Z$2,1,0))</f>
        <v/>
      </c>
      <c r="AA161" s="125" t="str">
        <f>IF(Ujian!AA168="","",IF(LEFT(Ujian!AA168,1)=SEKOR!AA$2,1,0))</f>
        <v/>
      </c>
      <c r="AB161" s="125" t="str">
        <f>IF(Ujian!AB168="","",IF(LEFT(Ujian!AB168,1)=SEKOR!AB$2,1,0))</f>
        <v/>
      </c>
      <c r="AC161" s="125" t="str">
        <f>IF(Ujian!AC168="","",IF(LEFT(Ujian!AC168,1)=SEKOR!AC$2,1,0))</f>
        <v/>
      </c>
      <c r="AD161" s="125" t="str">
        <f>IF(Ujian!AD168="","",IF(LEFT(Ujian!AD168,1)=SEKOR!AD$2,1,0))</f>
        <v/>
      </c>
      <c r="AE161" s="125" t="str">
        <f>IF(Ujian!AE168="","",IF(LEFT(Ujian!AE168,1)=SEKOR!AE$2,1,0))</f>
        <v/>
      </c>
      <c r="AF161" s="125" t="str">
        <f>IF(Ujian!AF168="","",IF(LEFT(Ujian!AF168,1)=SEKOR!AF$2,1,0))</f>
        <v/>
      </c>
      <c r="AG161" s="125" t="str">
        <f>IF(Ujian!AG168="","",IF(LEFT(Ujian!AG168,1)=SEKOR!AG$2,1,0))</f>
        <v/>
      </c>
      <c r="AH161" s="125" t="str">
        <f>IF(Ujian!AH168="","",IF(LEFT(Ujian!AH168,1)=SEKOR!AH$2,1,0))</f>
        <v/>
      </c>
      <c r="AI161" s="125" t="str">
        <f>IF(Ujian!AI168="","",IF(LEFT(Ujian!AI168,1)=SEKOR!AI$2,1,0))</f>
        <v/>
      </c>
      <c r="AJ161" s="125" t="str">
        <f>IF(Ujian!AJ168="","",IF(LEFT(Ujian!AJ168,1)=SEKOR!AJ$2,1,0))</f>
        <v/>
      </c>
      <c r="AK161" s="125" t="str">
        <f>IF(Ujian!AK168="","",IF(LEFT(Ujian!AK168,1)=SEKOR!AK$2,1,0))</f>
        <v/>
      </c>
      <c r="AL161" s="125" t="str">
        <f>IF(Ujian!AL168="","",IF(LEFT(Ujian!AL168,1)=SEKOR!AL$2,1,0))</f>
        <v/>
      </c>
      <c r="AM161" s="125" t="str">
        <f>IF(Ujian!AM168="","",IF(LEFT(Ujian!AM168,1)=SEKOR!AM$2,1,0))</f>
        <v/>
      </c>
      <c r="AN161" s="125" t="str">
        <f>IF(Ujian!AN168="","",IF(LEFT(Ujian!AN168,1)=SEKOR!AN$2,1,0))</f>
        <v/>
      </c>
      <c r="AO161" s="125" t="str">
        <f>IF(Ujian!AO168="","",IF(LEFT(Ujian!AO168,1)=SEKOR!AO$2,1,0))</f>
        <v/>
      </c>
      <c r="AP161" s="125" t="str">
        <f>IF(Ujian!AP168="","",IF(LEFT(Ujian!AP168,1)=SEKOR!AP$2,1,0))</f>
        <v/>
      </c>
      <c r="AQ161" s="125" t="str">
        <f>IF(Ujian!AQ168="","",IF(LEFT(Ujian!AQ168,1)=SEKOR!AQ$2,1,0))</f>
        <v/>
      </c>
      <c r="AR161" s="125" t="str">
        <f>IF(Ujian!AR168="","",IF(LEFT(Ujian!AR168,1)=SEKOR!AR$2,1,0))</f>
        <v/>
      </c>
      <c r="AS161" s="125" t="str">
        <f>IF(Ujian!AS168="","",IF(LEFT(Ujian!AS168,1)=SEKOR!AS$2,1,0))</f>
        <v/>
      </c>
      <c r="AT161" s="125" t="str">
        <f>IF(Ujian!AT168="","",IF(LEFT(Ujian!AT168,1)=SEKOR!AT$2,1,0))</f>
        <v/>
      </c>
      <c r="AU161" s="125" t="str">
        <f>IF(Ujian!AU168="","",IF(LEFT(Ujian!AU168,1)=SEKOR!AU$2,1,0))</f>
        <v/>
      </c>
      <c r="AV161" s="125" t="str">
        <f>IF(Ujian!AV168="","",IF(LEFT(Ujian!AV168,1)=SEKOR!AV$2,1,0))</f>
        <v/>
      </c>
      <c r="AW161" s="125" t="str">
        <f>IF(Ujian!AW168="","",IF(LEFT(Ujian!AW168,1)=SEKOR!AW$2,1,0))</f>
        <v/>
      </c>
      <c r="AX161" s="125" t="str">
        <f>IF(Ujian!AX168="","",IF(LEFT(Ujian!AX168,1)=SEKOR!AX$2,1,0))</f>
        <v/>
      </c>
      <c r="AY161" s="125" t="str">
        <f>IF(Ujian!AY168="","",IF(LEFT(Ujian!AY168,1)=SEKOR!AY$2,1,0))</f>
        <v/>
      </c>
      <c r="AZ161" s="125" t="str">
        <f>IF(Ujian!AZ168="","",IF(LEFT(Ujian!AZ168,1)=SEKOR!AZ$2,1,0))</f>
        <v/>
      </c>
      <c r="BA161" s="125" t="str">
        <f>IF(Ujian!BA168="","",IF(LEFT(Ujian!BA168,1)=SEKOR!BA$2,1,0))</f>
        <v/>
      </c>
      <c r="BB161" s="125" t="str">
        <f>IF(Ujian!BB168="","",IF(LEFT(Ujian!BB168,1)=SEKOR!BB$2,1,0))</f>
        <v/>
      </c>
      <c r="BC161" s="125" t="str">
        <f>IF(Ujian!BC168="","",IF(LEFT(Ujian!BC168,1)=SEKOR!BC$2,1,0))</f>
        <v/>
      </c>
      <c r="BD161" s="125" t="str">
        <f>IF(Ujian!BD168="","",IF(LEFT(Ujian!BD168,1)=SEKOR!BD$2,1,0))</f>
        <v/>
      </c>
      <c r="BE161" s="125" t="str">
        <f>IF(Ujian!BE168="","",IF(LEFT(Ujian!BE168,1)=SEKOR!BE$2,1,0))</f>
        <v/>
      </c>
      <c r="BF161" s="125" t="str">
        <f>IF(Ujian!BF168="","",IF(LEFT(Ujian!BF168,1)=SEKOR!BF$2,1,0))</f>
        <v/>
      </c>
      <c r="BG161" s="125" t="str">
        <f>IF(Ujian!BG168="","",IF(LEFT(Ujian!BG168,1)=SEKOR!BG$2,1,0))</f>
        <v/>
      </c>
      <c r="BH161" s="125" t="str">
        <f>IF(Ujian!BH168="","",IF(LEFT(Ujian!BH168,1)=SEKOR!BH$2,1,0))</f>
        <v/>
      </c>
      <c r="BI161" s="125" t="str">
        <f>IF(Ujian!BI168="","",IF(LEFT(Ujian!BI168,1)=SEKOR!BI$2,1,0))</f>
        <v/>
      </c>
      <c r="BJ161" s="125" t="str">
        <f>IF(Ujian!BJ168="","",IF(LEFT(Ujian!BJ168,1)=SEKOR!BJ$2,1,0))</f>
        <v/>
      </c>
      <c r="BK161" s="125" t="str">
        <f>IF(Ujian!BK168="","",IF(LEFT(Ujian!BK168,1)=SEKOR!BK$2,1,0))</f>
        <v/>
      </c>
      <c r="BL161" s="18">
        <f t="shared" si="4"/>
        <v>0</v>
      </c>
      <c r="BM161" s="18">
        <f>COUNTIF($D161:$BK161,"")+DATA!$F$14-DATA!$F$12</f>
        <v>60</v>
      </c>
      <c r="BN161" s="17">
        <f>IF(COUNTIF($D161:$BK161,1)&gt;DATA!$F$14,DATA!$F$14,COUNTIF($D161:$BK161,1))</f>
        <v>0</v>
      </c>
      <c r="BO161" s="17">
        <f>IF((BN161+COUNTIF($D161:$BK161,0))&lt;=DATA!$F$14,COUNTIF($D161:$BK161,0),DATA!$F$14-SEKOR!BN161)</f>
        <v>0</v>
      </c>
      <c r="BP161" s="4" t="str">
        <f>IF(BL161=0,"",BN161/DATA!$F$14*100)</f>
        <v/>
      </c>
      <c r="BQ161" s="121" t="str">
        <f t="shared" si="5"/>
        <v/>
      </c>
      <c r="BR161" s="2" t="str">
        <f>IF(Praktik!$E161=0,"",Praktik!$E161)</f>
        <v/>
      </c>
      <c r="BS161" s="2" t="str">
        <f>IF(BR161="","",(BP161*DATAINFO!$O$4)+(SEKOR!BR161*DATAINFO!$O$5)/(DATAINFO!$O$4+DATAINFO!$O$5))</f>
        <v/>
      </c>
      <c r="BT161" s="2" t="str">
        <f>IF(BL161=0,"",IF(DATA!$F$18="TIDAK",ROUNDUP((IF!$L$8*SEKOR!$BP161)+IF!$L$9,0),IF($BR161="","",ROUNDUP((IF!$L$20*$BS161)+IF!$L$21,0))))</f>
        <v/>
      </c>
      <c r="BU161" s="47" t="str">
        <f>IF(BP161="","",IF(SEKOR!BP161&gt;=DATA!$J$12,1,0))</f>
        <v/>
      </c>
      <c r="BV161" s="47" t="str">
        <f>IF(BQ161="","",IF(SEKOR!BQ161&gt;=DATA!$J$12,1,0))</f>
        <v/>
      </c>
      <c r="BW161" s="47" t="str">
        <f>IF(BR161="","",IF(SEKOR!BR161&gt;=DATA!$J$12,1,0))</f>
        <v/>
      </c>
      <c r="BX161" s="47" t="str">
        <f>IF(BT161="","",IF(DATA!$J$14="",IF(SEKOR!BT161&gt;=DATA!$J$12,1,0),IF(SEKOR!BT161&gt;=DATA!$J$14,1,0)))</f>
        <v/>
      </c>
    </row>
    <row r="162" spans="1:76" x14ac:dyDescent="0.25">
      <c r="A162" s="20" t="s">
        <v>189</v>
      </c>
      <c r="B162" s="21" t="str">
        <f>IF(Ujian!B169="","",Ujian!B169)</f>
        <v/>
      </c>
      <c r="C162" s="57" t="str">
        <f>IF(Ujian!C169="","",Ujian!C169)</f>
        <v/>
      </c>
      <c r="D162" s="125" t="str">
        <f>IF(Ujian!D169="","",IF(LEFT(Ujian!D169,1)=SEKOR!D$2,1,0))</f>
        <v/>
      </c>
      <c r="E162" s="125" t="str">
        <f>IF(Ujian!E169="","",IF(LEFT(Ujian!E169,1)=SEKOR!E$2,1,0))</f>
        <v/>
      </c>
      <c r="F162" s="125" t="str">
        <f>IF(Ujian!F169="","",IF(LEFT(Ujian!F169,1)=SEKOR!F$2,1,0))</f>
        <v/>
      </c>
      <c r="G162" s="125" t="str">
        <f>IF(Ujian!G169="","",IF(LEFT(Ujian!G169,1)=SEKOR!G$2,1,0))</f>
        <v/>
      </c>
      <c r="H162" s="125" t="str">
        <f>IF(Ujian!H169="","",IF(LEFT(Ujian!H169,1)=SEKOR!H$2,1,0))</f>
        <v/>
      </c>
      <c r="I162" s="125" t="str">
        <f>IF(Ujian!I169="","",IF(LEFT(Ujian!I169,1)=SEKOR!I$2,1,0))</f>
        <v/>
      </c>
      <c r="J162" s="125" t="str">
        <f>IF(Ujian!J169="","",IF(LEFT(Ujian!J169,1)=SEKOR!J$2,1,0))</f>
        <v/>
      </c>
      <c r="K162" s="125" t="str">
        <f>IF(Ujian!K169="","",IF(LEFT(Ujian!K169,1)=SEKOR!K$2,1,0))</f>
        <v/>
      </c>
      <c r="L162" s="125" t="str">
        <f>IF(Ujian!L169="","",IF(LEFT(Ujian!L169,1)=SEKOR!L$2,1,0))</f>
        <v/>
      </c>
      <c r="M162" s="125" t="str">
        <f>IF(Ujian!M169="","",IF(LEFT(Ujian!M169,1)=SEKOR!M$2,1,0))</f>
        <v/>
      </c>
      <c r="N162" s="125" t="str">
        <f>IF(Ujian!N169="","",IF(LEFT(Ujian!N169,1)=SEKOR!N$2,1,0))</f>
        <v/>
      </c>
      <c r="O162" s="125" t="str">
        <f>IF(Ujian!O169="","",IF(LEFT(Ujian!O169,1)=SEKOR!O$2,1,0))</f>
        <v/>
      </c>
      <c r="P162" s="125" t="str">
        <f>IF(Ujian!P169="","",IF(LEFT(Ujian!P169,1)=SEKOR!P$2,1,0))</f>
        <v/>
      </c>
      <c r="Q162" s="125" t="str">
        <f>IF(Ujian!Q169="","",IF(LEFT(Ujian!Q169,1)=SEKOR!Q$2,1,0))</f>
        <v/>
      </c>
      <c r="R162" s="125" t="str">
        <f>IF(Ujian!R169="","",IF(LEFT(Ujian!R169,1)=SEKOR!R$2,1,0))</f>
        <v/>
      </c>
      <c r="S162" s="125" t="str">
        <f>IF(Ujian!S169="","",IF(LEFT(Ujian!S169,1)=SEKOR!S$2,1,0))</f>
        <v/>
      </c>
      <c r="T162" s="125" t="str">
        <f>IF(Ujian!T169="","",IF(LEFT(Ujian!T169,1)=SEKOR!T$2,1,0))</f>
        <v/>
      </c>
      <c r="U162" s="125" t="str">
        <f>IF(Ujian!U169="","",IF(LEFT(Ujian!U169,1)=SEKOR!U$2,1,0))</f>
        <v/>
      </c>
      <c r="V162" s="125" t="str">
        <f>IF(Ujian!V169="","",IF(LEFT(Ujian!V169,1)=SEKOR!V$2,1,0))</f>
        <v/>
      </c>
      <c r="W162" s="125" t="str">
        <f>IF(Ujian!W169="","",IF(LEFT(Ujian!W169,1)=SEKOR!W$2,1,0))</f>
        <v/>
      </c>
      <c r="X162" s="125" t="str">
        <f>IF(Ujian!X169="","",IF(LEFT(Ujian!X169,1)=SEKOR!X$2,1,0))</f>
        <v/>
      </c>
      <c r="Y162" s="125" t="str">
        <f>IF(Ujian!Y169="","",IF(LEFT(Ujian!Y169,1)=SEKOR!Y$2,1,0))</f>
        <v/>
      </c>
      <c r="Z162" s="125" t="str">
        <f>IF(Ujian!Z169="","",IF(LEFT(Ujian!Z169,1)=SEKOR!Z$2,1,0))</f>
        <v/>
      </c>
      <c r="AA162" s="125" t="str">
        <f>IF(Ujian!AA169="","",IF(LEFT(Ujian!AA169,1)=SEKOR!AA$2,1,0))</f>
        <v/>
      </c>
      <c r="AB162" s="125" t="str">
        <f>IF(Ujian!AB169="","",IF(LEFT(Ujian!AB169,1)=SEKOR!AB$2,1,0))</f>
        <v/>
      </c>
      <c r="AC162" s="125" t="str">
        <f>IF(Ujian!AC169="","",IF(LEFT(Ujian!AC169,1)=SEKOR!AC$2,1,0))</f>
        <v/>
      </c>
      <c r="AD162" s="125" t="str">
        <f>IF(Ujian!AD169="","",IF(LEFT(Ujian!AD169,1)=SEKOR!AD$2,1,0))</f>
        <v/>
      </c>
      <c r="AE162" s="125" t="str">
        <f>IF(Ujian!AE169="","",IF(LEFT(Ujian!AE169,1)=SEKOR!AE$2,1,0))</f>
        <v/>
      </c>
      <c r="AF162" s="125" t="str">
        <f>IF(Ujian!AF169="","",IF(LEFT(Ujian!AF169,1)=SEKOR!AF$2,1,0))</f>
        <v/>
      </c>
      <c r="AG162" s="125" t="str">
        <f>IF(Ujian!AG169="","",IF(LEFT(Ujian!AG169,1)=SEKOR!AG$2,1,0))</f>
        <v/>
      </c>
      <c r="AH162" s="125" t="str">
        <f>IF(Ujian!AH169="","",IF(LEFT(Ujian!AH169,1)=SEKOR!AH$2,1,0))</f>
        <v/>
      </c>
      <c r="AI162" s="125" t="str">
        <f>IF(Ujian!AI169="","",IF(LEFT(Ujian!AI169,1)=SEKOR!AI$2,1,0))</f>
        <v/>
      </c>
      <c r="AJ162" s="125" t="str">
        <f>IF(Ujian!AJ169="","",IF(LEFT(Ujian!AJ169,1)=SEKOR!AJ$2,1,0))</f>
        <v/>
      </c>
      <c r="AK162" s="125" t="str">
        <f>IF(Ujian!AK169="","",IF(LEFT(Ujian!AK169,1)=SEKOR!AK$2,1,0))</f>
        <v/>
      </c>
      <c r="AL162" s="125" t="str">
        <f>IF(Ujian!AL169="","",IF(LEFT(Ujian!AL169,1)=SEKOR!AL$2,1,0))</f>
        <v/>
      </c>
      <c r="AM162" s="125" t="str">
        <f>IF(Ujian!AM169="","",IF(LEFT(Ujian!AM169,1)=SEKOR!AM$2,1,0))</f>
        <v/>
      </c>
      <c r="AN162" s="125" t="str">
        <f>IF(Ujian!AN169="","",IF(LEFT(Ujian!AN169,1)=SEKOR!AN$2,1,0))</f>
        <v/>
      </c>
      <c r="AO162" s="125" t="str">
        <f>IF(Ujian!AO169="","",IF(LEFT(Ujian!AO169,1)=SEKOR!AO$2,1,0))</f>
        <v/>
      </c>
      <c r="AP162" s="125" t="str">
        <f>IF(Ujian!AP169="","",IF(LEFT(Ujian!AP169,1)=SEKOR!AP$2,1,0))</f>
        <v/>
      </c>
      <c r="AQ162" s="125" t="str">
        <f>IF(Ujian!AQ169="","",IF(LEFT(Ujian!AQ169,1)=SEKOR!AQ$2,1,0))</f>
        <v/>
      </c>
      <c r="AR162" s="125" t="str">
        <f>IF(Ujian!AR169="","",IF(LEFT(Ujian!AR169,1)=SEKOR!AR$2,1,0))</f>
        <v/>
      </c>
      <c r="AS162" s="125" t="str">
        <f>IF(Ujian!AS169="","",IF(LEFT(Ujian!AS169,1)=SEKOR!AS$2,1,0))</f>
        <v/>
      </c>
      <c r="AT162" s="125" t="str">
        <f>IF(Ujian!AT169="","",IF(LEFT(Ujian!AT169,1)=SEKOR!AT$2,1,0))</f>
        <v/>
      </c>
      <c r="AU162" s="125" t="str">
        <f>IF(Ujian!AU169="","",IF(LEFT(Ujian!AU169,1)=SEKOR!AU$2,1,0))</f>
        <v/>
      </c>
      <c r="AV162" s="125" t="str">
        <f>IF(Ujian!AV169="","",IF(LEFT(Ujian!AV169,1)=SEKOR!AV$2,1,0))</f>
        <v/>
      </c>
      <c r="AW162" s="125" t="str">
        <f>IF(Ujian!AW169="","",IF(LEFT(Ujian!AW169,1)=SEKOR!AW$2,1,0))</f>
        <v/>
      </c>
      <c r="AX162" s="125" t="str">
        <f>IF(Ujian!AX169="","",IF(LEFT(Ujian!AX169,1)=SEKOR!AX$2,1,0))</f>
        <v/>
      </c>
      <c r="AY162" s="125" t="str">
        <f>IF(Ujian!AY169="","",IF(LEFT(Ujian!AY169,1)=SEKOR!AY$2,1,0))</f>
        <v/>
      </c>
      <c r="AZ162" s="125" t="str">
        <f>IF(Ujian!AZ169="","",IF(LEFT(Ujian!AZ169,1)=SEKOR!AZ$2,1,0))</f>
        <v/>
      </c>
      <c r="BA162" s="125" t="str">
        <f>IF(Ujian!BA169="","",IF(LEFT(Ujian!BA169,1)=SEKOR!BA$2,1,0))</f>
        <v/>
      </c>
      <c r="BB162" s="125" t="str">
        <f>IF(Ujian!BB169="","",IF(LEFT(Ujian!BB169,1)=SEKOR!BB$2,1,0))</f>
        <v/>
      </c>
      <c r="BC162" s="125" t="str">
        <f>IF(Ujian!BC169="","",IF(LEFT(Ujian!BC169,1)=SEKOR!BC$2,1,0))</f>
        <v/>
      </c>
      <c r="BD162" s="125" t="str">
        <f>IF(Ujian!BD169="","",IF(LEFT(Ujian!BD169,1)=SEKOR!BD$2,1,0))</f>
        <v/>
      </c>
      <c r="BE162" s="125" t="str">
        <f>IF(Ujian!BE169="","",IF(LEFT(Ujian!BE169,1)=SEKOR!BE$2,1,0))</f>
        <v/>
      </c>
      <c r="BF162" s="125" t="str">
        <f>IF(Ujian!BF169="","",IF(LEFT(Ujian!BF169,1)=SEKOR!BF$2,1,0))</f>
        <v/>
      </c>
      <c r="BG162" s="125" t="str">
        <f>IF(Ujian!BG169="","",IF(LEFT(Ujian!BG169,1)=SEKOR!BG$2,1,0))</f>
        <v/>
      </c>
      <c r="BH162" s="125" t="str">
        <f>IF(Ujian!BH169="","",IF(LEFT(Ujian!BH169,1)=SEKOR!BH$2,1,0))</f>
        <v/>
      </c>
      <c r="BI162" s="125" t="str">
        <f>IF(Ujian!BI169="","",IF(LEFT(Ujian!BI169,1)=SEKOR!BI$2,1,0))</f>
        <v/>
      </c>
      <c r="BJ162" s="125" t="str">
        <f>IF(Ujian!BJ169="","",IF(LEFT(Ujian!BJ169,1)=SEKOR!BJ$2,1,0))</f>
        <v/>
      </c>
      <c r="BK162" s="125" t="str">
        <f>IF(Ujian!BK169="","",IF(LEFT(Ujian!BK169,1)=SEKOR!BK$2,1,0))</f>
        <v/>
      </c>
      <c r="BL162" s="18">
        <f t="shared" si="4"/>
        <v>0</v>
      </c>
      <c r="BM162" s="18">
        <f>COUNTIF($D162:$BK162,"")+DATA!$F$14-DATA!$F$12</f>
        <v>60</v>
      </c>
      <c r="BN162" s="17">
        <f>IF(COUNTIF($D162:$BK162,1)&gt;DATA!$F$14,DATA!$F$14,COUNTIF($D162:$BK162,1))</f>
        <v>0</v>
      </c>
      <c r="BO162" s="17">
        <f>IF((BN162+COUNTIF($D162:$BK162,0))&lt;=DATA!$F$14,COUNTIF($D162:$BK162,0),DATA!$F$14-SEKOR!BN162)</f>
        <v>0</v>
      </c>
      <c r="BP162" s="4" t="str">
        <f>IF(BL162=0,"",BN162/DATA!$F$14*100)</f>
        <v/>
      </c>
      <c r="BQ162" s="121" t="str">
        <f t="shared" si="5"/>
        <v/>
      </c>
      <c r="BR162" s="2" t="str">
        <f>IF(Praktik!$E162=0,"",Praktik!$E162)</f>
        <v/>
      </c>
      <c r="BS162" s="2" t="str">
        <f>IF(BR162="","",(BP162*DATAINFO!$O$4)+(SEKOR!BR162*DATAINFO!$O$5)/(DATAINFO!$O$4+DATAINFO!$O$5))</f>
        <v/>
      </c>
      <c r="BT162" s="2" t="str">
        <f>IF(BL162=0,"",IF(DATA!$F$18="TIDAK",ROUNDUP((IF!$L$8*SEKOR!$BP162)+IF!$L$9,0),IF($BR162="","",ROUNDUP((IF!$L$20*$BS162)+IF!$L$21,0))))</f>
        <v/>
      </c>
      <c r="BU162" s="47" t="str">
        <f>IF(BP162="","",IF(SEKOR!BP162&gt;=DATA!$J$12,1,0))</f>
        <v/>
      </c>
      <c r="BV162" s="47" t="str">
        <f>IF(BQ162="","",IF(SEKOR!BQ162&gt;=DATA!$J$12,1,0))</f>
        <v/>
      </c>
      <c r="BW162" s="47" t="str">
        <f>IF(BR162="","",IF(SEKOR!BR162&gt;=DATA!$J$12,1,0))</f>
        <v/>
      </c>
      <c r="BX162" s="47" t="str">
        <f>IF(BT162="","",IF(DATA!$J$14="",IF(SEKOR!BT162&gt;=DATA!$J$12,1,0),IF(SEKOR!BT162&gt;=DATA!$J$14,1,0)))</f>
        <v/>
      </c>
    </row>
    <row r="163" spans="1:76" x14ac:dyDescent="0.25">
      <c r="A163" s="20" t="s">
        <v>190</v>
      </c>
      <c r="B163" s="21" t="str">
        <f>IF(Ujian!B170="","",Ujian!B170)</f>
        <v/>
      </c>
      <c r="C163" s="57" t="str">
        <f>IF(Ujian!C170="","",Ujian!C170)</f>
        <v/>
      </c>
      <c r="D163" s="125" t="str">
        <f>IF(Ujian!D170="","",IF(LEFT(Ujian!D170,1)=SEKOR!D$2,1,0))</f>
        <v/>
      </c>
      <c r="E163" s="125" t="str">
        <f>IF(Ujian!E170="","",IF(LEFT(Ujian!E170,1)=SEKOR!E$2,1,0))</f>
        <v/>
      </c>
      <c r="F163" s="125" t="str">
        <f>IF(Ujian!F170="","",IF(LEFT(Ujian!F170,1)=SEKOR!F$2,1,0))</f>
        <v/>
      </c>
      <c r="G163" s="125" t="str">
        <f>IF(Ujian!G170="","",IF(LEFT(Ujian!G170,1)=SEKOR!G$2,1,0))</f>
        <v/>
      </c>
      <c r="H163" s="125" t="str">
        <f>IF(Ujian!H170="","",IF(LEFT(Ujian!H170,1)=SEKOR!H$2,1,0))</f>
        <v/>
      </c>
      <c r="I163" s="125" t="str">
        <f>IF(Ujian!I170="","",IF(LEFT(Ujian!I170,1)=SEKOR!I$2,1,0))</f>
        <v/>
      </c>
      <c r="J163" s="125" t="str">
        <f>IF(Ujian!J170="","",IF(LEFT(Ujian!J170,1)=SEKOR!J$2,1,0))</f>
        <v/>
      </c>
      <c r="K163" s="125" t="str">
        <f>IF(Ujian!K170="","",IF(LEFT(Ujian!K170,1)=SEKOR!K$2,1,0))</f>
        <v/>
      </c>
      <c r="L163" s="125" t="str">
        <f>IF(Ujian!L170="","",IF(LEFT(Ujian!L170,1)=SEKOR!L$2,1,0))</f>
        <v/>
      </c>
      <c r="M163" s="125" t="str">
        <f>IF(Ujian!M170="","",IF(LEFT(Ujian!M170,1)=SEKOR!M$2,1,0))</f>
        <v/>
      </c>
      <c r="N163" s="125" t="str">
        <f>IF(Ujian!N170="","",IF(LEFT(Ujian!N170,1)=SEKOR!N$2,1,0))</f>
        <v/>
      </c>
      <c r="O163" s="125" t="str">
        <f>IF(Ujian!O170="","",IF(LEFT(Ujian!O170,1)=SEKOR!O$2,1,0))</f>
        <v/>
      </c>
      <c r="P163" s="125" t="str">
        <f>IF(Ujian!P170="","",IF(LEFT(Ujian!P170,1)=SEKOR!P$2,1,0))</f>
        <v/>
      </c>
      <c r="Q163" s="125" t="str">
        <f>IF(Ujian!Q170="","",IF(LEFT(Ujian!Q170,1)=SEKOR!Q$2,1,0))</f>
        <v/>
      </c>
      <c r="R163" s="125" t="str">
        <f>IF(Ujian!R170="","",IF(LEFT(Ujian!R170,1)=SEKOR!R$2,1,0))</f>
        <v/>
      </c>
      <c r="S163" s="125" t="str">
        <f>IF(Ujian!S170="","",IF(LEFT(Ujian!S170,1)=SEKOR!S$2,1,0))</f>
        <v/>
      </c>
      <c r="T163" s="125" t="str">
        <f>IF(Ujian!T170="","",IF(LEFT(Ujian!T170,1)=SEKOR!T$2,1,0))</f>
        <v/>
      </c>
      <c r="U163" s="125" t="str">
        <f>IF(Ujian!U170="","",IF(LEFT(Ujian!U170,1)=SEKOR!U$2,1,0))</f>
        <v/>
      </c>
      <c r="V163" s="125" t="str">
        <f>IF(Ujian!V170="","",IF(LEFT(Ujian!V170,1)=SEKOR!V$2,1,0))</f>
        <v/>
      </c>
      <c r="W163" s="125" t="str">
        <f>IF(Ujian!W170="","",IF(LEFT(Ujian!W170,1)=SEKOR!W$2,1,0))</f>
        <v/>
      </c>
      <c r="X163" s="125" t="str">
        <f>IF(Ujian!X170="","",IF(LEFT(Ujian!X170,1)=SEKOR!X$2,1,0))</f>
        <v/>
      </c>
      <c r="Y163" s="125" t="str">
        <f>IF(Ujian!Y170="","",IF(LEFT(Ujian!Y170,1)=SEKOR!Y$2,1,0))</f>
        <v/>
      </c>
      <c r="Z163" s="125" t="str">
        <f>IF(Ujian!Z170="","",IF(LEFT(Ujian!Z170,1)=SEKOR!Z$2,1,0))</f>
        <v/>
      </c>
      <c r="AA163" s="125" t="str">
        <f>IF(Ujian!AA170="","",IF(LEFT(Ujian!AA170,1)=SEKOR!AA$2,1,0))</f>
        <v/>
      </c>
      <c r="AB163" s="125" t="str">
        <f>IF(Ujian!AB170="","",IF(LEFT(Ujian!AB170,1)=SEKOR!AB$2,1,0))</f>
        <v/>
      </c>
      <c r="AC163" s="125" t="str">
        <f>IF(Ujian!AC170="","",IF(LEFT(Ujian!AC170,1)=SEKOR!AC$2,1,0))</f>
        <v/>
      </c>
      <c r="AD163" s="125" t="str">
        <f>IF(Ujian!AD170="","",IF(LEFT(Ujian!AD170,1)=SEKOR!AD$2,1,0))</f>
        <v/>
      </c>
      <c r="AE163" s="125" t="str">
        <f>IF(Ujian!AE170="","",IF(LEFT(Ujian!AE170,1)=SEKOR!AE$2,1,0))</f>
        <v/>
      </c>
      <c r="AF163" s="125" t="str">
        <f>IF(Ujian!AF170="","",IF(LEFT(Ujian!AF170,1)=SEKOR!AF$2,1,0))</f>
        <v/>
      </c>
      <c r="AG163" s="125" t="str">
        <f>IF(Ujian!AG170="","",IF(LEFT(Ujian!AG170,1)=SEKOR!AG$2,1,0))</f>
        <v/>
      </c>
      <c r="AH163" s="125" t="str">
        <f>IF(Ujian!AH170="","",IF(LEFT(Ujian!AH170,1)=SEKOR!AH$2,1,0))</f>
        <v/>
      </c>
      <c r="AI163" s="125" t="str">
        <f>IF(Ujian!AI170="","",IF(LEFT(Ujian!AI170,1)=SEKOR!AI$2,1,0))</f>
        <v/>
      </c>
      <c r="AJ163" s="125" t="str">
        <f>IF(Ujian!AJ170="","",IF(LEFT(Ujian!AJ170,1)=SEKOR!AJ$2,1,0))</f>
        <v/>
      </c>
      <c r="AK163" s="125" t="str">
        <f>IF(Ujian!AK170="","",IF(LEFT(Ujian!AK170,1)=SEKOR!AK$2,1,0))</f>
        <v/>
      </c>
      <c r="AL163" s="125" t="str">
        <f>IF(Ujian!AL170="","",IF(LEFT(Ujian!AL170,1)=SEKOR!AL$2,1,0))</f>
        <v/>
      </c>
      <c r="AM163" s="125" t="str">
        <f>IF(Ujian!AM170="","",IF(LEFT(Ujian!AM170,1)=SEKOR!AM$2,1,0))</f>
        <v/>
      </c>
      <c r="AN163" s="125" t="str">
        <f>IF(Ujian!AN170="","",IF(LEFT(Ujian!AN170,1)=SEKOR!AN$2,1,0))</f>
        <v/>
      </c>
      <c r="AO163" s="125" t="str">
        <f>IF(Ujian!AO170="","",IF(LEFT(Ujian!AO170,1)=SEKOR!AO$2,1,0))</f>
        <v/>
      </c>
      <c r="AP163" s="125" t="str">
        <f>IF(Ujian!AP170="","",IF(LEFT(Ujian!AP170,1)=SEKOR!AP$2,1,0))</f>
        <v/>
      </c>
      <c r="AQ163" s="125" t="str">
        <f>IF(Ujian!AQ170="","",IF(LEFT(Ujian!AQ170,1)=SEKOR!AQ$2,1,0))</f>
        <v/>
      </c>
      <c r="AR163" s="125" t="str">
        <f>IF(Ujian!AR170="","",IF(LEFT(Ujian!AR170,1)=SEKOR!AR$2,1,0))</f>
        <v/>
      </c>
      <c r="AS163" s="125" t="str">
        <f>IF(Ujian!AS170="","",IF(LEFT(Ujian!AS170,1)=SEKOR!AS$2,1,0))</f>
        <v/>
      </c>
      <c r="AT163" s="125" t="str">
        <f>IF(Ujian!AT170="","",IF(LEFT(Ujian!AT170,1)=SEKOR!AT$2,1,0))</f>
        <v/>
      </c>
      <c r="AU163" s="125" t="str">
        <f>IF(Ujian!AU170="","",IF(LEFT(Ujian!AU170,1)=SEKOR!AU$2,1,0))</f>
        <v/>
      </c>
      <c r="AV163" s="125" t="str">
        <f>IF(Ujian!AV170="","",IF(LEFT(Ujian!AV170,1)=SEKOR!AV$2,1,0))</f>
        <v/>
      </c>
      <c r="AW163" s="125" t="str">
        <f>IF(Ujian!AW170="","",IF(LEFT(Ujian!AW170,1)=SEKOR!AW$2,1,0))</f>
        <v/>
      </c>
      <c r="AX163" s="125" t="str">
        <f>IF(Ujian!AX170="","",IF(LEFT(Ujian!AX170,1)=SEKOR!AX$2,1,0))</f>
        <v/>
      </c>
      <c r="AY163" s="125" t="str">
        <f>IF(Ujian!AY170="","",IF(LEFT(Ujian!AY170,1)=SEKOR!AY$2,1,0))</f>
        <v/>
      </c>
      <c r="AZ163" s="125" t="str">
        <f>IF(Ujian!AZ170="","",IF(LEFT(Ujian!AZ170,1)=SEKOR!AZ$2,1,0))</f>
        <v/>
      </c>
      <c r="BA163" s="125" t="str">
        <f>IF(Ujian!BA170="","",IF(LEFT(Ujian!BA170,1)=SEKOR!BA$2,1,0))</f>
        <v/>
      </c>
      <c r="BB163" s="125" t="str">
        <f>IF(Ujian!BB170="","",IF(LEFT(Ujian!BB170,1)=SEKOR!BB$2,1,0))</f>
        <v/>
      </c>
      <c r="BC163" s="125" t="str">
        <f>IF(Ujian!BC170="","",IF(LEFT(Ujian!BC170,1)=SEKOR!BC$2,1,0))</f>
        <v/>
      </c>
      <c r="BD163" s="125" t="str">
        <f>IF(Ujian!BD170="","",IF(LEFT(Ujian!BD170,1)=SEKOR!BD$2,1,0))</f>
        <v/>
      </c>
      <c r="BE163" s="125" t="str">
        <f>IF(Ujian!BE170="","",IF(LEFT(Ujian!BE170,1)=SEKOR!BE$2,1,0))</f>
        <v/>
      </c>
      <c r="BF163" s="125" t="str">
        <f>IF(Ujian!BF170="","",IF(LEFT(Ujian!BF170,1)=SEKOR!BF$2,1,0))</f>
        <v/>
      </c>
      <c r="BG163" s="125" t="str">
        <f>IF(Ujian!BG170="","",IF(LEFT(Ujian!BG170,1)=SEKOR!BG$2,1,0))</f>
        <v/>
      </c>
      <c r="BH163" s="125" t="str">
        <f>IF(Ujian!BH170="","",IF(LEFT(Ujian!BH170,1)=SEKOR!BH$2,1,0))</f>
        <v/>
      </c>
      <c r="BI163" s="125" t="str">
        <f>IF(Ujian!BI170="","",IF(LEFT(Ujian!BI170,1)=SEKOR!BI$2,1,0))</f>
        <v/>
      </c>
      <c r="BJ163" s="125" t="str">
        <f>IF(Ujian!BJ170="","",IF(LEFT(Ujian!BJ170,1)=SEKOR!BJ$2,1,0))</f>
        <v/>
      </c>
      <c r="BK163" s="125" t="str">
        <f>IF(Ujian!BK170="","",IF(LEFT(Ujian!BK170,1)=SEKOR!BK$2,1,0))</f>
        <v/>
      </c>
      <c r="BL163" s="18">
        <f t="shared" si="4"/>
        <v>0</v>
      </c>
      <c r="BM163" s="18">
        <f>COUNTIF($D163:$BK163,"")+DATA!$F$14-DATA!$F$12</f>
        <v>60</v>
      </c>
      <c r="BN163" s="17">
        <f>IF(COUNTIF($D163:$BK163,1)&gt;DATA!$F$14,DATA!$F$14,COUNTIF($D163:$BK163,1))</f>
        <v>0</v>
      </c>
      <c r="BO163" s="17">
        <f>IF((BN163+COUNTIF($D163:$BK163,0))&lt;=DATA!$F$14,COUNTIF($D163:$BK163,0),DATA!$F$14-SEKOR!BN163)</f>
        <v>0</v>
      </c>
      <c r="BP163" s="4" t="str">
        <f>IF(BL163=0,"",BN163/DATA!$F$14*100)</f>
        <v/>
      </c>
      <c r="BQ163" s="121" t="str">
        <f t="shared" si="5"/>
        <v/>
      </c>
      <c r="BR163" s="2" t="str">
        <f>IF(Praktik!$E163=0,"",Praktik!$E163)</f>
        <v/>
      </c>
      <c r="BS163" s="2" t="str">
        <f>IF(BR163="","",(BP163*DATAINFO!$O$4)+(SEKOR!BR163*DATAINFO!$O$5)/(DATAINFO!$O$4+DATAINFO!$O$5))</f>
        <v/>
      </c>
      <c r="BT163" s="2" t="str">
        <f>IF(BL163=0,"",IF(DATA!$F$18="TIDAK",ROUNDUP((IF!$L$8*SEKOR!$BP163)+IF!$L$9,0),IF($BR163="","",ROUNDUP((IF!$L$20*$BS163)+IF!$L$21,0))))</f>
        <v/>
      </c>
      <c r="BU163" s="47" t="str">
        <f>IF(BP163="","",IF(SEKOR!BP163&gt;=DATA!$J$12,1,0))</f>
        <v/>
      </c>
      <c r="BV163" s="47" t="str">
        <f>IF(BQ163="","",IF(SEKOR!BQ163&gt;=DATA!$J$12,1,0))</f>
        <v/>
      </c>
      <c r="BW163" s="47" t="str">
        <f>IF(BR163="","",IF(SEKOR!BR163&gt;=DATA!$J$12,1,0))</f>
        <v/>
      </c>
      <c r="BX163" s="47" t="str">
        <f>IF(BT163="","",IF(DATA!$J$14="",IF(SEKOR!BT163&gt;=DATA!$J$12,1,0),IF(SEKOR!BT163&gt;=DATA!$J$14,1,0)))</f>
        <v/>
      </c>
    </row>
    <row r="164" spans="1:76" x14ac:dyDescent="0.25">
      <c r="A164" s="20" t="s">
        <v>191</v>
      </c>
      <c r="B164" s="21" t="str">
        <f>IF(Ujian!B171="","",Ujian!B171)</f>
        <v/>
      </c>
      <c r="C164" s="57" t="str">
        <f>IF(Ujian!C171="","",Ujian!C171)</f>
        <v/>
      </c>
      <c r="D164" s="125" t="str">
        <f>IF(Ujian!D171="","",IF(LEFT(Ujian!D171,1)=SEKOR!D$2,1,0))</f>
        <v/>
      </c>
      <c r="E164" s="125" t="str">
        <f>IF(Ujian!E171="","",IF(LEFT(Ujian!E171,1)=SEKOR!E$2,1,0))</f>
        <v/>
      </c>
      <c r="F164" s="125" t="str">
        <f>IF(Ujian!F171="","",IF(LEFT(Ujian!F171,1)=SEKOR!F$2,1,0))</f>
        <v/>
      </c>
      <c r="G164" s="125" t="str">
        <f>IF(Ujian!G171="","",IF(LEFT(Ujian!G171,1)=SEKOR!G$2,1,0))</f>
        <v/>
      </c>
      <c r="H164" s="125" t="str">
        <f>IF(Ujian!H171="","",IF(LEFT(Ujian!H171,1)=SEKOR!H$2,1,0))</f>
        <v/>
      </c>
      <c r="I164" s="125" t="str">
        <f>IF(Ujian!I171="","",IF(LEFT(Ujian!I171,1)=SEKOR!I$2,1,0))</f>
        <v/>
      </c>
      <c r="J164" s="125" t="str">
        <f>IF(Ujian!J171="","",IF(LEFT(Ujian!J171,1)=SEKOR!J$2,1,0))</f>
        <v/>
      </c>
      <c r="K164" s="125" t="str">
        <f>IF(Ujian!K171="","",IF(LEFT(Ujian!K171,1)=SEKOR!K$2,1,0))</f>
        <v/>
      </c>
      <c r="L164" s="125" t="str">
        <f>IF(Ujian!L171="","",IF(LEFT(Ujian!L171,1)=SEKOR!L$2,1,0))</f>
        <v/>
      </c>
      <c r="M164" s="125" t="str">
        <f>IF(Ujian!M171="","",IF(LEFT(Ujian!M171,1)=SEKOR!M$2,1,0))</f>
        <v/>
      </c>
      <c r="N164" s="125" t="str">
        <f>IF(Ujian!N171="","",IF(LEFT(Ujian!N171,1)=SEKOR!N$2,1,0))</f>
        <v/>
      </c>
      <c r="O164" s="125" t="str">
        <f>IF(Ujian!O171="","",IF(LEFT(Ujian!O171,1)=SEKOR!O$2,1,0))</f>
        <v/>
      </c>
      <c r="P164" s="125" t="str">
        <f>IF(Ujian!P171="","",IF(LEFT(Ujian!P171,1)=SEKOR!P$2,1,0))</f>
        <v/>
      </c>
      <c r="Q164" s="125" t="str">
        <f>IF(Ujian!Q171="","",IF(LEFT(Ujian!Q171,1)=SEKOR!Q$2,1,0))</f>
        <v/>
      </c>
      <c r="R164" s="125" t="str">
        <f>IF(Ujian!R171="","",IF(LEFT(Ujian!R171,1)=SEKOR!R$2,1,0))</f>
        <v/>
      </c>
      <c r="S164" s="125" t="str">
        <f>IF(Ujian!S171="","",IF(LEFT(Ujian!S171,1)=SEKOR!S$2,1,0))</f>
        <v/>
      </c>
      <c r="T164" s="125" t="str">
        <f>IF(Ujian!T171="","",IF(LEFT(Ujian!T171,1)=SEKOR!T$2,1,0))</f>
        <v/>
      </c>
      <c r="U164" s="125" t="str">
        <f>IF(Ujian!U171="","",IF(LEFT(Ujian!U171,1)=SEKOR!U$2,1,0))</f>
        <v/>
      </c>
      <c r="V164" s="125" t="str">
        <f>IF(Ujian!V171="","",IF(LEFT(Ujian!V171,1)=SEKOR!V$2,1,0))</f>
        <v/>
      </c>
      <c r="W164" s="125" t="str">
        <f>IF(Ujian!W171="","",IF(LEFT(Ujian!W171,1)=SEKOR!W$2,1,0))</f>
        <v/>
      </c>
      <c r="X164" s="125" t="str">
        <f>IF(Ujian!X171="","",IF(LEFT(Ujian!X171,1)=SEKOR!X$2,1,0))</f>
        <v/>
      </c>
      <c r="Y164" s="125" t="str">
        <f>IF(Ujian!Y171="","",IF(LEFT(Ujian!Y171,1)=SEKOR!Y$2,1,0))</f>
        <v/>
      </c>
      <c r="Z164" s="125" t="str">
        <f>IF(Ujian!Z171="","",IF(LEFT(Ujian!Z171,1)=SEKOR!Z$2,1,0))</f>
        <v/>
      </c>
      <c r="AA164" s="125" t="str">
        <f>IF(Ujian!AA171="","",IF(LEFT(Ujian!AA171,1)=SEKOR!AA$2,1,0))</f>
        <v/>
      </c>
      <c r="AB164" s="125" t="str">
        <f>IF(Ujian!AB171="","",IF(LEFT(Ujian!AB171,1)=SEKOR!AB$2,1,0))</f>
        <v/>
      </c>
      <c r="AC164" s="125" t="str">
        <f>IF(Ujian!AC171="","",IF(LEFT(Ujian!AC171,1)=SEKOR!AC$2,1,0))</f>
        <v/>
      </c>
      <c r="AD164" s="125" t="str">
        <f>IF(Ujian!AD171="","",IF(LEFT(Ujian!AD171,1)=SEKOR!AD$2,1,0))</f>
        <v/>
      </c>
      <c r="AE164" s="125" t="str">
        <f>IF(Ujian!AE171="","",IF(LEFT(Ujian!AE171,1)=SEKOR!AE$2,1,0))</f>
        <v/>
      </c>
      <c r="AF164" s="125" t="str">
        <f>IF(Ujian!AF171="","",IF(LEFT(Ujian!AF171,1)=SEKOR!AF$2,1,0))</f>
        <v/>
      </c>
      <c r="AG164" s="125" t="str">
        <f>IF(Ujian!AG171="","",IF(LEFT(Ujian!AG171,1)=SEKOR!AG$2,1,0))</f>
        <v/>
      </c>
      <c r="AH164" s="125" t="str">
        <f>IF(Ujian!AH171="","",IF(LEFT(Ujian!AH171,1)=SEKOR!AH$2,1,0))</f>
        <v/>
      </c>
      <c r="AI164" s="125" t="str">
        <f>IF(Ujian!AI171="","",IF(LEFT(Ujian!AI171,1)=SEKOR!AI$2,1,0))</f>
        <v/>
      </c>
      <c r="AJ164" s="125" t="str">
        <f>IF(Ujian!AJ171="","",IF(LEFT(Ujian!AJ171,1)=SEKOR!AJ$2,1,0))</f>
        <v/>
      </c>
      <c r="AK164" s="125" t="str">
        <f>IF(Ujian!AK171="","",IF(LEFT(Ujian!AK171,1)=SEKOR!AK$2,1,0))</f>
        <v/>
      </c>
      <c r="AL164" s="125" t="str">
        <f>IF(Ujian!AL171="","",IF(LEFT(Ujian!AL171,1)=SEKOR!AL$2,1,0))</f>
        <v/>
      </c>
      <c r="AM164" s="125" t="str">
        <f>IF(Ujian!AM171="","",IF(LEFT(Ujian!AM171,1)=SEKOR!AM$2,1,0))</f>
        <v/>
      </c>
      <c r="AN164" s="125" t="str">
        <f>IF(Ujian!AN171="","",IF(LEFT(Ujian!AN171,1)=SEKOR!AN$2,1,0))</f>
        <v/>
      </c>
      <c r="AO164" s="125" t="str">
        <f>IF(Ujian!AO171="","",IF(LEFT(Ujian!AO171,1)=SEKOR!AO$2,1,0))</f>
        <v/>
      </c>
      <c r="AP164" s="125" t="str">
        <f>IF(Ujian!AP171="","",IF(LEFT(Ujian!AP171,1)=SEKOR!AP$2,1,0))</f>
        <v/>
      </c>
      <c r="AQ164" s="125" t="str">
        <f>IF(Ujian!AQ171="","",IF(LEFT(Ujian!AQ171,1)=SEKOR!AQ$2,1,0))</f>
        <v/>
      </c>
      <c r="AR164" s="125" t="str">
        <f>IF(Ujian!AR171="","",IF(LEFT(Ujian!AR171,1)=SEKOR!AR$2,1,0))</f>
        <v/>
      </c>
      <c r="AS164" s="125" t="str">
        <f>IF(Ujian!AS171="","",IF(LEFT(Ujian!AS171,1)=SEKOR!AS$2,1,0))</f>
        <v/>
      </c>
      <c r="AT164" s="125" t="str">
        <f>IF(Ujian!AT171="","",IF(LEFT(Ujian!AT171,1)=SEKOR!AT$2,1,0))</f>
        <v/>
      </c>
      <c r="AU164" s="125" t="str">
        <f>IF(Ujian!AU171="","",IF(LEFT(Ujian!AU171,1)=SEKOR!AU$2,1,0))</f>
        <v/>
      </c>
      <c r="AV164" s="125" t="str">
        <f>IF(Ujian!AV171="","",IF(LEFT(Ujian!AV171,1)=SEKOR!AV$2,1,0))</f>
        <v/>
      </c>
      <c r="AW164" s="125" t="str">
        <f>IF(Ujian!AW171="","",IF(LEFT(Ujian!AW171,1)=SEKOR!AW$2,1,0))</f>
        <v/>
      </c>
      <c r="AX164" s="125" t="str">
        <f>IF(Ujian!AX171="","",IF(LEFT(Ujian!AX171,1)=SEKOR!AX$2,1,0))</f>
        <v/>
      </c>
      <c r="AY164" s="125" t="str">
        <f>IF(Ujian!AY171="","",IF(LEFT(Ujian!AY171,1)=SEKOR!AY$2,1,0))</f>
        <v/>
      </c>
      <c r="AZ164" s="125" t="str">
        <f>IF(Ujian!AZ171="","",IF(LEFT(Ujian!AZ171,1)=SEKOR!AZ$2,1,0))</f>
        <v/>
      </c>
      <c r="BA164" s="125" t="str">
        <f>IF(Ujian!BA171="","",IF(LEFT(Ujian!BA171,1)=SEKOR!BA$2,1,0))</f>
        <v/>
      </c>
      <c r="BB164" s="125" t="str">
        <f>IF(Ujian!BB171="","",IF(LEFT(Ujian!BB171,1)=SEKOR!BB$2,1,0))</f>
        <v/>
      </c>
      <c r="BC164" s="125" t="str">
        <f>IF(Ujian!BC171="","",IF(LEFT(Ujian!BC171,1)=SEKOR!BC$2,1,0))</f>
        <v/>
      </c>
      <c r="BD164" s="125" t="str">
        <f>IF(Ujian!BD171="","",IF(LEFT(Ujian!BD171,1)=SEKOR!BD$2,1,0))</f>
        <v/>
      </c>
      <c r="BE164" s="125" t="str">
        <f>IF(Ujian!BE171="","",IF(LEFT(Ujian!BE171,1)=SEKOR!BE$2,1,0))</f>
        <v/>
      </c>
      <c r="BF164" s="125" t="str">
        <f>IF(Ujian!BF171="","",IF(LEFT(Ujian!BF171,1)=SEKOR!BF$2,1,0))</f>
        <v/>
      </c>
      <c r="BG164" s="125" t="str">
        <f>IF(Ujian!BG171="","",IF(LEFT(Ujian!BG171,1)=SEKOR!BG$2,1,0))</f>
        <v/>
      </c>
      <c r="BH164" s="125" t="str">
        <f>IF(Ujian!BH171="","",IF(LEFT(Ujian!BH171,1)=SEKOR!BH$2,1,0))</f>
        <v/>
      </c>
      <c r="BI164" s="125" t="str">
        <f>IF(Ujian!BI171="","",IF(LEFT(Ujian!BI171,1)=SEKOR!BI$2,1,0))</f>
        <v/>
      </c>
      <c r="BJ164" s="125" t="str">
        <f>IF(Ujian!BJ171="","",IF(LEFT(Ujian!BJ171,1)=SEKOR!BJ$2,1,0))</f>
        <v/>
      </c>
      <c r="BK164" s="125" t="str">
        <f>IF(Ujian!BK171="","",IF(LEFT(Ujian!BK171,1)=SEKOR!BK$2,1,0))</f>
        <v/>
      </c>
      <c r="BL164" s="18">
        <f t="shared" si="4"/>
        <v>0</v>
      </c>
      <c r="BM164" s="18">
        <f>COUNTIF($D164:$BK164,"")+DATA!$F$14-DATA!$F$12</f>
        <v>60</v>
      </c>
      <c r="BN164" s="17">
        <f>IF(COUNTIF($D164:$BK164,1)&gt;DATA!$F$14,DATA!$F$14,COUNTIF($D164:$BK164,1))</f>
        <v>0</v>
      </c>
      <c r="BO164" s="17">
        <f>IF((BN164+COUNTIF($D164:$BK164,0))&lt;=DATA!$F$14,COUNTIF($D164:$BK164,0),DATA!$F$14-SEKOR!BN164)</f>
        <v>0</v>
      </c>
      <c r="BP164" s="4" t="str">
        <f>IF(BL164=0,"",BN164/DATA!$F$14*100)</f>
        <v/>
      </c>
      <c r="BQ164" s="121" t="str">
        <f t="shared" si="5"/>
        <v/>
      </c>
      <c r="BR164" s="2" t="str">
        <f>IF(Praktik!$E164=0,"",Praktik!$E164)</f>
        <v/>
      </c>
      <c r="BS164" s="2" t="str">
        <f>IF(BR164="","",(BP164*DATAINFO!$O$4)+(SEKOR!BR164*DATAINFO!$O$5)/(DATAINFO!$O$4+DATAINFO!$O$5))</f>
        <v/>
      </c>
      <c r="BT164" s="2" t="str">
        <f>IF(BL164=0,"",IF(DATA!$F$18="TIDAK",ROUNDUP((IF!$L$8*SEKOR!$BP164)+IF!$L$9,0),IF($BR164="","",ROUNDUP((IF!$L$20*$BS164)+IF!$L$21,0))))</f>
        <v/>
      </c>
      <c r="BU164" s="47" t="str">
        <f>IF(BP164="","",IF(SEKOR!BP164&gt;=DATA!$J$12,1,0))</f>
        <v/>
      </c>
      <c r="BV164" s="47" t="str">
        <f>IF(BQ164="","",IF(SEKOR!BQ164&gt;=DATA!$J$12,1,0))</f>
        <v/>
      </c>
      <c r="BW164" s="47" t="str">
        <f>IF(BR164="","",IF(SEKOR!BR164&gt;=DATA!$J$12,1,0))</f>
        <v/>
      </c>
      <c r="BX164" s="47" t="str">
        <f>IF(BT164="","",IF(DATA!$J$14="",IF(SEKOR!BT164&gt;=DATA!$J$12,1,0),IF(SEKOR!BT164&gt;=DATA!$J$14,1,0)))</f>
        <v/>
      </c>
    </row>
    <row r="165" spans="1:76" x14ac:dyDescent="0.25">
      <c r="A165" s="20" t="s">
        <v>192</v>
      </c>
      <c r="B165" s="21" t="str">
        <f>IF(Ujian!B172="","",Ujian!B172)</f>
        <v/>
      </c>
      <c r="C165" s="57" t="str">
        <f>IF(Ujian!C172="","",Ujian!C172)</f>
        <v/>
      </c>
      <c r="D165" s="125" t="str">
        <f>IF(Ujian!D172="","",IF(LEFT(Ujian!D172,1)=SEKOR!D$2,1,0))</f>
        <v/>
      </c>
      <c r="E165" s="125" t="str">
        <f>IF(Ujian!E172="","",IF(LEFT(Ujian!E172,1)=SEKOR!E$2,1,0))</f>
        <v/>
      </c>
      <c r="F165" s="125" t="str">
        <f>IF(Ujian!F172="","",IF(LEFT(Ujian!F172,1)=SEKOR!F$2,1,0))</f>
        <v/>
      </c>
      <c r="G165" s="125" t="str">
        <f>IF(Ujian!G172="","",IF(LEFT(Ujian!G172,1)=SEKOR!G$2,1,0))</f>
        <v/>
      </c>
      <c r="H165" s="125" t="str">
        <f>IF(Ujian!H172="","",IF(LEFT(Ujian!H172,1)=SEKOR!H$2,1,0))</f>
        <v/>
      </c>
      <c r="I165" s="125" t="str">
        <f>IF(Ujian!I172="","",IF(LEFT(Ujian!I172,1)=SEKOR!I$2,1,0))</f>
        <v/>
      </c>
      <c r="J165" s="125" t="str">
        <f>IF(Ujian!J172="","",IF(LEFT(Ujian!J172,1)=SEKOR!J$2,1,0))</f>
        <v/>
      </c>
      <c r="K165" s="125" t="str">
        <f>IF(Ujian!K172="","",IF(LEFT(Ujian!K172,1)=SEKOR!K$2,1,0))</f>
        <v/>
      </c>
      <c r="L165" s="125" t="str">
        <f>IF(Ujian!L172="","",IF(LEFT(Ujian!L172,1)=SEKOR!L$2,1,0))</f>
        <v/>
      </c>
      <c r="M165" s="125" t="str">
        <f>IF(Ujian!M172="","",IF(LEFT(Ujian!M172,1)=SEKOR!M$2,1,0))</f>
        <v/>
      </c>
      <c r="N165" s="125" t="str">
        <f>IF(Ujian!N172="","",IF(LEFT(Ujian!N172,1)=SEKOR!N$2,1,0))</f>
        <v/>
      </c>
      <c r="O165" s="125" t="str">
        <f>IF(Ujian!O172="","",IF(LEFT(Ujian!O172,1)=SEKOR!O$2,1,0))</f>
        <v/>
      </c>
      <c r="P165" s="125" t="str">
        <f>IF(Ujian!P172="","",IF(LEFT(Ujian!P172,1)=SEKOR!P$2,1,0))</f>
        <v/>
      </c>
      <c r="Q165" s="125" t="str">
        <f>IF(Ujian!Q172="","",IF(LEFT(Ujian!Q172,1)=SEKOR!Q$2,1,0))</f>
        <v/>
      </c>
      <c r="R165" s="125" t="str">
        <f>IF(Ujian!R172="","",IF(LEFT(Ujian!R172,1)=SEKOR!R$2,1,0))</f>
        <v/>
      </c>
      <c r="S165" s="125" t="str">
        <f>IF(Ujian!S172="","",IF(LEFT(Ujian!S172,1)=SEKOR!S$2,1,0))</f>
        <v/>
      </c>
      <c r="T165" s="125" t="str">
        <f>IF(Ujian!T172="","",IF(LEFT(Ujian!T172,1)=SEKOR!T$2,1,0))</f>
        <v/>
      </c>
      <c r="U165" s="125" t="str">
        <f>IF(Ujian!U172="","",IF(LEFT(Ujian!U172,1)=SEKOR!U$2,1,0))</f>
        <v/>
      </c>
      <c r="V165" s="125" t="str">
        <f>IF(Ujian!V172="","",IF(LEFT(Ujian!V172,1)=SEKOR!V$2,1,0))</f>
        <v/>
      </c>
      <c r="W165" s="125" t="str">
        <f>IF(Ujian!W172="","",IF(LEFT(Ujian!W172,1)=SEKOR!W$2,1,0))</f>
        <v/>
      </c>
      <c r="X165" s="125" t="str">
        <f>IF(Ujian!X172="","",IF(LEFT(Ujian!X172,1)=SEKOR!X$2,1,0))</f>
        <v/>
      </c>
      <c r="Y165" s="125" t="str">
        <f>IF(Ujian!Y172="","",IF(LEFT(Ujian!Y172,1)=SEKOR!Y$2,1,0))</f>
        <v/>
      </c>
      <c r="Z165" s="125" t="str">
        <f>IF(Ujian!Z172="","",IF(LEFT(Ujian!Z172,1)=SEKOR!Z$2,1,0))</f>
        <v/>
      </c>
      <c r="AA165" s="125" t="str">
        <f>IF(Ujian!AA172="","",IF(LEFT(Ujian!AA172,1)=SEKOR!AA$2,1,0))</f>
        <v/>
      </c>
      <c r="AB165" s="125" t="str">
        <f>IF(Ujian!AB172="","",IF(LEFT(Ujian!AB172,1)=SEKOR!AB$2,1,0))</f>
        <v/>
      </c>
      <c r="AC165" s="125" t="str">
        <f>IF(Ujian!AC172="","",IF(LEFT(Ujian!AC172,1)=SEKOR!AC$2,1,0))</f>
        <v/>
      </c>
      <c r="AD165" s="125" t="str">
        <f>IF(Ujian!AD172="","",IF(LEFT(Ujian!AD172,1)=SEKOR!AD$2,1,0))</f>
        <v/>
      </c>
      <c r="AE165" s="125" t="str">
        <f>IF(Ujian!AE172="","",IF(LEFT(Ujian!AE172,1)=SEKOR!AE$2,1,0))</f>
        <v/>
      </c>
      <c r="AF165" s="125" t="str">
        <f>IF(Ujian!AF172="","",IF(LEFT(Ujian!AF172,1)=SEKOR!AF$2,1,0))</f>
        <v/>
      </c>
      <c r="AG165" s="125" t="str">
        <f>IF(Ujian!AG172="","",IF(LEFT(Ujian!AG172,1)=SEKOR!AG$2,1,0))</f>
        <v/>
      </c>
      <c r="AH165" s="125" t="str">
        <f>IF(Ujian!AH172="","",IF(LEFT(Ujian!AH172,1)=SEKOR!AH$2,1,0))</f>
        <v/>
      </c>
      <c r="AI165" s="125" t="str">
        <f>IF(Ujian!AI172="","",IF(LEFT(Ujian!AI172,1)=SEKOR!AI$2,1,0))</f>
        <v/>
      </c>
      <c r="AJ165" s="125" t="str">
        <f>IF(Ujian!AJ172="","",IF(LEFT(Ujian!AJ172,1)=SEKOR!AJ$2,1,0))</f>
        <v/>
      </c>
      <c r="AK165" s="125" t="str">
        <f>IF(Ujian!AK172="","",IF(LEFT(Ujian!AK172,1)=SEKOR!AK$2,1,0))</f>
        <v/>
      </c>
      <c r="AL165" s="125" t="str">
        <f>IF(Ujian!AL172="","",IF(LEFT(Ujian!AL172,1)=SEKOR!AL$2,1,0))</f>
        <v/>
      </c>
      <c r="AM165" s="125" t="str">
        <f>IF(Ujian!AM172="","",IF(LEFT(Ujian!AM172,1)=SEKOR!AM$2,1,0))</f>
        <v/>
      </c>
      <c r="AN165" s="125" t="str">
        <f>IF(Ujian!AN172="","",IF(LEFT(Ujian!AN172,1)=SEKOR!AN$2,1,0))</f>
        <v/>
      </c>
      <c r="AO165" s="125" t="str">
        <f>IF(Ujian!AO172="","",IF(LEFT(Ujian!AO172,1)=SEKOR!AO$2,1,0))</f>
        <v/>
      </c>
      <c r="AP165" s="125" t="str">
        <f>IF(Ujian!AP172="","",IF(LEFT(Ujian!AP172,1)=SEKOR!AP$2,1,0))</f>
        <v/>
      </c>
      <c r="AQ165" s="125" t="str">
        <f>IF(Ujian!AQ172="","",IF(LEFT(Ujian!AQ172,1)=SEKOR!AQ$2,1,0))</f>
        <v/>
      </c>
      <c r="AR165" s="125" t="str">
        <f>IF(Ujian!AR172="","",IF(LEFT(Ujian!AR172,1)=SEKOR!AR$2,1,0))</f>
        <v/>
      </c>
      <c r="AS165" s="125" t="str">
        <f>IF(Ujian!AS172="","",IF(LEFT(Ujian!AS172,1)=SEKOR!AS$2,1,0))</f>
        <v/>
      </c>
      <c r="AT165" s="125" t="str">
        <f>IF(Ujian!AT172="","",IF(LEFT(Ujian!AT172,1)=SEKOR!AT$2,1,0))</f>
        <v/>
      </c>
      <c r="AU165" s="125" t="str">
        <f>IF(Ujian!AU172="","",IF(LEFT(Ujian!AU172,1)=SEKOR!AU$2,1,0))</f>
        <v/>
      </c>
      <c r="AV165" s="125" t="str">
        <f>IF(Ujian!AV172="","",IF(LEFT(Ujian!AV172,1)=SEKOR!AV$2,1,0))</f>
        <v/>
      </c>
      <c r="AW165" s="125" t="str">
        <f>IF(Ujian!AW172="","",IF(LEFT(Ujian!AW172,1)=SEKOR!AW$2,1,0))</f>
        <v/>
      </c>
      <c r="AX165" s="125" t="str">
        <f>IF(Ujian!AX172="","",IF(LEFT(Ujian!AX172,1)=SEKOR!AX$2,1,0))</f>
        <v/>
      </c>
      <c r="AY165" s="125" t="str">
        <f>IF(Ujian!AY172="","",IF(LEFT(Ujian!AY172,1)=SEKOR!AY$2,1,0))</f>
        <v/>
      </c>
      <c r="AZ165" s="125" t="str">
        <f>IF(Ujian!AZ172="","",IF(LEFT(Ujian!AZ172,1)=SEKOR!AZ$2,1,0))</f>
        <v/>
      </c>
      <c r="BA165" s="125" t="str">
        <f>IF(Ujian!BA172="","",IF(LEFT(Ujian!BA172,1)=SEKOR!BA$2,1,0))</f>
        <v/>
      </c>
      <c r="BB165" s="125" t="str">
        <f>IF(Ujian!BB172="","",IF(LEFT(Ujian!BB172,1)=SEKOR!BB$2,1,0))</f>
        <v/>
      </c>
      <c r="BC165" s="125" t="str">
        <f>IF(Ujian!BC172="","",IF(LEFT(Ujian!BC172,1)=SEKOR!BC$2,1,0))</f>
        <v/>
      </c>
      <c r="BD165" s="125" t="str">
        <f>IF(Ujian!BD172="","",IF(LEFT(Ujian!BD172,1)=SEKOR!BD$2,1,0))</f>
        <v/>
      </c>
      <c r="BE165" s="125" t="str">
        <f>IF(Ujian!BE172="","",IF(LEFT(Ujian!BE172,1)=SEKOR!BE$2,1,0))</f>
        <v/>
      </c>
      <c r="BF165" s="125" t="str">
        <f>IF(Ujian!BF172="","",IF(LEFT(Ujian!BF172,1)=SEKOR!BF$2,1,0))</f>
        <v/>
      </c>
      <c r="BG165" s="125" t="str">
        <f>IF(Ujian!BG172="","",IF(LEFT(Ujian!BG172,1)=SEKOR!BG$2,1,0))</f>
        <v/>
      </c>
      <c r="BH165" s="125" t="str">
        <f>IF(Ujian!BH172="","",IF(LEFT(Ujian!BH172,1)=SEKOR!BH$2,1,0))</f>
        <v/>
      </c>
      <c r="BI165" s="125" t="str">
        <f>IF(Ujian!BI172="","",IF(LEFT(Ujian!BI172,1)=SEKOR!BI$2,1,0))</f>
        <v/>
      </c>
      <c r="BJ165" s="125" t="str">
        <f>IF(Ujian!BJ172="","",IF(LEFT(Ujian!BJ172,1)=SEKOR!BJ$2,1,0))</f>
        <v/>
      </c>
      <c r="BK165" s="125" t="str">
        <f>IF(Ujian!BK172="","",IF(LEFT(Ujian!BK172,1)=SEKOR!BK$2,1,0))</f>
        <v/>
      </c>
      <c r="BL165" s="18">
        <f t="shared" si="4"/>
        <v>0</v>
      </c>
      <c r="BM165" s="18">
        <f>COUNTIF($D165:$BK165,"")+DATA!$F$14-DATA!$F$12</f>
        <v>60</v>
      </c>
      <c r="BN165" s="17">
        <f>IF(COUNTIF($D165:$BK165,1)&gt;DATA!$F$14,DATA!$F$14,COUNTIF($D165:$BK165,1))</f>
        <v>0</v>
      </c>
      <c r="BO165" s="17">
        <f>IF((BN165+COUNTIF($D165:$BK165,0))&lt;=DATA!$F$14,COUNTIF($D165:$BK165,0),DATA!$F$14-SEKOR!BN165)</f>
        <v>0</v>
      </c>
      <c r="BP165" s="4" t="str">
        <f>IF(BL165=0,"",BN165/DATA!$F$14*100)</f>
        <v/>
      </c>
      <c r="BQ165" s="121" t="str">
        <f t="shared" si="5"/>
        <v/>
      </c>
      <c r="BR165" s="2" t="str">
        <f>IF(Praktik!$E165=0,"",Praktik!$E165)</f>
        <v/>
      </c>
      <c r="BS165" s="2" t="str">
        <f>IF(BR165="","",(BP165*DATAINFO!$O$4)+(SEKOR!BR165*DATAINFO!$O$5)/(DATAINFO!$O$4+DATAINFO!$O$5))</f>
        <v/>
      </c>
      <c r="BT165" s="2" t="str">
        <f>IF(BL165=0,"",IF(DATA!$F$18="TIDAK",ROUNDUP((IF!$L$8*SEKOR!$BP165)+IF!$L$9,0),IF($BR165="","",ROUNDUP((IF!$L$20*$BS165)+IF!$L$21,0))))</f>
        <v/>
      </c>
      <c r="BU165" s="47" t="str">
        <f>IF(BP165="","",IF(SEKOR!BP165&gt;=DATA!$J$12,1,0))</f>
        <v/>
      </c>
      <c r="BV165" s="47" t="str">
        <f>IF(BQ165="","",IF(SEKOR!BQ165&gt;=DATA!$J$12,1,0))</f>
        <v/>
      </c>
      <c r="BW165" s="47" t="str">
        <f>IF(BR165="","",IF(SEKOR!BR165&gt;=DATA!$J$12,1,0))</f>
        <v/>
      </c>
      <c r="BX165" s="47" t="str">
        <f>IF(BT165="","",IF(DATA!$J$14="",IF(SEKOR!BT165&gt;=DATA!$J$12,1,0),IF(SEKOR!BT165&gt;=DATA!$J$14,1,0)))</f>
        <v/>
      </c>
    </row>
    <row r="166" spans="1:76" x14ac:dyDescent="0.25">
      <c r="A166" s="20" t="s">
        <v>193</v>
      </c>
      <c r="B166" s="21" t="str">
        <f>IF(Ujian!B173="","",Ujian!B173)</f>
        <v/>
      </c>
      <c r="C166" s="57" t="str">
        <f>IF(Ujian!C173="","",Ujian!C173)</f>
        <v/>
      </c>
      <c r="D166" s="125" t="str">
        <f>IF(Ujian!D173="","",IF(LEFT(Ujian!D173,1)=SEKOR!D$2,1,0))</f>
        <v/>
      </c>
      <c r="E166" s="125" t="str">
        <f>IF(Ujian!E173="","",IF(LEFT(Ujian!E173,1)=SEKOR!E$2,1,0))</f>
        <v/>
      </c>
      <c r="F166" s="125" t="str">
        <f>IF(Ujian!F173="","",IF(LEFT(Ujian!F173,1)=SEKOR!F$2,1,0))</f>
        <v/>
      </c>
      <c r="G166" s="125" t="str">
        <f>IF(Ujian!G173="","",IF(LEFT(Ujian!G173,1)=SEKOR!G$2,1,0))</f>
        <v/>
      </c>
      <c r="H166" s="125" t="str">
        <f>IF(Ujian!H173="","",IF(LEFT(Ujian!H173,1)=SEKOR!H$2,1,0))</f>
        <v/>
      </c>
      <c r="I166" s="125" t="str">
        <f>IF(Ujian!I173="","",IF(LEFT(Ujian!I173,1)=SEKOR!I$2,1,0))</f>
        <v/>
      </c>
      <c r="J166" s="125" t="str">
        <f>IF(Ujian!J173="","",IF(LEFT(Ujian!J173,1)=SEKOR!J$2,1,0))</f>
        <v/>
      </c>
      <c r="K166" s="125" t="str">
        <f>IF(Ujian!K173="","",IF(LEFT(Ujian!K173,1)=SEKOR!K$2,1,0))</f>
        <v/>
      </c>
      <c r="L166" s="125" t="str">
        <f>IF(Ujian!L173="","",IF(LEFT(Ujian!L173,1)=SEKOR!L$2,1,0))</f>
        <v/>
      </c>
      <c r="M166" s="125" t="str">
        <f>IF(Ujian!M173="","",IF(LEFT(Ujian!M173,1)=SEKOR!M$2,1,0))</f>
        <v/>
      </c>
      <c r="N166" s="125" t="str">
        <f>IF(Ujian!N173="","",IF(LEFT(Ujian!N173,1)=SEKOR!N$2,1,0))</f>
        <v/>
      </c>
      <c r="O166" s="125" t="str">
        <f>IF(Ujian!O173="","",IF(LEFT(Ujian!O173,1)=SEKOR!O$2,1,0))</f>
        <v/>
      </c>
      <c r="P166" s="125" t="str">
        <f>IF(Ujian!P173="","",IF(LEFT(Ujian!P173,1)=SEKOR!P$2,1,0))</f>
        <v/>
      </c>
      <c r="Q166" s="125" t="str">
        <f>IF(Ujian!Q173="","",IF(LEFT(Ujian!Q173,1)=SEKOR!Q$2,1,0))</f>
        <v/>
      </c>
      <c r="R166" s="125" t="str">
        <f>IF(Ujian!R173="","",IF(LEFT(Ujian!R173,1)=SEKOR!R$2,1,0))</f>
        <v/>
      </c>
      <c r="S166" s="125" t="str">
        <f>IF(Ujian!S173="","",IF(LEFT(Ujian!S173,1)=SEKOR!S$2,1,0))</f>
        <v/>
      </c>
      <c r="T166" s="125" t="str">
        <f>IF(Ujian!T173="","",IF(LEFT(Ujian!T173,1)=SEKOR!T$2,1,0))</f>
        <v/>
      </c>
      <c r="U166" s="125" t="str">
        <f>IF(Ujian!U173="","",IF(LEFT(Ujian!U173,1)=SEKOR!U$2,1,0))</f>
        <v/>
      </c>
      <c r="V166" s="125" t="str">
        <f>IF(Ujian!V173="","",IF(LEFT(Ujian!V173,1)=SEKOR!V$2,1,0))</f>
        <v/>
      </c>
      <c r="W166" s="125" t="str">
        <f>IF(Ujian!W173="","",IF(LEFT(Ujian!W173,1)=SEKOR!W$2,1,0))</f>
        <v/>
      </c>
      <c r="X166" s="125" t="str">
        <f>IF(Ujian!X173="","",IF(LEFT(Ujian!X173,1)=SEKOR!X$2,1,0))</f>
        <v/>
      </c>
      <c r="Y166" s="125" t="str">
        <f>IF(Ujian!Y173="","",IF(LEFT(Ujian!Y173,1)=SEKOR!Y$2,1,0))</f>
        <v/>
      </c>
      <c r="Z166" s="125" t="str">
        <f>IF(Ujian!Z173="","",IF(LEFT(Ujian!Z173,1)=SEKOR!Z$2,1,0))</f>
        <v/>
      </c>
      <c r="AA166" s="125" t="str">
        <f>IF(Ujian!AA173="","",IF(LEFT(Ujian!AA173,1)=SEKOR!AA$2,1,0))</f>
        <v/>
      </c>
      <c r="AB166" s="125" t="str">
        <f>IF(Ujian!AB173="","",IF(LEFT(Ujian!AB173,1)=SEKOR!AB$2,1,0))</f>
        <v/>
      </c>
      <c r="AC166" s="125" t="str">
        <f>IF(Ujian!AC173="","",IF(LEFT(Ujian!AC173,1)=SEKOR!AC$2,1,0))</f>
        <v/>
      </c>
      <c r="AD166" s="125" t="str">
        <f>IF(Ujian!AD173="","",IF(LEFT(Ujian!AD173,1)=SEKOR!AD$2,1,0))</f>
        <v/>
      </c>
      <c r="AE166" s="125" t="str">
        <f>IF(Ujian!AE173="","",IF(LEFT(Ujian!AE173,1)=SEKOR!AE$2,1,0))</f>
        <v/>
      </c>
      <c r="AF166" s="125" t="str">
        <f>IF(Ujian!AF173="","",IF(LEFT(Ujian!AF173,1)=SEKOR!AF$2,1,0))</f>
        <v/>
      </c>
      <c r="AG166" s="125" t="str">
        <f>IF(Ujian!AG173="","",IF(LEFT(Ujian!AG173,1)=SEKOR!AG$2,1,0))</f>
        <v/>
      </c>
      <c r="AH166" s="125" t="str">
        <f>IF(Ujian!AH173="","",IF(LEFT(Ujian!AH173,1)=SEKOR!AH$2,1,0))</f>
        <v/>
      </c>
      <c r="AI166" s="125" t="str">
        <f>IF(Ujian!AI173="","",IF(LEFT(Ujian!AI173,1)=SEKOR!AI$2,1,0))</f>
        <v/>
      </c>
      <c r="AJ166" s="125" t="str">
        <f>IF(Ujian!AJ173="","",IF(LEFT(Ujian!AJ173,1)=SEKOR!AJ$2,1,0))</f>
        <v/>
      </c>
      <c r="AK166" s="125" t="str">
        <f>IF(Ujian!AK173="","",IF(LEFT(Ujian!AK173,1)=SEKOR!AK$2,1,0))</f>
        <v/>
      </c>
      <c r="AL166" s="125" t="str">
        <f>IF(Ujian!AL173="","",IF(LEFT(Ujian!AL173,1)=SEKOR!AL$2,1,0))</f>
        <v/>
      </c>
      <c r="AM166" s="125" t="str">
        <f>IF(Ujian!AM173="","",IF(LEFT(Ujian!AM173,1)=SEKOR!AM$2,1,0))</f>
        <v/>
      </c>
      <c r="AN166" s="125" t="str">
        <f>IF(Ujian!AN173="","",IF(LEFT(Ujian!AN173,1)=SEKOR!AN$2,1,0))</f>
        <v/>
      </c>
      <c r="AO166" s="125" t="str">
        <f>IF(Ujian!AO173="","",IF(LEFT(Ujian!AO173,1)=SEKOR!AO$2,1,0))</f>
        <v/>
      </c>
      <c r="AP166" s="125" t="str">
        <f>IF(Ujian!AP173="","",IF(LEFT(Ujian!AP173,1)=SEKOR!AP$2,1,0))</f>
        <v/>
      </c>
      <c r="AQ166" s="125" t="str">
        <f>IF(Ujian!AQ173="","",IF(LEFT(Ujian!AQ173,1)=SEKOR!AQ$2,1,0))</f>
        <v/>
      </c>
      <c r="AR166" s="125" t="str">
        <f>IF(Ujian!AR173="","",IF(LEFT(Ujian!AR173,1)=SEKOR!AR$2,1,0))</f>
        <v/>
      </c>
      <c r="AS166" s="125" t="str">
        <f>IF(Ujian!AS173="","",IF(LEFT(Ujian!AS173,1)=SEKOR!AS$2,1,0))</f>
        <v/>
      </c>
      <c r="AT166" s="125" t="str">
        <f>IF(Ujian!AT173="","",IF(LEFT(Ujian!AT173,1)=SEKOR!AT$2,1,0))</f>
        <v/>
      </c>
      <c r="AU166" s="125" t="str">
        <f>IF(Ujian!AU173="","",IF(LEFT(Ujian!AU173,1)=SEKOR!AU$2,1,0))</f>
        <v/>
      </c>
      <c r="AV166" s="125" t="str">
        <f>IF(Ujian!AV173="","",IF(LEFT(Ujian!AV173,1)=SEKOR!AV$2,1,0))</f>
        <v/>
      </c>
      <c r="AW166" s="125" t="str">
        <f>IF(Ujian!AW173="","",IF(LEFT(Ujian!AW173,1)=SEKOR!AW$2,1,0))</f>
        <v/>
      </c>
      <c r="AX166" s="125" t="str">
        <f>IF(Ujian!AX173="","",IF(LEFT(Ujian!AX173,1)=SEKOR!AX$2,1,0))</f>
        <v/>
      </c>
      <c r="AY166" s="125" t="str">
        <f>IF(Ujian!AY173="","",IF(LEFT(Ujian!AY173,1)=SEKOR!AY$2,1,0))</f>
        <v/>
      </c>
      <c r="AZ166" s="125" t="str">
        <f>IF(Ujian!AZ173="","",IF(LEFT(Ujian!AZ173,1)=SEKOR!AZ$2,1,0))</f>
        <v/>
      </c>
      <c r="BA166" s="125" t="str">
        <f>IF(Ujian!BA173="","",IF(LEFT(Ujian!BA173,1)=SEKOR!BA$2,1,0))</f>
        <v/>
      </c>
      <c r="BB166" s="125" t="str">
        <f>IF(Ujian!BB173="","",IF(LEFT(Ujian!BB173,1)=SEKOR!BB$2,1,0))</f>
        <v/>
      </c>
      <c r="BC166" s="125" t="str">
        <f>IF(Ujian!BC173="","",IF(LEFT(Ujian!BC173,1)=SEKOR!BC$2,1,0))</f>
        <v/>
      </c>
      <c r="BD166" s="125" t="str">
        <f>IF(Ujian!BD173="","",IF(LEFT(Ujian!BD173,1)=SEKOR!BD$2,1,0))</f>
        <v/>
      </c>
      <c r="BE166" s="125" t="str">
        <f>IF(Ujian!BE173="","",IF(LEFT(Ujian!BE173,1)=SEKOR!BE$2,1,0))</f>
        <v/>
      </c>
      <c r="BF166" s="125" t="str">
        <f>IF(Ujian!BF173="","",IF(LEFT(Ujian!BF173,1)=SEKOR!BF$2,1,0))</f>
        <v/>
      </c>
      <c r="BG166" s="125" t="str">
        <f>IF(Ujian!BG173="","",IF(LEFT(Ujian!BG173,1)=SEKOR!BG$2,1,0))</f>
        <v/>
      </c>
      <c r="BH166" s="125" t="str">
        <f>IF(Ujian!BH173="","",IF(LEFT(Ujian!BH173,1)=SEKOR!BH$2,1,0))</f>
        <v/>
      </c>
      <c r="BI166" s="125" t="str">
        <f>IF(Ujian!BI173="","",IF(LEFT(Ujian!BI173,1)=SEKOR!BI$2,1,0))</f>
        <v/>
      </c>
      <c r="BJ166" s="125" t="str">
        <f>IF(Ujian!BJ173="","",IF(LEFT(Ujian!BJ173,1)=SEKOR!BJ$2,1,0))</f>
        <v/>
      </c>
      <c r="BK166" s="125" t="str">
        <f>IF(Ujian!BK173="","",IF(LEFT(Ujian!BK173,1)=SEKOR!BK$2,1,0))</f>
        <v/>
      </c>
      <c r="BL166" s="18">
        <f t="shared" si="4"/>
        <v>0</v>
      </c>
      <c r="BM166" s="18">
        <f>COUNTIF($D166:$BK166,"")+DATA!$F$14-DATA!$F$12</f>
        <v>60</v>
      </c>
      <c r="BN166" s="17">
        <f>IF(COUNTIF($D166:$BK166,1)&gt;DATA!$F$14,DATA!$F$14,COUNTIF($D166:$BK166,1))</f>
        <v>0</v>
      </c>
      <c r="BO166" s="17">
        <f>IF((BN166+COUNTIF($D166:$BK166,0))&lt;=DATA!$F$14,COUNTIF($D166:$BK166,0),DATA!$F$14-SEKOR!BN166)</f>
        <v>0</v>
      </c>
      <c r="BP166" s="4" t="str">
        <f>IF(BL166=0,"",BN166/DATA!$F$14*100)</f>
        <v/>
      </c>
      <c r="BQ166" s="121" t="str">
        <f t="shared" si="5"/>
        <v/>
      </c>
      <c r="BR166" s="2" t="str">
        <f>IF(Praktik!$E166=0,"",Praktik!$E166)</f>
        <v/>
      </c>
      <c r="BS166" s="2" t="str">
        <f>IF(BR166="","",(BP166*DATAINFO!$O$4)+(SEKOR!BR166*DATAINFO!$O$5)/(DATAINFO!$O$4+DATAINFO!$O$5))</f>
        <v/>
      </c>
      <c r="BT166" s="2" t="str">
        <f>IF(BL166=0,"",IF(DATA!$F$18="TIDAK",ROUNDUP((IF!$L$8*SEKOR!$BP166)+IF!$L$9,0),IF($BR166="","",ROUNDUP((IF!$L$20*$BS166)+IF!$L$21,0))))</f>
        <v/>
      </c>
      <c r="BU166" s="47" t="str">
        <f>IF(BP166="","",IF(SEKOR!BP166&gt;=DATA!$J$12,1,0))</f>
        <v/>
      </c>
      <c r="BV166" s="47" t="str">
        <f>IF(BQ166="","",IF(SEKOR!BQ166&gt;=DATA!$J$12,1,0))</f>
        <v/>
      </c>
      <c r="BW166" s="47" t="str">
        <f>IF(BR166="","",IF(SEKOR!BR166&gt;=DATA!$J$12,1,0))</f>
        <v/>
      </c>
      <c r="BX166" s="47" t="str">
        <f>IF(BT166="","",IF(DATA!$J$14="",IF(SEKOR!BT166&gt;=DATA!$J$12,1,0),IF(SEKOR!BT166&gt;=DATA!$J$14,1,0)))</f>
        <v/>
      </c>
    </row>
    <row r="167" spans="1:76" x14ac:dyDescent="0.25">
      <c r="A167" s="20" t="s">
        <v>194</v>
      </c>
      <c r="B167" s="21" t="str">
        <f>IF(Ujian!B174="","",Ujian!B174)</f>
        <v/>
      </c>
      <c r="C167" s="57" t="str">
        <f>IF(Ujian!C174="","",Ujian!C174)</f>
        <v/>
      </c>
      <c r="D167" s="125" t="str">
        <f>IF(Ujian!D174="","",IF(LEFT(Ujian!D174,1)=SEKOR!D$2,1,0))</f>
        <v/>
      </c>
      <c r="E167" s="125" t="str">
        <f>IF(Ujian!E174="","",IF(LEFT(Ujian!E174,1)=SEKOR!E$2,1,0))</f>
        <v/>
      </c>
      <c r="F167" s="125" t="str">
        <f>IF(Ujian!F174="","",IF(LEFT(Ujian!F174,1)=SEKOR!F$2,1,0))</f>
        <v/>
      </c>
      <c r="G167" s="125" t="str">
        <f>IF(Ujian!G174="","",IF(LEFT(Ujian!G174,1)=SEKOR!G$2,1,0))</f>
        <v/>
      </c>
      <c r="H167" s="125" t="str">
        <f>IF(Ujian!H174="","",IF(LEFT(Ujian!H174,1)=SEKOR!H$2,1,0))</f>
        <v/>
      </c>
      <c r="I167" s="125" t="str">
        <f>IF(Ujian!I174="","",IF(LEFT(Ujian!I174,1)=SEKOR!I$2,1,0))</f>
        <v/>
      </c>
      <c r="J167" s="125" t="str">
        <f>IF(Ujian!J174="","",IF(LEFT(Ujian!J174,1)=SEKOR!J$2,1,0))</f>
        <v/>
      </c>
      <c r="K167" s="125" t="str">
        <f>IF(Ujian!K174="","",IF(LEFT(Ujian!K174,1)=SEKOR!K$2,1,0))</f>
        <v/>
      </c>
      <c r="L167" s="125" t="str">
        <f>IF(Ujian!L174="","",IF(LEFT(Ujian!L174,1)=SEKOR!L$2,1,0))</f>
        <v/>
      </c>
      <c r="M167" s="125" t="str">
        <f>IF(Ujian!M174="","",IF(LEFT(Ujian!M174,1)=SEKOR!M$2,1,0))</f>
        <v/>
      </c>
      <c r="N167" s="125" t="str">
        <f>IF(Ujian!N174="","",IF(LEFT(Ujian!N174,1)=SEKOR!N$2,1,0))</f>
        <v/>
      </c>
      <c r="O167" s="125" t="str">
        <f>IF(Ujian!O174="","",IF(LEFT(Ujian!O174,1)=SEKOR!O$2,1,0))</f>
        <v/>
      </c>
      <c r="P167" s="125" t="str">
        <f>IF(Ujian!P174="","",IF(LEFT(Ujian!P174,1)=SEKOR!P$2,1,0))</f>
        <v/>
      </c>
      <c r="Q167" s="125" t="str">
        <f>IF(Ujian!Q174="","",IF(LEFT(Ujian!Q174,1)=SEKOR!Q$2,1,0))</f>
        <v/>
      </c>
      <c r="R167" s="125" t="str">
        <f>IF(Ujian!R174="","",IF(LEFT(Ujian!R174,1)=SEKOR!R$2,1,0))</f>
        <v/>
      </c>
      <c r="S167" s="125" t="str">
        <f>IF(Ujian!S174="","",IF(LEFT(Ujian!S174,1)=SEKOR!S$2,1,0))</f>
        <v/>
      </c>
      <c r="T167" s="125" t="str">
        <f>IF(Ujian!T174="","",IF(LEFT(Ujian!T174,1)=SEKOR!T$2,1,0))</f>
        <v/>
      </c>
      <c r="U167" s="125" t="str">
        <f>IF(Ujian!U174="","",IF(LEFT(Ujian!U174,1)=SEKOR!U$2,1,0))</f>
        <v/>
      </c>
      <c r="V167" s="125" t="str">
        <f>IF(Ujian!V174="","",IF(LEFT(Ujian!V174,1)=SEKOR!V$2,1,0))</f>
        <v/>
      </c>
      <c r="W167" s="125" t="str">
        <f>IF(Ujian!W174="","",IF(LEFT(Ujian!W174,1)=SEKOR!W$2,1,0))</f>
        <v/>
      </c>
      <c r="X167" s="125" t="str">
        <f>IF(Ujian!X174="","",IF(LEFT(Ujian!X174,1)=SEKOR!X$2,1,0))</f>
        <v/>
      </c>
      <c r="Y167" s="125" t="str">
        <f>IF(Ujian!Y174="","",IF(LEFT(Ujian!Y174,1)=SEKOR!Y$2,1,0))</f>
        <v/>
      </c>
      <c r="Z167" s="125" t="str">
        <f>IF(Ujian!Z174="","",IF(LEFT(Ujian!Z174,1)=SEKOR!Z$2,1,0))</f>
        <v/>
      </c>
      <c r="AA167" s="125" t="str">
        <f>IF(Ujian!AA174="","",IF(LEFT(Ujian!AA174,1)=SEKOR!AA$2,1,0))</f>
        <v/>
      </c>
      <c r="AB167" s="125" t="str">
        <f>IF(Ujian!AB174="","",IF(LEFT(Ujian!AB174,1)=SEKOR!AB$2,1,0))</f>
        <v/>
      </c>
      <c r="AC167" s="125" t="str">
        <f>IF(Ujian!AC174="","",IF(LEFT(Ujian!AC174,1)=SEKOR!AC$2,1,0))</f>
        <v/>
      </c>
      <c r="AD167" s="125" t="str">
        <f>IF(Ujian!AD174="","",IF(LEFT(Ujian!AD174,1)=SEKOR!AD$2,1,0))</f>
        <v/>
      </c>
      <c r="AE167" s="125" t="str">
        <f>IF(Ujian!AE174="","",IF(LEFT(Ujian!AE174,1)=SEKOR!AE$2,1,0))</f>
        <v/>
      </c>
      <c r="AF167" s="125" t="str">
        <f>IF(Ujian!AF174="","",IF(LEFT(Ujian!AF174,1)=SEKOR!AF$2,1,0))</f>
        <v/>
      </c>
      <c r="AG167" s="125" t="str">
        <f>IF(Ujian!AG174="","",IF(LEFT(Ujian!AG174,1)=SEKOR!AG$2,1,0))</f>
        <v/>
      </c>
      <c r="AH167" s="125" t="str">
        <f>IF(Ujian!AH174="","",IF(LEFT(Ujian!AH174,1)=SEKOR!AH$2,1,0))</f>
        <v/>
      </c>
      <c r="AI167" s="125" t="str">
        <f>IF(Ujian!AI174="","",IF(LEFT(Ujian!AI174,1)=SEKOR!AI$2,1,0))</f>
        <v/>
      </c>
      <c r="AJ167" s="125" t="str">
        <f>IF(Ujian!AJ174="","",IF(LEFT(Ujian!AJ174,1)=SEKOR!AJ$2,1,0))</f>
        <v/>
      </c>
      <c r="AK167" s="125" t="str">
        <f>IF(Ujian!AK174="","",IF(LEFT(Ujian!AK174,1)=SEKOR!AK$2,1,0))</f>
        <v/>
      </c>
      <c r="AL167" s="125" t="str">
        <f>IF(Ujian!AL174="","",IF(LEFT(Ujian!AL174,1)=SEKOR!AL$2,1,0))</f>
        <v/>
      </c>
      <c r="AM167" s="125" t="str">
        <f>IF(Ujian!AM174="","",IF(LEFT(Ujian!AM174,1)=SEKOR!AM$2,1,0))</f>
        <v/>
      </c>
      <c r="AN167" s="125" t="str">
        <f>IF(Ujian!AN174="","",IF(LEFT(Ujian!AN174,1)=SEKOR!AN$2,1,0))</f>
        <v/>
      </c>
      <c r="AO167" s="125" t="str">
        <f>IF(Ujian!AO174="","",IF(LEFT(Ujian!AO174,1)=SEKOR!AO$2,1,0))</f>
        <v/>
      </c>
      <c r="AP167" s="125" t="str">
        <f>IF(Ujian!AP174="","",IF(LEFT(Ujian!AP174,1)=SEKOR!AP$2,1,0))</f>
        <v/>
      </c>
      <c r="AQ167" s="125" t="str">
        <f>IF(Ujian!AQ174="","",IF(LEFT(Ujian!AQ174,1)=SEKOR!AQ$2,1,0))</f>
        <v/>
      </c>
      <c r="AR167" s="125" t="str">
        <f>IF(Ujian!AR174="","",IF(LEFT(Ujian!AR174,1)=SEKOR!AR$2,1,0))</f>
        <v/>
      </c>
      <c r="AS167" s="125" t="str">
        <f>IF(Ujian!AS174="","",IF(LEFT(Ujian!AS174,1)=SEKOR!AS$2,1,0))</f>
        <v/>
      </c>
      <c r="AT167" s="125" t="str">
        <f>IF(Ujian!AT174="","",IF(LEFT(Ujian!AT174,1)=SEKOR!AT$2,1,0))</f>
        <v/>
      </c>
      <c r="AU167" s="125" t="str">
        <f>IF(Ujian!AU174="","",IF(LEFT(Ujian!AU174,1)=SEKOR!AU$2,1,0))</f>
        <v/>
      </c>
      <c r="AV167" s="125" t="str">
        <f>IF(Ujian!AV174="","",IF(LEFT(Ujian!AV174,1)=SEKOR!AV$2,1,0))</f>
        <v/>
      </c>
      <c r="AW167" s="125" t="str">
        <f>IF(Ujian!AW174="","",IF(LEFT(Ujian!AW174,1)=SEKOR!AW$2,1,0))</f>
        <v/>
      </c>
      <c r="AX167" s="125" t="str">
        <f>IF(Ujian!AX174="","",IF(LEFT(Ujian!AX174,1)=SEKOR!AX$2,1,0))</f>
        <v/>
      </c>
      <c r="AY167" s="125" t="str">
        <f>IF(Ujian!AY174="","",IF(LEFT(Ujian!AY174,1)=SEKOR!AY$2,1,0))</f>
        <v/>
      </c>
      <c r="AZ167" s="125" t="str">
        <f>IF(Ujian!AZ174="","",IF(LEFT(Ujian!AZ174,1)=SEKOR!AZ$2,1,0))</f>
        <v/>
      </c>
      <c r="BA167" s="125" t="str">
        <f>IF(Ujian!BA174="","",IF(LEFT(Ujian!BA174,1)=SEKOR!BA$2,1,0))</f>
        <v/>
      </c>
      <c r="BB167" s="125" t="str">
        <f>IF(Ujian!BB174="","",IF(LEFT(Ujian!BB174,1)=SEKOR!BB$2,1,0))</f>
        <v/>
      </c>
      <c r="BC167" s="125" t="str">
        <f>IF(Ujian!BC174="","",IF(LEFT(Ujian!BC174,1)=SEKOR!BC$2,1,0))</f>
        <v/>
      </c>
      <c r="BD167" s="125" t="str">
        <f>IF(Ujian!BD174="","",IF(LEFT(Ujian!BD174,1)=SEKOR!BD$2,1,0))</f>
        <v/>
      </c>
      <c r="BE167" s="125" t="str">
        <f>IF(Ujian!BE174="","",IF(LEFT(Ujian!BE174,1)=SEKOR!BE$2,1,0))</f>
        <v/>
      </c>
      <c r="BF167" s="125" t="str">
        <f>IF(Ujian!BF174="","",IF(LEFT(Ujian!BF174,1)=SEKOR!BF$2,1,0))</f>
        <v/>
      </c>
      <c r="BG167" s="125" t="str">
        <f>IF(Ujian!BG174="","",IF(LEFT(Ujian!BG174,1)=SEKOR!BG$2,1,0))</f>
        <v/>
      </c>
      <c r="BH167" s="125" t="str">
        <f>IF(Ujian!BH174="","",IF(LEFT(Ujian!BH174,1)=SEKOR!BH$2,1,0))</f>
        <v/>
      </c>
      <c r="BI167" s="125" t="str">
        <f>IF(Ujian!BI174="","",IF(LEFT(Ujian!BI174,1)=SEKOR!BI$2,1,0))</f>
        <v/>
      </c>
      <c r="BJ167" s="125" t="str">
        <f>IF(Ujian!BJ174="","",IF(LEFT(Ujian!BJ174,1)=SEKOR!BJ$2,1,0))</f>
        <v/>
      </c>
      <c r="BK167" s="125" t="str">
        <f>IF(Ujian!BK174="","",IF(LEFT(Ujian!BK174,1)=SEKOR!BK$2,1,0))</f>
        <v/>
      </c>
      <c r="BL167" s="18">
        <f t="shared" si="4"/>
        <v>0</v>
      </c>
      <c r="BM167" s="18">
        <f>COUNTIF($D167:$BK167,"")+DATA!$F$14-DATA!$F$12</f>
        <v>60</v>
      </c>
      <c r="BN167" s="17">
        <f>IF(COUNTIF($D167:$BK167,1)&gt;DATA!$F$14,DATA!$F$14,COUNTIF($D167:$BK167,1))</f>
        <v>0</v>
      </c>
      <c r="BO167" s="17">
        <f>IF((BN167+COUNTIF($D167:$BK167,0))&lt;=DATA!$F$14,COUNTIF($D167:$BK167,0),DATA!$F$14-SEKOR!BN167)</f>
        <v>0</v>
      </c>
      <c r="BP167" s="4" t="str">
        <f>IF(BL167=0,"",BN167/DATA!$F$14*100)</f>
        <v/>
      </c>
      <c r="BQ167" s="121" t="str">
        <f t="shared" si="5"/>
        <v/>
      </c>
      <c r="BR167" s="2" t="str">
        <f>IF(Praktik!$E167=0,"",Praktik!$E167)</f>
        <v/>
      </c>
      <c r="BS167" s="2" t="str">
        <f>IF(BR167="","",(BP167*DATAINFO!$O$4)+(SEKOR!BR167*DATAINFO!$O$5)/(DATAINFO!$O$4+DATAINFO!$O$5))</f>
        <v/>
      </c>
      <c r="BT167" s="2" t="str">
        <f>IF(BL167=0,"",IF(DATA!$F$18="TIDAK",ROUNDUP((IF!$L$8*SEKOR!$BP167)+IF!$L$9,0),IF($BR167="","",ROUNDUP((IF!$L$20*$BS167)+IF!$L$21,0))))</f>
        <v/>
      </c>
      <c r="BU167" s="47" t="str">
        <f>IF(BP167="","",IF(SEKOR!BP167&gt;=DATA!$J$12,1,0))</f>
        <v/>
      </c>
      <c r="BV167" s="47" t="str">
        <f>IF(BQ167="","",IF(SEKOR!BQ167&gt;=DATA!$J$12,1,0))</f>
        <v/>
      </c>
      <c r="BW167" s="47" t="str">
        <f>IF(BR167="","",IF(SEKOR!BR167&gt;=DATA!$J$12,1,0))</f>
        <v/>
      </c>
      <c r="BX167" s="47" t="str">
        <f>IF(BT167="","",IF(DATA!$J$14="",IF(SEKOR!BT167&gt;=DATA!$J$12,1,0),IF(SEKOR!BT167&gt;=DATA!$J$14,1,0)))</f>
        <v/>
      </c>
    </row>
    <row r="168" spans="1:76" x14ac:dyDescent="0.25">
      <c r="A168" s="20" t="s">
        <v>195</v>
      </c>
      <c r="B168" s="21" t="str">
        <f>IF(Ujian!B175="","",Ujian!B175)</f>
        <v/>
      </c>
      <c r="C168" s="57" t="str">
        <f>IF(Ujian!C175="","",Ujian!C175)</f>
        <v/>
      </c>
      <c r="D168" s="125" t="str">
        <f>IF(Ujian!D175="","",IF(LEFT(Ujian!D175,1)=SEKOR!D$2,1,0))</f>
        <v/>
      </c>
      <c r="E168" s="125" t="str">
        <f>IF(Ujian!E175="","",IF(LEFT(Ujian!E175,1)=SEKOR!E$2,1,0))</f>
        <v/>
      </c>
      <c r="F168" s="125" t="str">
        <f>IF(Ujian!F175="","",IF(LEFT(Ujian!F175,1)=SEKOR!F$2,1,0))</f>
        <v/>
      </c>
      <c r="G168" s="125" t="str">
        <f>IF(Ujian!G175="","",IF(LEFT(Ujian!G175,1)=SEKOR!G$2,1,0))</f>
        <v/>
      </c>
      <c r="H168" s="125" t="str">
        <f>IF(Ujian!H175="","",IF(LEFT(Ujian!H175,1)=SEKOR!H$2,1,0))</f>
        <v/>
      </c>
      <c r="I168" s="125" t="str">
        <f>IF(Ujian!I175="","",IF(LEFT(Ujian!I175,1)=SEKOR!I$2,1,0))</f>
        <v/>
      </c>
      <c r="J168" s="125" t="str">
        <f>IF(Ujian!J175="","",IF(LEFT(Ujian!J175,1)=SEKOR!J$2,1,0))</f>
        <v/>
      </c>
      <c r="K168" s="125" t="str">
        <f>IF(Ujian!K175="","",IF(LEFT(Ujian!K175,1)=SEKOR!K$2,1,0))</f>
        <v/>
      </c>
      <c r="L168" s="125" t="str">
        <f>IF(Ujian!L175="","",IF(LEFT(Ujian!L175,1)=SEKOR!L$2,1,0))</f>
        <v/>
      </c>
      <c r="M168" s="125" t="str">
        <f>IF(Ujian!M175="","",IF(LEFT(Ujian!M175,1)=SEKOR!M$2,1,0))</f>
        <v/>
      </c>
      <c r="N168" s="125" t="str">
        <f>IF(Ujian!N175="","",IF(LEFT(Ujian!N175,1)=SEKOR!N$2,1,0))</f>
        <v/>
      </c>
      <c r="O168" s="125" t="str">
        <f>IF(Ujian!O175="","",IF(LEFT(Ujian!O175,1)=SEKOR!O$2,1,0))</f>
        <v/>
      </c>
      <c r="P168" s="125" t="str">
        <f>IF(Ujian!P175="","",IF(LEFT(Ujian!P175,1)=SEKOR!P$2,1,0))</f>
        <v/>
      </c>
      <c r="Q168" s="125" t="str">
        <f>IF(Ujian!Q175="","",IF(LEFT(Ujian!Q175,1)=SEKOR!Q$2,1,0))</f>
        <v/>
      </c>
      <c r="R168" s="125" t="str">
        <f>IF(Ujian!R175="","",IF(LEFT(Ujian!R175,1)=SEKOR!R$2,1,0))</f>
        <v/>
      </c>
      <c r="S168" s="125" t="str">
        <f>IF(Ujian!S175="","",IF(LEFT(Ujian!S175,1)=SEKOR!S$2,1,0))</f>
        <v/>
      </c>
      <c r="T168" s="125" t="str">
        <f>IF(Ujian!T175="","",IF(LEFT(Ujian!T175,1)=SEKOR!T$2,1,0))</f>
        <v/>
      </c>
      <c r="U168" s="125" t="str">
        <f>IF(Ujian!U175="","",IF(LEFT(Ujian!U175,1)=SEKOR!U$2,1,0))</f>
        <v/>
      </c>
      <c r="V168" s="125" t="str">
        <f>IF(Ujian!V175="","",IF(LEFT(Ujian!V175,1)=SEKOR!V$2,1,0))</f>
        <v/>
      </c>
      <c r="W168" s="125" t="str">
        <f>IF(Ujian!W175="","",IF(LEFT(Ujian!W175,1)=SEKOR!W$2,1,0))</f>
        <v/>
      </c>
      <c r="X168" s="125" t="str">
        <f>IF(Ujian!X175="","",IF(LEFT(Ujian!X175,1)=SEKOR!X$2,1,0))</f>
        <v/>
      </c>
      <c r="Y168" s="125" t="str">
        <f>IF(Ujian!Y175="","",IF(LEFT(Ujian!Y175,1)=SEKOR!Y$2,1,0))</f>
        <v/>
      </c>
      <c r="Z168" s="125" t="str">
        <f>IF(Ujian!Z175="","",IF(LEFT(Ujian!Z175,1)=SEKOR!Z$2,1,0))</f>
        <v/>
      </c>
      <c r="AA168" s="125" t="str">
        <f>IF(Ujian!AA175="","",IF(LEFT(Ujian!AA175,1)=SEKOR!AA$2,1,0))</f>
        <v/>
      </c>
      <c r="AB168" s="125" t="str">
        <f>IF(Ujian!AB175="","",IF(LEFT(Ujian!AB175,1)=SEKOR!AB$2,1,0))</f>
        <v/>
      </c>
      <c r="AC168" s="125" t="str">
        <f>IF(Ujian!AC175="","",IF(LEFT(Ujian!AC175,1)=SEKOR!AC$2,1,0))</f>
        <v/>
      </c>
      <c r="AD168" s="125" t="str">
        <f>IF(Ujian!AD175="","",IF(LEFT(Ujian!AD175,1)=SEKOR!AD$2,1,0))</f>
        <v/>
      </c>
      <c r="AE168" s="125" t="str">
        <f>IF(Ujian!AE175="","",IF(LEFT(Ujian!AE175,1)=SEKOR!AE$2,1,0))</f>
        <v/>
      </c>
      <c r="AF168" s="125" t="str">
        <f>IF(Ujian!AF175="","",IF(LEFT(Ujian!AF175,1)=SEKOR!AF$2,1,0))</f>
        <v/>
      </c>
      <c r="AG168" s="125" t="str">
        <f>IF(Ujian!AG175="","",IF(LEFT(Ujian!AG175,1)=SEKOR!AG$2,1,0))</f>
        <v/>
      </c>
      <c r="AH168" s="125" t="str">
        <f>IF(Ujian!AH175="","",IF(LEFT(Ujian!AH175,1)=SEKOR!AH$2,1,0))</f>
        <v/>
      </c>
      <c r="AI168" s="125" t="str">
        <f>IF(Ujian!AI175="","",IF(LEFT(Ujian!AI175,1)=SEKOR!AI$2,1,0))</f>
        <v/>
      </c>
      <c r="AJ168" s="125" t="str">
        <f>IF(Ujian!AJ175="","",IF(LEFT(Ujian!AJ175,1)=SEKOR!AJ$2,1,0))</f>
        <v/>
      </c>
      <c r="AK168" s="125" t="str">
        <f>IF(Ujian!AK175="","",IF(LEFT(Ujian!AK175,1)=SEKOR!AK$2,1,0))</f>
        <v/>
      </c>
      <c r="AL168" s="125" t="str">
        <f>IF(Ujian!AL175="","",IF(LEFT(Ujian!AL175,1)=SEKOR!AL$2,1,0))</f>
        <v/>
      </c>
      <c r="AM168" s="125" t="str">
        <f>IF(Ujian!AM175="","",IF(LEFT(Ujian!AM175,1)=SEKOR!AM$2,1,0))</f>
        <v/>
      </c>
      <c r="AN168" s="125" t="str">
        <f>IF(Ujian!AN175="","",IF(LEFT(Ujian!AN175,1)=SEKOR!AN$2,1,0))</f>
        <v/>
      </c>
      <c r="AO168" s="125" t="str">
        <f>IF(Ujian!AO175="","",IF(LEFT(Ujian!AO175,1)=SEKOR!AO$2,1,0))</f>
        <v/>
      </c>
      <c r="AP168" s="125" t="str">
        <f>IF(Ujian!AP175="","",IF(LEFT(Ujian!AP175,1)=SEKOR!AP$2,1,0))</f>
        <v/>
      </c>
      <c r="AQ168" s="125" t="str">
        <f>IF(Ujian!AQ175="","",IF(LEFT(Ujian!AQ175,1)=SEKOR!AQ$2,1,0))</f>
        <v/>
      </c>
      <c r="AR168" s="125" t="str">
        <f>IF(Ujian!AR175="","",IF(LEFT(Ujian!AR175,1)=SEKOR!AR$2,1,0))</f>
        <v/>
      </c>
      <c r="AS168" s="125" t="str">
        <f>IF(Ujian!AS175="","",IF(LEFT(Ujian!AS175,1)=SEKOR!AS$2,1,0))</f>
        <v/>
      </c>
      <c r="AT168" s="125" t="str">
        <f>IF(Ujian!AT175="","",IF(LEFT(Ujian!AT175,1)=SEKOR!AT$2,1,0))</f>
        <v/>
      </c>
      <c r="AU168" s="125" t="str">
        <f>IF(Ujian!AU175="","",IF(LEFT(Ujian!AU175,1)=SEKOR!AU$2,1,0))</f>
        <v/>
      </c>
      <c r="AV168" s="125" t="str">
        <f>IF(Ujian!AV175="","",IF(LEFT(Ujian!AV175,1)=SEKOR!AV$2,1,0))</f>
        <v/>
      </c>
      <c r="AW168" s="125" t="str">
        <f>IF(Ujian!AW175="","",IF(LEFT(Ujian!AW175,1)=SEKOR!AW$2,1,0))</f>
        <v/>
      </c>
      <c r="AX168" s="125" t="str">
        <f>IF(Ujian!AX175="","",IF(LEFT(Ujian!AX175,1)=SEKOR!AX$2,1,0))</f>
        <v/>
      </c>
      <c r="AY168" s="125" t="str">
        <f>IF(Ujian!AY175="","",IF(LEFT(Ujian!AY175,1)=SEKOR!AY$2,1,0))</f>
        <v/>
      </c>
      <c r="AZ168" s="125" t="str">
        <f>IF(Ujian!AZ175="","",IF(LEFT(Ujian!AZ175,1)=SEKOR!AZ$2,1,0))</f>
        <v/>
      </c>
      <c r="BA168" s="125" t="str">
        <f>IF(Ujian!BA175="","",IF(LEFT(Ujian!BA175,1)=SEKOR!BA$2,1,0))</f>
        <v/>
      </c>
      <c r="BB168" s="125" t="str">
        <f>IF(Ujian!BB175="","",IF(LEFT(Ujian!BB175,1)=SEKOR!BB$2,1,0))</f>
        <v/>
      </c>
      <c r="BC168" s="125" t="str">
        <f>IF(Ujian!BC175="","",IF(LEFT(Ujian!BC175,1)=SEKOR!BC$2,1,0))</f>
        <v/>
      </c>
      <c r="BD168" s="125" t="str">
        <f>IF(Ujian!BD175="","",IF(LEFT(Ujian!BD175,1)=SEKOR!BD$2,1,0))</f>
        <v/>
      </c>
      <c r="BE168" s="125" t="str">
        <f>IF(Ujian!BE175="","",IF(LEFT(Ujian!BE175,1)=SEKOR!BE$2,1,0))</f>
        <v/>
      </c>
      <c r="BF168" s="125" t="str">
        <f>IF(Ujian!BF175="","",IF(LEFT(Ujian!BF175,1)=SEKOR!BF$2,1,0))</f>
        <v/>
      </c>
      <c r="BG168" s="125" t="str">
        <f>IF(Ujian!BG175="","",IF(LEFT(Ujian!BG175,1)=SEKOR!BG$2,1,0))</f>
        <v/>
      </c>
      <c r="BH168" s="125" t="str">
        <f>IF(Ujian!BH175="","",IF(LEFT(Ujian!BH175,1)=SEKOR!BH$2,1,0))</f>
        <v/>
      </c>
      <c r="BI168" s="125" t="str">
        <f>IF(Ujian!BI175="","",IF(LEFT(Ujian!BI175,1)=SEKOR!BI$2,1,0))</f>
        <v/>
      </c>
      <c r="BJ168" s="125" t="str">
        <f>IF(Ujian!BJ175="","",IF(LEFT(Ujian!BJ175,1)=SEKOR!BJ$2,1,0))</f>
        <v/>
      </c>
      <c r="BK168" s="125" t="str">
        <f>IF(Ujian!BK175="","",IF(LEFT(Ujian!BK175,1)=SEKOR!BK$2,1,0))</f>
        <v/>
      </c>
      <c r="BL168" s="18">
        <f t="shared" si="4"/>
        <v>0</v>
      </c>
      <c r="BM168" s="18">
        <f>COUNTIF($D168:$BK168,"")+DATA!$F$14-DATA!$F$12</f>
        <v>60</v>
      </c>
      <c r="BN168" s="17">
        <f>IF(COUNTIF($D168:$BK168,1)&gt;DATA!$F$14,DATA!$F$14,COUNTIF($D168:$BK168,1))</f>
        <v>0</v>
      </c>
      <c r="BO168" s="17">
        <f>IF((BN168+COUNTIF($D168:$BK168,0))&lt;=DATA!$F$14,COUNTIF($D168:$BK168,0),DATA!$F$14-SEKOR!BN168)</f>
        <v>0</v>
      </c>
      <c r="BP168" s="4" t="str">
        <f>IF(BL168=0,"",BN168/DATA!$F$14*100)</f>
        <v/>
      </c>
      <c r="BQ168" s="121" t="str">
        <f t="shared" si="5"/>
        <v/>
      </c>
      <c r="BR168" s="2" t="str">
        <f>IF(Praktik!$E168=0,"",Praktik!$E168)</f>
        <v/>
      </c>
      <c r="BS168" s="2" t="str">
        <f>IF(BR168="","",(BP168*DATAINFO!$O$4)+(SEKOR!BR168*DATAINFO!$O$5)/(DATAINFO!$O$4+DATAINFO!$O$5))</f>
        <v/>
      </c>
      <c r="BT168" s="2" t="str">
        <f>IF(BL168=0,"",IF(DATA!$F$18="TIDAK",ROUNDUP((IF!$L$8*SEKOR!$BP168)+IF!$L$9,0),IF($BR168="","",ROUNDUP((IF!$L$20*$BS168)+IF!$L$21,0))))</f>
        <v/>
      </c>
      <c r="BU168" s="47" t="str">
        <f>IF(BP168="","",IF(SEKOR!BP168&gt;=DATA!$J$12,1,0))</f>
        <v/>
      </c>
      <c r="BV168" s="47" t="str">
        <f>IF(BQ168="","",IF(SEKOR!BQ168&gt;=DATA!$J$12,1,0))</f>
        <v/>
      </c>
      <c r="BW168" s="47" t="str">
        <f>IF(BR168="","",IF(SEKOR!BR168&gt;=DATA!$J$12,1,0))</f>
        <v/>
      </c>
      <c r="BX168" s="47" t="str">
        <f>IF(BT168="","",IF(DATA!$J$14="",IF(SEKOR!BT168&gt;=DATA!$J$12,1,0),IF(SEKOR!BT168&gt;=DATA!$J$14,1,0)))</f>
        <v/>
      </c>
    </row>
    <row r="169" spans="1:76" x14ac:dyDescent="0.25">
      <c r="A169" s="20" t="s">
        <v>196</v>
      </c>
      <c r="B169" s="21" t="str">
        <f>IF(Ujian!B176="","",Ujian!B176)</f>
        <v/>
      </c>
      <c r="C169" s="57" t="str">
        <f>IF(Ujian!C176="","",Ujian!C176)</f>
        <v/>
      </c>
      <c r="D169" s="125" t="str">
        <f>IF(Ujian!D176="","",IF(LEFT(Ujian!D176,1)=SEKOR!D$2,1,0))</f>
        <v/>
      </c>
      <c r="E169" s="125" t="str">
        <f>IF(Ujian!E176="","",IF(LEFT(Ujian!E176,1)=SEKOR!E$2,1,0))</f>
        <v/>
      </c>
      <c r="F169" s="125" t="str">
        <f>IF(Ujian!F176="","",IF(LEFT(Ujian!F176,1)=SEKOR!F$2,1,0))</f>
        <v/>
      </c>
      <c r="G169" s="125" t="str">
        <f>IF(Ujian!G176="","",IF(LEFT(Ujian!G176,1)=SEKOR!G$2,1,0))</f>
        <v/>
      </c>
      <c r="H169" s="125" t="str">
        <f>IF(Ujian!H176="","",IF(LEFT(Ujian!H176,1)=SEKOR!H$2,1,0))</f>
        <v/>
      </c>
      <c r="I169" s="125" t="str">
        <f>IF(Ujian!I176="","",IF(LEFT(Ujian!I176,1)=SEKOR!I$2,1,0))</f>
        <v/>
      </c>
      <c r="J169" s="125" t="str">
        <f>IF(Ujian!J176="","",IF(LEFT(Ujian!J176,1)=SEKOR!J$2,1,0))</f>
        <v/>
      </c>
      <c r="K169" s="125" t="str">
        <f>IF(Ujian!K176="","",IF(LEFT(Ujian!K176,1)=SEKOR!K$2,1,0))</f>
        <v/>
      </c>
      <c r="L169" s="125" t="str">
        <f>IF(Ujian!L176="","",IF(LEFT(Ujian!L176,1)=SEKOR!L$2,1,0))</f>
        <v/>
      </c>
      <c r="M169" s="125" t="str">
        <f>IF(Ujian!M176="","",IF(LEFT(Ujian!M176,1)=SEKOR!M$2,1,0))</f>
        <v/>
      </c>
      <c r="N169" s="125" t="str">
        <f>IF(Ujian!N176="","",IF(LEFT(Ujian!N176,1)=SEKOR!N$2,1,0))</f>
        <v/>
      </c>
      <c r="O169" s="125" t="str">
        <f>IF(Ujian!O176="","",IF(LEFT(Ujian!O176,1)=SEKOR!O$2,1,0))</f>
        <v/>
      </c>
      <c r="P169" s="125" t="str">
        <f>IF(Ujian!P176="","",IF(LEFT(Ujian!P176,1)=SEKOR!P$2,1,0))</f>
        <v/>
      </c>
      <c r="Q169" s="125" t="str">
        <f>IF(Ujian!Q176="","",IF(LEFT(Ujian!Q176,1)=SEKOR!Q$2,1,0))</f>
        <v/>
      </c>
      <c r="R169" s="125" t="str">
        <f>IF(Ujian!R176="","",IF(LEFT(Ujian!R176,1)=SEKOR!R$2,1,0))</f>
        <v/>
      </c>
      <c r="S169" s="125" t="str">
        <f>IF(Ujian!S176="","",IF(LEFT(Ujian!S176,1)=SEKOR!S$2,1,0))</f>
        <v/>
      </c>
      <c r="T169" s="125" t="str">
        <f>IF(Ujian!T176="","",IF(LEFT(Ujian!T176,1)=SEKOR!T$2,1,0))</f>
        <v/>
      </c>
      <c r="U169" s="125" t="str">
        <f>IF(Ujian!U176="","",IF(LEFT(Ujian!U176,1)=SEKOR!U$2,1,0))</f>
        <v/>
      </c>
      <c r="V169" s="125" t="str">
        <f>IF(Ujian!V176="","",IF(LEFT(Ujian!V176,1)=SEKOR!V$2,1,0))</f>
        <v/>
      </c>
      <c r="W169" s="125" t="str">
        <f>IF(Ujian!W176="","",IF(LEFT(Ujian!W176,1)=SEKOR!W$2,1,0))</f>
        <v/>
      </c>
      <c r="X169" s="125" t="str">
        <f>IF(Ujian!X176="","",IF(LEFT(Ujian!X176,1)=SEKOR!X$2,1,0))</f>
        <v/>
      </c>
      <c r="Y169" s="125" t="str">
        <f>IF(Ujian!Y176="","",IF(LEFT(Ujian!Y176,1)=SEKOR!Y$2,1,0))</f>
        <v/>
      </c>
      <c r="Z169" s="125" t="str">
        <f>IF(Ujian!Z176="","",IF(LEFT(Ujian!Z176,1)=SEKOR!Z$2,1,0))</f>
        <v/>
      </c>
      <c r="AA169" s="125" t="str">
        <f>IF(Ujian!AA176="","",IF(LEFT(Ujian!AA176,1)=SEKOR!AA$2,1,0))</f>
        <v/>
      </c>
      <c r="AB169" s="125" t="str">
        <f>IF(Ujian!AB176="","",IF(LEFT(Ujian!AB176,1)=SEKOR!AB$2,1,0))</f>
        <v/>
      </c>
      <c r="AC169" s="125" t="str">
        <f>IF(Ujian!AC176="","",IF(LEFT(Ujian!AC176,1)=SEKOR!AC$2,1,0))</f>
        <v/>
      </c>
      <c r="AD169" s="125" t="str">
        <f>IF(Ujian!AD176="","",IF(LEFT(Ujian!AD176,1)=SEKOR!AD$2,1,0))</f>
        <v/>
      </c>
      <c r="AE169" s="125" t="str">
        <f>IF(Ujian!AE176="","",IF(LEFT(Ujian!AE176,1)=SEKOR!AE$2,1,0))</f>
        <v/>
      </c>
      <c r="AF169" s="125" t="str">
        <f>IF(Ujian!AF176="","",IF(LEFT(Ujian!AF176,1)=SEKOR!AF$2,1,0))</f>
        <v/>
      </c>
      <c r="AG169" s="125" t="str">
        <f>IF(Ujian!AG176="","",IF(LEFT(Ujian!AG176,1)=SEKOR!AG$2,1,0))</f>
        <v/>
      </c>
      <c r="AH169" s="125" t="str">
        <f>IF(Ujian!AH176="","",IF(LEFT(Ujian!AH176,1)=SEKOR!AH$2,1,0))</f>
        <v/>
      </c>
      <c r="AI169" s="125" t="str">
        <f>IF(Ujian!AI176="","",IF(LEFT(Ujian!AI176,1)=SEKOR!AI$2,1,0))</f>
        <v/>
      </c>
      <c r="AJ169" s="125" t="str">
        <f>IF(Ujian!AJ176="","",IF(LEFT(Ujian!AJ176,1)=SEKOR!AJ$2,1,0))</f>
        <v/>
      </c>
      <c r="AK169" s="125" t="str">
        <f>IF(Ujian!AK176="","",IF(LEFT(Ujian!AK176,1)=SEKOR!AK$2,1,0))</f>
        <v/>
      </c>
      <c r="AL169" s="125" t="str">
        <f>IF(Ujian!AL176="","",IF(LEFT(Ujian!AL176,1)=SEKOR!AL$2,1,0))</f>
        <v/>
      </c>
      <c r="AM169" s="125" t="str">
        <f>IF(Ujian!AM176="","",IF(LEFT(Ujian!AM176,1)=SEKOR!AM$2,1,0))</f>
        <v/>
      </c>
      <c r="AN169" s="125" t="str">
        <f>IF(Ujian!AN176="","",IF(LEFT(Ujian!AN176,1)=SEKOR!AN$2,1,0))</f>
        <v/>
      </c>
      <c r="AO169" s="125" t="str">
        <f>IF(Ujian!AO176="","",IF(LEFT(Ujian!AO176,1)=SEKOR!AO$2,1,0))</f>
        <v/>
      </c>
      <c r="AP169" s="125" t="str">
        <f>IF(Ujian!AP176="","",IF(LEFT(Ujian!AP176,1)=SEKOR!AP$2,1,0))</f>
        <v/>
      </c>
      <c r="AQ169" s="125" t="str">
        <f>IF(Ujian!AQ176="","",IF(LEFT(Ujian!AQ176,1)=SEKOR!AQ$2,1,0))</f>
        <v/>
      </c>
      <c r="AR169" s="125" t="str">
        <f>IF(Ujian!AR176="","",IF(LEFT(Ujian!AR176,1)=SEKOR!AR$2,1,0))</f>
        <v/>
      </c>
      <c r="AS169" s="125" t="str">
        <f>IF(Ujian!AS176="","",IF(LEFT(Ujian!AS176,1)=SEKOR!AS$2,1,0))</f>
        <v/>
      </c>
      <c r="AT169" s="125" t="str">
        <f>IF(Ujian!AT176="","",IF(LEFT(Ujian!AT176,1)=SEKOR!AT$2,1,0))</f>
        <v/>
      </c>
      <c r="AU169" s="125" t="str">
        <f>IF(Ujian!AU176="","",IF(LEFT(Ujian!AU176,1)=SEKOR!AU$2,1,0))</f>
        <v/>
      </c>
      <c r="AV169" s="125" t="str">
        <f>IF(Ujian!AV176="","",IF(LEFT(Ujian!AV176,1)=SEKOR!AV$2,1,0))</f>
        <v/>
      </c>
      <c r="AW169" s="125" t="str">
        <f>IF(Ujian!AW176="","",IF(LEFT(Ujian!AW176,1)=SEKOR!AW$2,1,0))</f>
        <v/>
      </c>
      <c r="AX169" s="125" t="str">
        <f>IF(Ujian!AX176="","",IF(LEFT(Ujian!AX176,1)=SEKOR!AX$2,1,0))</f>
        <v/>
      </c>
      <c r="AY169" s="125" t="str">
        <f>IF(Ujian!AY176="","",IF(LEFT(Ujian!AY176,1)=SEKOR!AY$2,1,0))</f>
        <v/>
      </c>
      <c r="AZ169" s="125" t="str">
        <f>IF(Ujian!AZ176="","",IF(LEFT(Ujian!AZ176,1)=SEKOR!AZ$2,1,0))</f>
        <v/>
      </c>
      <c r="BA169" s="125" t="str">
        <f>IF(Ujian!BA176="","",IF(LEFT(Ujian!BA176,1)=SEKOR!BA$2,1,0))</f>
        <v/>
      </c>
      <c r="BB169" s="125" t="str">
        <f>IF(Ujian!BB176="","",IF(LEFT(Ujian!BB176,1)=SEKOR!BB$2,1,0))</f>
        <v/>
      </c>
      <c r="BC169" s="125" t="str">
        <f>IF(Ujian!BC176="","",IF(LEFT(Ujian!BC176,1)=SEKOR!BC$2,1,0))</f>
        <v/>
      </c>
      <c r="BD169" s="125" t="str">
        <f>IF(Ujian!BD176="","",IF(LEFT(Ujian!BD176,1)=SEKOR!BD$2,1,0))</f>
        <v/>
      </c>
      <c r="BE169" s="125" t="str">
        <f>IF(Ujian!BE176="","",IF(LEFT(Ujian!BE176,1)=SEKOR!BE$2,1,0))</f>
        <v/>
      </c>
      <c r="BF169" s="125" t="str">
        <f>IF(Ujian!BF176="","",IF(LEFT(Ujian!BF176,1)=SEKOR!BF$2,1,0))</f>
        <v/>
      </c>
      <c r="BG169" s="125" t="str">
        <f>IF(Ujian!BG176="","",IF(LEFT(Ujian!BG176,1)=SEKOR!BG$2,1,0))</f>
        <v/>
      </c>
      <c r="BH169" s="125" t="str">
        <f>IF(Ujian!BH176="","",IF(LEFT(Ujian!BH176,1)=SEKOR!BH$2,1,0))</f>
        <v/>
      </c>
      <c r="BI169" s="125" t="str">
        <f>IF(Ujian!BI176="","",IF(LEFT(Ujian!BI176,1)=SEKOR!BI$2,1,0))</f>
        <v/>
      </c>
      <c r="BJ169" s="125" t="str">
        <f>IF(Ujian!BJ176="","",IF(LEFT(Ujian!BJ176,1)=SEKOR!BJ$2,1,0))</f>
        <v/>
      </c>
      <c r="BK169" s="125" t="str">
        <f>IF(Ujian!BK176="","",IF(LEFT(Ujian!BK176,1)=SEKOR!BK$2,1,0))</f>
        <v/>
      </c>
      <c r="BL169" s="18">
        <f t="shared" si="4"/>
        <v>0</v>
      </c>
      <c r="BM169" s="18">
        <f>COUNTIF($D169:$BK169,"")+DATA!$F$14-DATA!$F$12</f>
        <v>60</v>
      </c>
      <c r="BN169" s="17">
        <f>IF(COUNTIF($D169:$BK169,1)&gt;DATA!$F$14,DATA!$F$14,COUNTIF($D169:$BK169,1))</f>
        <v>0</v>
      </c>
      <c r="BO169" s="17">
        <f>IF((BN169+COUNTIF($D169:$BK169,0))&lt;=DATA!$F$14,COUNTIF($D169:$BK169,0),DATA!$F$14-SEKOR!BN169)</f>
        <v>0</v>
      </c>
      <c r="BP169" s="4" t="str">
        <f>IF(BL169=0,"",BN169/DATA!$F$14*100)</f>
        <v/>
      </c>
      <c r="BQ169" s="121" t="str">
        <f t="shared" si="5"/>
        <v/>
      </c>
      <c r="BR169" s="2" t="str">
        <f>IF(Praktik!$E169=0,"",Praktik!$E169)</f>
        <v/>
      </c>
      <c r="BS169" s="2" t="str">
        <f>IF(BR169="","",(BP169*DATAINFO!$O$4)+(SEKOR!BR169*DATAINFO!$O$5)/(DATAINFO!$O$4+DATAINFO!$O$5))</f>
        <v/>
      </c>
      <c r="BT169" s="2" t="str">
        <f>IF(BL169=0,"",IF(DATA!$F$18="TIDAK",ROUNDUP((IF!$L$8*SEKOR!$BP169)+IF!$L$9,0),IF($BR169="","",ROUNDUP((IF!$L$20*$BS169)+IF!$L$21,0))))</f>
        <v/>
      </c>
      <c r="BU169" s="47" t="str">
        <f>IF(BP169="","",IF(SEKOR!BP169&gt;=DATA!$J$12,1,0))</f>
        <v/>
      </c>
      <c r="BV169" s="47" t="str">
        <f>IF(BQ169="","",IF(SEKOR!BQ169&gt;=DATA!$J$12,1,0))</f>
        <v/>
      </c>
      <c r="BW169" s="47" t="str">
        <f>IF(BR169="","",IF(SEKOR!BR169&gt;=DATA!$J$12,1,0))</f>
        <v/>
      </c>
      <c r="BX169" s="47" t="str">
        <f>IF(BT169="","",IF(DATA!$J$14="",IF(SEKOR!BT169&gt;=DATA!$J$12,1,0),IF(SEKOR!BT169&gt;=DATA!$J$14,1,0)))</f>
        <v/>
      </c>
    </row>
    <row r="170" spans="1:76" x14ac:dyDescent="0.25">
      <c r="A170" s="20" t="s">
        <v>197</v>
      </c>
      <c r="B170" s="21" t="str">
        <f>IF(Ujian!B177="","",Ujian!B177)</f>
        <v/>
      </c>
      <c r="C170" s="57" t="str">
        <f>IF(Ujian!C177="","",Ujian!C177)</f>
        <v/>
      </c>
      <c r="D170" s="125" t="str">
        <f>IF(Ujian!D177="","",IF(LEFT(Ujian!D177,1)=SEKOR!D$2,1,0))</f>
        <v/>
      </c>
      <c r="E170" s="125" t="str">
        <f>IF(Ujian!E177="","",IF(LEFT(Ujian!E177,1)=SEKOR!E$2,1,0))</f>
        <v/>
      </c>
      <c r="F170" s="125" t="str">
        <f>IF(Ujian!F177="","",IF(LEFT(Ujian!F177,1)=SEKOR!F$2,1,0))</f>
        <v/>
      </c>
      <c r="G170" s="125" t="str">
        <f>IF(Ujian!G177="","",IF(LEFT(Ujian!G177,1)=SEKOR!G$2,1,0))</f>
        <v/>
      </c>
      <c r="H170" s="125" t="str">
        <f>IF(Ujian!H177="","",IF(LEFT(Ujian!H177,1)=SEKOR!H$2,1,0))</f>
        <v/>
      </c>
      <c r="I170" s="125" t="str">
        <f>IF(Ujian!I177="","",IF(LEFT(Ujian!I177,1)=SEKOR!I$2,1,0))</f>
        <v/>
      </c>
      <c r="J170" s="125" t="str">
        <f>IF(Ujian!J177="","",IF(LEFT(Ujian!J177,1)=SEKOR!J$2,1,0))</f>
        <v/>
      </c>
      <c r="K170" s="125" t="str">
        <f>IF(Ujian!K177="","",IF(LEFT(Ujian!K177,1)=SEKOR!K$2,1,0))</f>
        <v/>
      </c>
      <c r="L170" s="125" t="str">
        <f>IF(Ujian!L177="","",IF(LEFT(Ujian!L177,1)=SEKOR!L$2,1,0))</f>
        <v/>
      </c>
      <c r="M170" s="125" t="str">
        <f>IF(Ujian!M177="","",IF(LEFT(Ujian!M177,1)=SEKOR!M$2,1,0))</f>
        <v/>
      </c>
      <c r="N170" s="125" t="str">
        <f>IF(Ujian!N177="","",IF(LEFT(Ujian!N177,1)=SEKOR!N$2,1,0))</f>
        <v/>
      </c>
      <c r="O170" s="125" t="str">
        <f>IF(Ujian!O177="","",IF(LEFT(Ujian!O177,1)=SEKOR!O$2,1,0))</f>
        <v/>
      </c>
      <c r="P170" s="125" t="str">
        <f>IF(Ujian!P177="","",IF(LEFT(Ujian!P177,1)=SEKOR!P$2,1,0))</f>
        <v/>
      </c>
      <c r="Q170" s="125" t="str">
        <f>IF(Ujian!Q177="","",IF(LEFT(Ujian!Q177,1)=SEKOR!Q$2,1,0))</f>
        <v/>
      </c>
      <c r="R170" s="125" t="str">
        <f>IF(Ujian!R177="","",IF(LEFT(Ujian!R177,1)=SEKOR!R$2,1,0))</f>
        <v/>
      </c>
      <c r="S170" s="125" t="str">
        <f>IF(Ujian!S177="","",IF(LEFT(Ujian!S177,1)=SEKOR!S$2,1,0))</f>
        <v/>
      </c>
      <c r="T170" s="125" t="str">
        <f>IF(Ujian!T177="","",IF(LEFT(Ujian!T177,1)=SEKOR!T$2,1,0))</f>
        <v/>
      </c>
      <c r="U170" s="125" t="str">
        <f>IF(Ujian!U177="","",IF(LEFT(Ujian!U177,1)=SEKOR!U$2,1,0))</f>
        <v/>
      </c>
      <c r="V170" s="125" t="str">
        <f>IF(Ujian!V177="","",IF(LEFT(Ujian!V177,1)=SEKOR!V$2,1,0))</f>
        <v/>
      </c>
      <c r="W170" s="125" t="str">
        <f>IF(Ujian!W177="","",IF(LEFT(Ujian!W177,1)=SEKOR!W$2,1,0))</f>
        <v/>
      </c>
      <c r="X170" s="125" t="str">
        <f>IF(Ujian!X177="","",IF(LEFT(Ujian!X177,1)=SEKOR!X$2,1,0))</f>
        <v/>
      </c>
      <c r="Y170" s="125" t="str">
        <f>IF(Ujian!Y177="","",IF(LEFT(Ujian!Y177,1)=SEKOR!Y$2,1,0))</f>
        <v/>
      </c>
      <c r="Z170" s="125" t="str">
        <f>IF(Ujian!Z177="","",IF(LEFT(Ujian!Z177,1)=SEKOR!Z$2,1,0))</f>
        <v/>
      </c>
      <c r="AA170" s="125" t="str">
        <f>IF(Ujian!AA177="","",IF(LEFT(Ujian!AA177,1)=SEKOR!AA$2,1,0))</f>
        <v/>
      </c>
      <c r="AB170" s="125" t="str">
        <f>IF(Ujian!AB177="","",IF(LEFT(Ujian!AB177,1)=SEKOR!AB$2,1,0))</f>
        <v/>
      </c>
      <c r="AC170" s="125" t="str">
        <f>IF(Ujian!AC177="","",IF(LEFT(Ujian!AC177,1)=SEKOR!AC$2,1,0))</f>
        <v/>
      </c>
      <c r="AD170" s="125" t="str">
        <f>IF(Ujian!AD177="","",IF(LEFT(Ujian!AD177,1)=SEKOR!AD$2,1,0))</f>
        <v/>
      </c>
      <c r="AE170" s="125" t="str">
        <f>IF(Ujian!AE177="","",IF(LEFT(Ujian!AE177,1)=SEKOR!AE$2,1,0))</f>
        <v/>
      </c>
      <c r="AF170" s="125" t="str">
        <f>IF(Ujian!AF177="","",IF(LEFT(Ujian!AF177,1)=SEKOR!AF$2,1,0))</f>
        <v/>
      </c>
      <c r="AG170" s="125" t="str">
        <f>IF(Ujian!AG177="","",IF(LEFT(Ujian!AG177,1)=SEKOR!AG$2,1,0))</f>
        <v/>
      </c>
      <c r="AH170" s="125" t="str">
        <f>IF(Ujian!AH177="","",IF(LEFT(Ujian!AH177,1)=SEKOR!AH$2,1,0))</f>
        <v/>
      </c>
      <c r="AI170" s="125" t="str">
        <f>IF(Ujian!AI177="","",IF(LEFT(Ujian!AI177,1)=SEKOR!AI$2,1,0))</f>
        <v/>
      </c>
      <c r="AJ170" s="125" t="str">
        <f>IF(Ujian!AJ177="","",IF(LEFT(Ujian!AJ177,1)=SEKOR!AJ$2,1,0))</f>
        <v/>
      </c>
      <c r="AK170" s="125" t="str">
        <f>IF(Ujian!AK177="","",IF(LEFT(Ujian!AK177,1)=SEKOR!AK$2,1,0))</f>
        <v/>
      </c>
      <c r="AL170" s="125" t="str">
        <f>IF(Ujian!AL177="","",IF(LEFT(Ujian!AL177,1)=SEKOR!AL$2,1,0))</f>
        <v/>
      </c>
      <c r="AM170" s="125" t="str">
        <f>IF(Ujian!AM177="","",IF(LEFT(Ujian!AM177,1)=SEKOR!AM$2,1,0))</f>
        <v/>
      </c>
      <c r="AN170" s="125" t="str">
        <f>IF(Ujian!AN177="","",IF(LEFT(Ujian!AN177,1)=SEKOR!AN$2,1,0))</f>
        <v/>
      </c>
      <c r="AO170" s="125" t="str">
        <f>IF(Ujian!AO177="","",IF(LEFT(Ujian!AO177,1)=SEKOR!AO$2,1,0))</f>
        <v/>
      </c>
      <c r="AP170" s="125" t="str">
        <f>IF(Ujian!AP177="","",IF(LEFT(Ujian!AP177,1)=SEKOR!AP$2,1,0))</f>
        <v/>
      </c>
      <c r="AQ170" s="125" t="str">
        <f>IF(Ujian!AQ177="","",IF(LEFT(Ujian!AQ177,1)=SEKOR!AQ$2,1,0))</f>
        <v/>
      </c>
      <c r="AR170" s="125" t="str">
        <f>IF(Ujian!AR177="","",IF(LEFT(Ujian!AR177,1)=SEKOR!AR$2,1,0))</f>
        <v/>
      </c>
      <c r="AS170" s="125" t="str">
        <f>IF(Ujian!AS177="","",IF(LEFT(Ujian!AS177,1)=SEKOR!AS$2,1,0))</f>
        <v/>
      </c>
      <c r="AT170" s="125" t="str">
        <f>IF(Ujian!AT177="","",IF(LEFT(Ujian!AT177,1)=SEKOR!AT$2,1,0))</f>
        <v/>
      </c>
      <c r="AU170" s="125" t="str">
        <f>IF(Ujian!AU177="","",IF(LEFT(Ujian!AU177,1)=SEKOR!AU$2,1,0))</f>
        <v/>
      </c>
      <c r="AV170" s="125" t="str">
        <f>IF(Ujian!AV177="","",IF(LEFT(Ujian!AV177,1)=SEKOR!AV$2,1,0))</f>
        <v/>
      </c>
      <c r="AW170" s="125" t="str">
        <f>IF(Ujian!AW177="","",IF(LEFT(Ujian!AW177,1)=SEKOR!AW$2,1,0))</f>
        <v/>
      </c>
      <c r="AX170" s="125" t="str">
        <f>IF(Ujian!AX177="","",IF(LEFT(Ujian!AX177,1)=SEKOR!AX$2,1,0))</f>
        <v/>
      </c>
      <c r="AY170" s="125" t="str">
        <f>IF(Ujian!AY177="","",IF(LEFT(Ujian!AY177,1)=SEKOR!AY$2,1,0))</f>
        <v/>
      </c>
      <c r="AZ170" s="125" t="str">
        <f>IF(Ujian!AZ177="","",IF(LEFT(Ujian!AZ177,1)=SEKOR!AZ$2,1,0))</f>
        <v/>
      </c>
      <c r="BA170" s="125" t="str">
        <f>IF(Ujian!BA177="","",IF(LEFT(Ujian!BA177,1)=SEKOR!BA$2,1,0))</f>
        <v/>
      </c>
      <c r="BB170" s="125" t="str">
        <f>IF(Ujian!BB177="","",IF(LEFT(Ujian!BB177,1)=SEKOR!BB$2,1,0))</f>
        <v/>
      </c>
      <c r="BC170" s="125" t="str">
        <f>IF(Ujian!BC177="","",IF(LEFT(Ujian!BC177,1)=SEKOR!BC$2,1,0))</f>
        <v/>
      </c>
      <c r="BD170" s="125" t="str">
        <f>IF(Ujian!BD177="","",IF(LEFT(Ujian!BD177,1)=SEKOR!BD$2,1,0))</f>
        <v/>
      </c>
      <c r="BE170" s="125" t="str">
        <f>IF(Ujian!BE177="","",IF(LEFT(Ujian!BE177,1)=SEKOR!BE$2,1,0))</f>
        <v/>
      </c>
      <c r="BF170" s="125" t="str">
        <f>IF(Ujian!BF177="","",IF(LEFT(Ujian!BF177,1)=SEKOR!BF$2,1,0))</f>
        <v/>
      </c>
      <c r="BG170" s="125" t="str">
        <f>IF(Ujian!BG177="","",IF(LEFT(Ujian!BG177,1)=SEKOR!BG$2,1,0))</f>
        <v/>
      </c>
      <c r="BH170" s="125" t="str">
        <f>IF(Ujian!BH177="","",IF(LEFT(Ujian!BH177,1)=SEKOR!BH$2,1,0))</f>
        <v/>
      </c>
      <c r="BI170" s="125" t="str">
        <f>IF(Ujian!BI177="","",IF(LEFT(Ujian!BI177,1)=SEKOR!BI$2,1,0))</f>
        <v/>
      </c>
      <c r="BJ170" s="125" t="str">
        <f>IF(Ujian!BJ177="","",IF(LEFT(Ujian!BJ177,1)=SEKOR!BJ$2,1,0))</f>
        <v/>
      </c>
      <c r="BK170" s="125" t="str">
        <f>IF(Ujian!BK177="","",IF(LEFT(Ujian!BK177,1)=SEKOR!BK$2,1,0))</f>
        <v/>
      </c>
      <c r="BL170" s="18">
        <f t="shared" si="4"/>
        <v>0</v>
      </c>
      <c r="BM170" s="18">
        <f>COUNTIF($D170:$BK170,"")+DATA!$F$14-DATA!$F$12</f>
        <v>60</v>
      </c>
      <c r="BN170" s="17">
        <f>IF(COUNTIF($D170:$BK170,1)&gt;DATA!$F$14,DATA!$F$14,COUNTIF($D170:$BK170,1))</f>
        <v>0</v>
      </c>
      <c r="BO170" s="17">
        <f>IF((BN170+COUNTIF($D170:$BK170,0))&lt;=DATA!$F$14,COUNTIF($D170:$BK170,0),DATA!$F$14-SEKOR!BN170)</f>
        <v>0</v>
      </c>
      <c r="BP170" s="4" t="str">
        <f>IF(BL170=0,"",BN170/DATA!$F$14*100)</f>
        <v/>
      </c>
      <c r="BQ170" s="121" t="str">
        <f t="shared" si="5"/>
        <v/>
      </c>
      <c r="BR170" s="2" t="str">
        <f>IF(Praktik!$E170=0,"",Praktik!$E170)</f>
        <v/>
      </c>
      <c r="BS170" s="2" t="str">
        <f>IF(BR170="","",(BP170*DATAINFO!$O$4)+(SEKOR!BR170*DATAINFO!$O$5)/(DATAINFO!$O$4+DATAINFO!$O$5))</f>
        <v/>
      </c>
      <c r="BT170" s="2" t="str">
        <f>IF(BL170=0,"",IF(DATA!$F$18="TIDAK",ROUNDUP((IF!$L$8*SEKOR!$BP170)+IF!$L$9,0),IF($BR170="","",ROUNDUP((IF!$L$20*$BS170)+IF!$L$21,0))))</f>
        <v/>
      </c>
      <c r="BU170" s="47" t="str">
        <f>IF(BP170="","",IF(SEKOR!BP170&gt;=DATA!$J$12,1,0))</f>
        <v/>
      </c>
      <c r="BV170" s="47" t="str">
        <f>IF(BQ170="","",IF(SEKOR!BQ170&gt;=DATA!$J$12,1,0))</f>
        <v/>
      </c>
      <c r="BW170" s="47" t="str">
        <f>IF(BR170="","",IF(SEKOR!BR170&gt;=DATA!$J$12,1,0))</f>
        <v/>
      </c>
      <c r="BX170" s="47" t="str">
        <f>IF(BT170="","",IF(DATA!$J$14="",IF(SEKOR!BT170&gt;=DATA!$J$12,1,0),IF(SEKOR!BT170&gt;=DATA!$J$14,1,0)))</f>
        <v/>
      </c>
    </row>
    <row r="171" spans="1:76" x14ac:dyDescent="0.25">
      <c r="A171" s="20" t="s">
        <v>198</v>
      </c>
      <c r="B171" s="21" t="str">
        <f>IF(Ujian!B178="","",Ujian!B178)</f>
        <v/>
      </c>
      <c r="C171" s="57" t="str">
        <f>IF(Ujian!C178="","",Ujian!C178)</f>
        <v/>
      </c>
      <c r="D171" s="125" t="str">
        <f>IF(Ujian!D178="","",IF(LEFT(Ujian!D178,1)=SEKOR!D$2,1,0))</f>
        <v/>
      </c>
      <c r="E171" s="125" t="str">
        <f>IF(Ujian!E178="","",IF(LEFT(Ujian!E178,1)=SEKOR!E$2,1,0))</f>
        <v/>
      </c>
      <c r="F171" s="125" t="str">
        <f>IF(Ujian!F178="","",IF(LEFT(Ujian!F178,1)=SEKOR!F$2,1,0))</f>
        <v/>
      </c>
      <c r="G171" s="125" t="str">
        <f>IF(Ujian!G178="","",IF(LEFT(Ujian!G178,1)=SEKOR!G$2,1,0))</f>
        <v/>
      </c>
      <c r="H171" s="125" t="str">
        <f>IF(Ujian!H178="","",IF(LEFT(Ujian!H178,1)=SEKOR!H$2,1,0))</f>
        <v/>
      </c>
      <c r="I171" s="125" t="str">
        <f>IF(Ujian!I178="","",IF(LEFT(Ujian!I178,1)=SEKOR!I$2,1,0))</f>
        <v/>
      </c>
      <c r="J171" s="125" t="str">
        <f>IF(Ujian!J178="","",IF(LEFT(Ujian!J178,1)=SEKOR!J$2,1,0))</f>
        <v/>
      </c>
      <c r="K171" s="125" t="str">
        <f>IF(Ujian!K178="","",IF(LEFT(Ujian!K178,1)=SEKOR!K$2,1,0))</f>
        <v/>
      </c>
      <c r="L171" s="125" t="str">
        <f>IF(Ujian!L178="","",IF(LEFT(Ujian!L178,1)=SEKOR!L$2,1,0))</f>
        <v/>
      </c>
      <c r="M171" s="125" t="str">
        <f>IF(Ujian!M178="","",IF(LEFT(Ujian!M178,1)=SEKOR!M$2,1,0))</f>
        <v/>
      </c>
      <c r="N171" s="125" t="str">
        <f>IF(Ujian!N178="","",IF(LEFT(Ujian!N178,1)=SEKOR!N$2,1,0))</f>
        <v/>
      </c>
      <c r="O171" s="125" t="str">
        <f>IF(Ujian!O178="","",IF(LEFT(Ujian!O178,1)=SEKOR!O$2,1,0))</f>
        <v/>
      </c>
      <c r="P171" s="125" t="str">
        <f>IF(Ujian!P178="","",IF(LEFT(Ujian!P178,1)=SEKOR!P$2,1,0))</f>
        <v/>
      </c>
      <c r="Q171" s="125" t="str">
        <f>IF(Ujian!Q178="","",IF(LEFT(Ujian!Q178,1)=SEKOR!Q$2,1,0))</f>
        <v/>
      </c>
      <c r="R171" s="125" t="str">
        <f>IF(Ujian!R178="","",IF(LEFT(Ujian!R178,1)=SEKOR!R$2,1,0))</f>
        <v/>
      </c>
      <c r="S171" s="125" t="str">
        <f>IF(Ujian!S178="","",IF(LEFT(Ujian!S178,1)=SEKOR!S$2,1,0))</f>
        <v/>
      </c>
      <c r="T171" s="125" t="str">
        <f>IF(Ujian!T178="","",IF(LEFT(Ujian!T178,1)=SEKOR!T$2,1,0))</f>
        <v/>
      </c>
      <c r="U171" s="125" t="str">
        <f>IF(Ujian!U178="","",IF(LEFT(Ujian!U178,1)=SEKOR!U$2,1,0))</f>
        <v/>
      </c>
      <c r="V171" s="125" t="str">
        <f>IF(Ujian!V178="","",IF(LEFT(Ujian!V178,1)=SEKOR!V$2,1,0))</f>
        <v/>
      </c>
      <c r="W171" s="125" t="str">
        <f>IF(Ujian!W178="","",IF(LEFT(Ujian!W178,1)=SEKOR!W$2,1,0))</f>
        <v/>
      </c>
      <c r="X171" s="125" t="str">
        <f>IF(Ujian!X178="","",IF(LEFT(Ujian!X178,1)=SEKOR!X$2,1,0))</f>
        <v/>
      </c>
      <c r="Y171" s="125" t="str">
        <f>IF(Ujian!Y178="","",IF(LEFT(Ujian!Y178,1)=SEKOR!Y$2,1,0))</f>
        <v/>
      </c>
      <c r="Z171" s="125" t="str">
        <f>IF(Ujian!Z178="","",IF(LEFT(Ujian!Z178,1)=SEKOR!Z$2,1,0))</f>
        <v/>
      </c>
      <c r="AA171" s="125" t="str">
        <f>IF(Ujian!AA178="","",IF(LEFT(Ujian!AA178,1)=SEKOR!AA$2,1,0))</f>
        <v/>
      </c>
      <c r="AB171" s="125" t="str">
        <f>IF(Ujian!AB178="","",IF(LEFT(Ujian!AB178,1)=SEKOR!AB$2,1,0))</f>
        <v/>
      </c>
      <c r="AC171" s="125" t="str">
        <f>IF(Ujian!AC178="","",IF(LEFT(Ujian!AC178,1)=SEKOR!AC$2,1,0))</f>
        <v/>
      </c>
      <c r="AD171" s="125" t="str">
        <f>IF(Ujian!AD178="","",IF(LEFT(Ujian!AD178,1)=SEKOR!AD$2,1,0))</f>
        <v/>
      </c>
      <c r="AE171" s="125" t="str">
        <f>IF(Ujian!AE178="","",IF(LEFT(Ujian!AE178,1)=SEKOR!AE$2,1,0))</f>
        <v/>
      </c>
      <c r="AF171" s="125" t="str">
        <f>IF(Ujian!AF178="","",IF(LEFT(Ujian!AF178,1)=SEKOR!AF$2,1,0))</f>
        <v/>
      </c>
      <c r="AG171" s="125" t="str">
        <f>IF(Ujian!AG178="","",IF(LEFT(Ujian!AG178,1)=SEKOR!AG$2,1,0))</f>
        <v/>
      </c>
      <c r="AH171" s="125" t="str">
        <f>IF(Ujian!AH178="","",IF(LEFT(Ujian!AH178,1)=SEKOR!AH$2,1,0))</f>
        <v/>
      </c>
      <c r="AI171" s="125" t="str">
        <f>IF(Ujian!AI178="","",IF(LEFT(Ujian!AI178,1)=SEKOR!AI$2,1,0))</f>
        <v/>
      </c>
      <c r="AJ171" s="125" t="str">
        <f>IF(Ujian!AJ178="","",IF(LEFT(Ujian!AJ178,1)=SEKOR!AJ$2,1,0))</f>
        <v/>
      </c>
      <c r="AK171" s="125" t="str">
        <f>IF(Ujian!AK178="","",IF(LEFT(Ujian!AK178,1)=SEKOR!AK$2,1,0))</f>
        <v/>
      </c>
      <c r="AL171" s="125" t="str">
        <f>IF(Ujian!AL178="","",IF(LEFT(Ujian!AL178,1)=SEKOR!AL$2,1,0))</f>
        <v/>
      </c>
      <c r="AM171" s="125" t="str">
        <f>IF(Ujian!AM178="","",IF(LEFT(Ujian!AM178,1)=SEKOR!AM$2,1,0))</f>
        <v/>
      </c>
      <c r="AN171" s="125" t="str">
        <f>IF(Ujian!AN178="","",IF(LEFT(Ujian!AN178,1)=SEKOR!AN$2,1,0))</f>
        <v/>
      </c>
      <c r="AO171" s="125" t="str">
        <f>IF(Ujian!AO178="","",IF(LEFT(Ujian!AO178,1)=SEKOR!AO$2,1,0))</f>
        <v/>
      </c>
      <c r="AP171" s="125" t="str">
        <f>IF(Ujian!AP178="","",IF(LEFT(Ujian!AP178,1)=SEKOR!AP$2,1,0))</f>
        <v/>
      </c>
      <c r="AQ171" s="125" t="str">
        <f>IF(Ujian!AQ178="","",IF(LEFT(Ujian!AQ178,1)=SEKOR!AQ$2,1,0))</f>
        <v/>
      </c>
      <c r="AR171" s="125" t="str">
        <f>IF(Ujian!AR178="","",IF(LEFT(Ujian!AR178,1)=SEKOR!AR$2,1,0))</f>
        <v/>
      </c>
      <c r="AS171" s="125" t="str">
        <f>IF(Ujian!AS178="","",IF(LEFT(Ujian!AS178,1)=SEKOR!AS$2,1,0))</f>
        <v/>
      </c>
      <c r="AT171" s="125" t="str">
        <f>IF(Ujian!AT178="","",IF(LEFT(Ujian!AT178,1)=SEKOR!AT$2,1,0))</f>
        <v/>
      </c>
      <c r="AU171" s="125" t="str">
        <f>IF(Ujian!AU178="","",IF(LEFT(Ujian!AU178,1)=SEKOR!AU$2,1,0))</f>
        <v/>
      </c>
      <c r="AV171" s="125" t="str">
        <f>IF(Ujian!AV178="","",IF(LEFT(Ujian!AV178,1)=SEKOR!AV$2,1,0))</f>
        <v/>
      </c>
      <c r="AW171" s="125" t="str">
        <f>IF(Ujian!AW178="","",IF(LEFT(Ujian!AW178,1)=SEKOR!AW$2,1,0))</f>
        <v/>
      </c>
      <c r="AX171" s="125" t="str">
        <f>IF(Ujian!AX178="","",IF(LEFT(Ujian!AX178,1)=SEKOR!AX$2,1,0))</f>
        <v/>
      </c>
      <c r="AY171" s="125" t="str">
        <f>IF(Ujian!AY178="","",IF(LEFT(Ujian!AY178,1)=SEKOR!AY$2,1,0))</f>
        <v/>
      </c>
      <c r="AZ171" s="125" t="str">
        <f>IF(Ujian!AZ178="","",IF(LEFT(Ujian!AZ178,1)=SEKOR!AZ$2,1,0))</f>
        <v/>
      </c>
      <c r="BA171" s="125" t="str">
        <f>IF(Ujian!BA178="","",IF(LEFT(Ujian!BA178,1)=SEKOR!BA$2,1,0))</f>
        <v/>
      </c>
      <c r="BB171" s="125" t="str">
        <f>IF(Ujian!BB178="","",IF(LEFT(Ujian!BB178,1)=SEKOR!BB$2,1,0))</f>
        <v/>
      </c>
      <c r="BC171" s="125" t="str">
        <f>IF(Ujian!BC178="","",IF(LEFT(Ujian!BC178,1)=SEKOR!BC$2,1,0))</f>
        <v/>
      </c>
      <c r="BD171" s="125" t="str">
        <f>IF(Ujian!BD178="","",IF(LEFT(Ujian!BD178,1)=SEKOR!BD$2,1,0))</f>
        <v/>
      </c>
      <c r="BE171" s="125" t="str">
        <f>IF(Ujian!BE178="","",IF(LEFT(Ujian!BE178,1)=SEKOR!BE$2,1,0))</f>
        <v/>
      </c>
      <c r="BF171" s="125" t="str">
        <f>IF(Ujian!BF178="","",IF(LEFT(Ujian!BF178,1)=SEKOR!BF$2,1,0))</f>
        <v/>
      </c>
      <c r="BG171" s="125" t="str">
        <f>IF(Ujian!BG178="","",IF(LEFT(Ujian!BG178,1)=SEKOR!BG$2,1,0))</f>
        <v/>
      </c>
      <c r="BH171" s="125" t="str">
        <f>IF(Ujian!BH178="","",IF(LEFT(Ujian!BH178,1)=SEKOR!BH$2,1,0))</f>
        <v/>
      </c>
      <c r="BI171" s="125" t="str">
        <f>IF(Ujian!BI178="","",IF(LEFT(Ujian!BI178,1)=SEKOR!BI$2,1,0))</f>
        <v/>
      </c>
      <c r="BJ171" s="125" t="str">
        <f>IF(Ujian!BJ178="","",IF(LEFT(Ujian!BJ178,1)=SEKOR!BJ$2,1,0))</f>
        <v/>
      </c>
      <c r="BK171" s="125" t="str">
        <f>IF(Ujian!BK178="","",IF(LEFT(Ujian!BK178,1)=SEKOR!BK$2,1,0))</f>
        <v/>
      </c>
      <c r="BL171" s="18">
        <f t="shared" si="4"/>
        <v>0</v>
      </c>
      <c r="BM171" s="18">
        <f>COUNTIF($D171:$BK171,"")+DATA!$F$14-DATA!$F$12</f>
        <v>60</v>
      </c>
      <c r="BN171" s="17">
        <f>IF(COUNTIF($D171:$BK171,1)&gt;DATA!$F$14,DATA!$F$14,COUNTIF($D171:$BK171,1))</f>
        <v>0</v>
      </c>
      <c r="BO171" s="17">
        <f>IF((BN171+COUNTIF($D171:$BK171,0))&lt;=DATA!$F$14,COUNTIF($D171:$BK171,0),DATA!$F$14-SEKOR!BN171)</f>
        <v>0</v>
      </c>
      <c r="BP171" s="4" t="str">
        <f>IF(BL171=0,"",BN171/DATA!$F$14*100)</f>
        <v/>
      </c>
      <c r="BQ171" s="121" t="str">
        <f t="shared" si="5"/>
        <v/>
      </c>
      <c r="BR171" s="2" t="str">
        <f>IF(Praktik!$E171=0,"",Praktik!$E171)</f>
        <v/>
      </c>
      <c r="BS171" s="2" t="str">
        <f>IF(BR171="","",(BP171*DATAINFO!$O$4)+(SEKOR!BR171*DATAINFO!$O$5)/(DATAINFO!$O$4+DATAINFO!$O$5))</f>
        <v/>
      </c>
      <c r="BT171" s="2" t="str">
        <f>IF(BL171=0,"",IF(DATA!$F$18="TIDAK",ROUNDUP((IF!$L$8*SEKOR!$BP171)+IF!$L$9,0),IF($BR171="","",ROUNDUP((IF!$L$20*$BS171)+IF!$L$21,0))))</f>
        <v/>
      </c>
      <c r="BU171" s="47" t="str">
        <f>IF(BP171="","",IF(SEKOR!BP171&gt;=DATA!$J$12,1,0))</f>
        <v/>
      </c>
      <c r="BV171" s="47" t="str">
        <f>IF(BQ171="","",IF(SEKOR!BQ171&gt;=DATA!$J$12,1,0))</f>
        <v/>
      </c>
      <c r="BW171" s="47" t="str">
        <f>IF(BR171="","",IF(SEKOR!BR171&gt;=DATA!$J$12,1,0))</f>
        <v/>
      </c>
      <c r="BX171" s="47" t="str">
        <f>IF(BT171="","",IF(DATA!$J$14="",IF(SEKOR!BT171&gt;=DATA!$J$12,1,0),IF(SEKOR!BT171&gt;=DATA!$J$14,1,0)))</f>
        <v/>
      </c>
    </row>
    <row r="172" spans="1:76" x14ac:dyDescent="0.25">
      <c r="A172" s="20" t="s">
        <v>199</v>
      </c>
      <c r="B172" s="21" t="str">
        <f>IF(Ujian!B179="","",Ujian!B179)</f>
        <v/>
      </c>
      <c r="C172" s="57" t="str">
        <f>IF(Ujian!C179="","",Ujian!C179)</f>
        <v/>
      </c>
      <c r="D172" s="125" t="str">
        <f>IF(Ujian!D179="","",IF(LEFT(Ujian!D179,1)=SEKOR!D$2,1,0))</f>
        <v/>
      </c>
      <c r="E172" s="125" t="str">
        <f>IF(Ujian!E179="","",IF(LEFT(Ujian!E179,1)=SEKOR!E$2,1,0))</f>
        <v/>
      </c>
      <c r="F172" s="125" t="str">
        <f>IF(Ujian!F179="","",IF(LEFT(Ujian!F179,1)=SEKOR!F$2,1,0))</f>
        <v/>
      </c>
      <c r="G172" s="125" t="str">
        <f>IF(Ujian!G179="","",IF(LEFT(Ujian!G179,1)=SEKOR!G$2,1,0))</f>
        <v/>
      </c>
      <c r="H172" s="125" t="str">
        <f>IF(Ujian!H179="","",IF(LEFT(Ujian!H179,1)=SEKOR!H$2,1,0))</f>
        <v/>
      </c>
      <c r="I172" s="125" t="str">
        <f>IF(Ujian!I179="","",IF(LEFT(Ujian!I179,1)=SEKOR!I$2,1,0))</f>
        <v/>
      </c>
      <c r="J172" s="125" t="str">
        <f>IF(Ujian!J179="","",IF(LEFT(Ujian!J179,1)=SEKOR!J$2,1,0))</f>
        <v/>
      </c>
      <c r="K172" s="125" t="str">
        <f>IF(Ujian!K179="","",IF(LEFT(Ujian!K179,1)=SEKOR!K$2,1,0))</f>
        <v/>
      </c>
      <c r="L172" s="125" t="str">
        <f>IF(Ujian!L179="","",IF(LEFT(Ujian!L179,1)=SEKOR!L$2,1,0))</f>
        <v/>
      </c>
      <c r="M172" s="125" t="str">
        <f>IF(Ujian!M179="","",IF(LEFT(Ujian!M179,1)=SEKOR!M$2,1,0))</f>
        <v/>
      </c>
      <c r="N172" s="125" t="str">
        <f>IF(Ujian!N179="","",IF(LEFT(Ujian!N179,1)=SEKOR!N$2,1,0))</f>
        <v/>
      </c>
      <c r="O172" s="125" t="str">
        <f>IF(Ujian!O179="","",IF(LEFT(Ujian!O179,1)=SEKOR!O$2,1,0))</f>
        <v/>
      </c>
      <c r="P172" s="125" t="str">
        <f>IF(Ujian!P179="","",IF(LEFT(Ujian!P179,1)=SEKOR!P$2,1,0))</f>
        <v/>
      </c>
      <c r="Q172" s="125" t="str">
        <f>IF(Ujian!Q179="","",IF(LEFT(Ujian!Q179,1)=SEKOR!Q$2,1,0))</f>
        <v/>
      </c>
      <c r="R172" s="125" t="str">
        <f>IF(Ujian!R179="","",IF(LEFT(Ujian!R179,1)=SEKOR!R$2,1,0))</f>
        <v/>
      </c>
      <c r="S172" s="125" t="str">
        <f>IF(Ujian!S179="","",IF(LEFT(Ujian!S179,1)=SEKOR!S$2,1,0))</f>
        <v/>
      </c>
      <c r="T172" s="125" t="str">
        <f>IF(Ujian!T179="","",IF(LEFT(Ujian!T179,1)=SEKOR!T$2,1,0))</f>
        <v/>
      </c>
      <c r="U172" s="125" t="str">
        <f>IF(Ujian!U179="","",IF(LEFT(Ujian!U179,1)=SEKOR!U$2,1,0))</f>
        <v/>
      </c>
      <c r="V172" s="125" t="str">
        <f>IF(Ujian!V179="","",IF(LEFT(Ujian!V179,1)=SEKOR!V$2,1,0))</f>
        <v/>
      </c>
      <c r="W172" s="125" t="str">
        <f>IF(Ujian!W179="","",IF(LEFT(Ujian!W179,1)=SEKOR!W$2,1,0))</f>
        <v/>
      </c>
      <c r="X172" s="125" t="str">
        <f>IF(Ujian!X179="","",IF(LEFT(Ujian!X179,1)=SEKOR!X$2,1,0))</f>
        <v/>
      </c>
      <c r="Y172" s="125" t="str">
        <f>IF(Ujian!Y179="","",IF(LEFT(Ujian!Y179,1)=SEKOR!Y$2,1,0))</f>
        <v/>
      </c>
      <c r="Z172" s="125" t="str">
        <f>IF(Ujian!Z179="","",IF(LEFT(Ujian!Z179,1)=SEKOR!Z$2,1,0))</f>
        <v/>
      </c>
      <c r="AA172" s="125" t="str">
        <f>IF(Ujian!AA179="","",IF(LEFT(Ujian!AA179,1)=SEKOR!AA$2,1,0))</f>
        <v/>
      </c>
      <c r="AB172" s="125" t="str">
        <f>IF(Ujian!AB179="","",IF(LEFT(Ujian!AB179,1)=SEKOR!AB$2,1,0))</f>
        <v/>
      </c>
      <c r="AC172" s="125" t="str">
        <f>IF(Ujian!AC179="","",IF(LEFT(Ujian!AC179,1)=SEKOR!AC$2,1,0))</f>
        <v/>
      </c>
      <c r="AD172" s="125" t="str">
        <f>IF(Ujian!AD179="","",IF(LEFT(Ujian!AD179,1)=SEKOR!AD$2,1,0))</f>
        <v/>
      </c>
      <c r="AE172" s="125" t="str">
        <f>IF(Ujian!AE179="","",IF(LEFT(Ujian!AE179,1)=SEKOR!AE$2,1,0))</f>
        <v/>
      </c>
      <c r="AF172" s="125" t="str">
        <f>IF(Ujian!AF179="","",IF(LEFT(Ujian!AF179,1)=SEKOR!AF$2,1,0))</f>
        <v/>
      </c>
      <c r="AG172" s="125" t="str">
        <f>IF(Ujian!AG179="","",IF(LEFT(Ujian!AG179,1)=SEKOR!AG$2,1,0))</f>
        <v/>
      </c>
      <c r="AH172" s="125" t="str">
        <f>IF(Ujian!AH179="","",IF(LEFT(Ujian!AH179,1)=SEKOR!AH$2,1,0))</f>
        <v/>
      </c>
      <c r="AI172" s="125" t="str">
        <f>IF(Ujian!AI179="","",IF(LEFT(Ujian!AI179,1)=SEKOR!AI$2,1,0))</f>
        <v/>
      </c>
      <c r="AJ172" s="125" t="str">
        <f>IF(Ujian!AJ179="","",IF(LEFT(Ujian!AJ179,1)=SEKOR!AJ$2,1,0))</f>
        <v/>
      </c>
      <c r="AK172" s="125" t="str">
        <f>IF(Ujian!AK179="","",IF(LEFT(Ujian!AK179,1)=SEKOR!AK$2,1,0))</f>
        <v/>
      </c>
      <c r="AL172" s="125" t="str">
        <f>IF(Ujian!AL179="","",IF(LEFT(Ujian!AL179,1)=SEKOR!AL$2,1,0))</f>
        <v/>
      </c>
      <c r="AM172" s="125" t="str">
        <f>IF(Ujian!AM179="","",IF(LEFT(Ujian!AM179,1)=SEKOR!AM$2,1,0))</f>
        <v/>
      </c>
      <c r="AN172" s="125" t="str">
        <f>IF(Ujian!AN179="","",IF(LEFT(Ujian!AN179,1)=SEKOR!AN$2,1,0))</f>
        <v/>
      </c>
      <c r="AO172" s="125" t="str">
        <f>IF(Ujian!AO179="","",IF(LEFT(Ujian!AO179,1)=SEKOR!AO$2,1,0))</f>
        <v/>
      </c>
      <c r="AP172" s="125" t="str">
        <f>IF(Ujian!AP179="","",IF(LEFT(Ujian!AP179,1)=SEKOR!AP$2,1,0))</f>
        <v/>
      </c>
      <c r="AQ172" s="125" t="str">
        <f>IF(Ujian!AQ179="","",IF(LEFT(Ujian!AQ179,1)=SEKOR!AQ$2,1,0))</f>
        <v/>
      </c>
      <c r="AR172" s="125" t="str">
        <f>IF(Ujian!AR179="","",IF(LEFT(Ujian!AR179,1)=SEKOR!AR$2,1,0))</f>
        <v/>
      </c>
      <c r="AS172" s="125" t="str">
        <f>IF(Ujian!AS179="","",IF(LEFT(Ujian!AS179,1)=SEKOR!AS$2,1,0))</f>
        <v/>
      </c>
      <c r="AT172" s="125" t="str">
        <f>IF(Ujian!AT179="","",IF(LEFT(Ujian!AT179,1)=SEKOR!AT$2,1,0))</f>
        <v/>
      </c>
      <c r="AU172" s="125" t="str">
        <f>IF(Ujian!AU179="","",IF(LEFT(Ujian!AU179,1)=SEKOR!AU$2,1,0))</f>
        <v/>
      </c>
      <c r="AV172" s="125" t="str">
        <f>IF(Ujian!AV179="","",IF(LEFT(Ujian!AV179,1)=SEKOR!AV$2,1,0))</f>
        <v/>
      </c>
      <c r="AW172" s="125" t="str">
        <f>IF(Ujian!AW179="","",IF(LEFT(Ujian!AW179,1)=SEKOR!AW$2,1,0))</f>
        <v/>
      </c>
      <c r="AX172" s="125" t="str">
        <f>IF(Ujian!AX179="","",IF(LEFT(Ujian!AX179,1)=SEKOR!AX$2,1,0))</f>
        <v/>
      </c>
      <c r="AY172" s="125" t="str">
        <f>IF(Ujian!AY179="","",IF(LEFT(Ujian!AY179,1)=SEKOR!AY$2,1,0))</f>
        <v/>
      </c>
      <c r="AZ172" s="125" t="str">
        <f>IF(Ujian!AZ179="","",IF(LEFT(Ujian!AZ179,1)=SEKOR!AZ$2,1,0))</f>
        <v/>
      </c>
      <c r="BA172" s="125" t="str">
        <f>IF(Ujian!BA179="","",IF(LEFT(Ujian!BA179,1)=SEKOR!BA$2,1,0))</f>
        <v/>
      </c>
      <c r="BB172" s="125" t="str">
        <f>IF(Ujian!BB179="","",IF(LEFT(Ujian!BB179,1)=SEKOR!BB$2,1,0))</f>
        <v/>
      </c>
      <c r="BC172" s="125" t="str">
        <f>IF(Ujian!BC179="","",IF(LEFT(Ujian!BC179,1)=SEKOR!BC$2,1,0))</f>
        <v/>
      </c>
      <c r="BD172" s="125" t="str">
        <f>IF(Ujian!BD179="","",IF(LEFT(Ujian!BD179,1)=SEKOR!BD$2,1,0))</f>
        <v/>
      </c>
      <c r="BE172" s="125" t="str">
        <f>IF(Ujian!BE179="","",IF(LEFT(Ujian!BE179,1)=SEKOR!BE$2,1,0))</f>
        <v/>
      </c>
      <c r="BF172" s="125" t="str">
        <f>IF(Ujian!BF179="","",IF(LEFT(Ujian!BF179,1)=SEKOR!BF$2,1,0))</f>
        <v/>
      </c>
      <c r="BG172" s="125" t="str">
        <f>IF(Ujian!BG179="","",IF(LEFT(Ujian!BG179,1)=SEKOR!BG$2,1,0))</f>
        <v/>
      </c>
      <c r="BH172" s="125" t="str">
        <f>IF(Ujian!BH179="","",IF(LEFT(Ujian!BH179,1)=SEKOR!BH$2,1,0))</f>
        <v/>
      </c>
      <c r="BI172" s="125" t="str">
        <f>IF(Ujian!BI179="","",IF(LEFT(Ujian!BI179,1)=SEKOR!BI$2,1,0))</f>
        <v/>
      </c>
      <c r="BJ172" s="125" t="str">
        <f>IF(Ujian!BJ179="","",IF(LEFT(Ujian!BJ179,1)=SEKOR!BJ$2,1,0))</f>
        <v/>
      </c>
      <c r="BK172" s="125" t="str">
        <f>IF(Ujian!BK179="","",IF(LEFT(Ujian!BK179,1)=SEKOR!BK$2,1,0))</f>
        <v/>
      </c>
      <c r="BL172" s="18">
        <f t="shared" si="4"/>
        <v>0</v>
      </c>
      <c r="BM172" s="18">
        <f>COUNTIF($D172:$BK172,"")+DATA!$F$14-DATA!$F$12</f>
        <v>60</v>
      </c>
      <c r="BN172" s="17">
        <f>IF(COUNTIF($D172:$BK172,1)&gt;DATA!$F$14,DATA!$F$14,COUNTIF($D172:$BK172,1))</f>
        <v>0</v>
      </c>
      <c r="BO172" s="17">
        <f>IF((BN172+COUNTIF($D172:$BK172,0))&lt;=DATA!$F$14,COUNTIF($D172:$BK172,0),DATA!$F$14-SEKOR!BN172)</f>
        <v>0</v>
      </c>
      <c r="BP172" s="4" t="str">
        <f>IF(BL172=0,"",BN172/DATA!$F$14*100)</f>
        <v/>
      </c>
      <c r="BQ172" s="121" t="str">
        <f t="shared" si="5"/>
        <v/>
      </c>
      <c r="BR172" s="2" t="str">
        <f>IF(Praktik!$E172=0,"",Praktik!$E172)</f>
        <v/>
      </c>
      <c r="BS172" s="2" t="str">
        <f>IF(BR172="","",(BP172*DATAINFO!$O$4)+(SEKOR!BR172*DATAINFO!$O$5)/(DATAINFO!$O$4+DATAINFO!$O$5))</f>
        <v/>
      </c>
      <c r="BT172" s="2" t="str">
        <f>IF(BL172=0,"",IF(DATA!$F$18="TIDAK",ROUNDUP((IF!$L$8*SEKOR!$BP172)+IF!$L$9,0),IF($BR172="","",ROUNDUP((IF!$L$20*$BS172)+IF!$L$21,0))))</f>
        <v/>
      </c>
      <c r="BU172" s="47" t="str">
        <f>IF(BP172="","",IF(SEKOR!BP172&gt;=DATA!$J$12,1,0))</f>
        <v/>
      </c>
      <c r="BV172" s="47" t="str">
        <f>IF(BQ172="","",IF(SEKOR!BQ172&gt;=DATA!$J$12,1,0))</f>
        <v/>
      </c>
      <c r="BW172" s="47" t="str">
        <f>IF(BR172="","",IF(SEKOR!BR172&gt;=DATA!$J$12,1,0))</f>
        <v/>
      </c>
      <c r="BX172" s="47" t="str">
        <f>IF(BT172="","",IF(DATA!$J$14="",IF(SEKOR!BT172&gt;=DATA!$J$12,1,0),IF(SEKOR!BT172&gt;=DATA!$J$14,1,0)))</f>
        <v/>
      </c>
    </row>
    <row r="173" spans="1:76" x14ac:dyDescent="0.25">
      <c r="A173" s="20" t="s">
        <v>200</v>
      </c>
      <c r="B173" s="21" t="str">
        <f>IF(Ujian!B180="","",Ujian!B180)</f>
        <v/>
      </c>
      <c r="C173" s="57" t="str">
        <f>IF(Ujian!C180="","",Ujian!C180)</f>
        <v/>
      </c>
      <c r="D173" s="125" t="str">
        <f>IF(Ujian!D180="","",IF(LEFT(Ujian!D180,1)=SEKOR!D$2,1,0))</f>
        <v/>
      </c>
      <c r="E173" s="125" t="str">
        <f>IF(Ujian!E180="","",IF(LEFT(Ujian!E180,1)=SEKOR!E$2,1,0))</f>
        <v/>
      </c>
      <c r="F173" s="125" t="str">
        <f>IF(Ujian!F180="","",IF(LEFT(Ujian!F180,1)=SEKOR!F$2,1,0))</f>
        <v/>
      </c>
      <c r="G173" s="125" t="str">
        <f>IF(Ujian!G180="","",IF(LEFT(Ujian!G180,1)=SEKOR!G$2,1,0))</f>
        <v/>
      </c>
      <c r="H173" s="125" t="str">
        <f>IF(Ujian!H180="","",IF(LEFT(Ujian!H180,1)=SEKOR!H$2,1,0))</f>
        <v/>
      </c>
      <c r="I173" s="125" t="str">
        <f>IF(Ujian!I180="","",IF(LEFT(Ujian!I180,1)=SEKOR!I$2,1,0))</f>
        <v/>
      </c>
      <c r="J173" s="125" t="str">
        <f>IF(Ujian!J180="","",IF(LEFT(Ujian!J180,1)=SEKOR!J$2,1,0))</f>
        <v/>
      </c>
      <c r="K173" s="125" t="str">
        <f>IF(Ujian!K180="","",IF(LEFT(Ujian!K180,1)=SEKOR!K$2,1,0))</f>
        <v/>
      </c>
      <c r="L173" s="125" t="str">
        <f>IF(Ujian!L180="","",IF(LEFT(Ujian!L180,1)=SEKOR!L$2,1,0))</f>
        <v/>
      </c>
      <c r="M173" s="125" t="str">
        <f>IF(Ujian!M180="","",IF(LEFT(Ujian!M180,1)=SEKOR!M$2,1,0))</f>
        <v/>
      </c>
      <c r="N173" s="125" t="str">
        <f>IF(Ujian!N180="","",IF(LEFT(Ujian!N180,1)=SEKOR!N$2,1,0))</f>
        <v/>
      </c>
      <c r="O173" s="125" t="str">
        <f>IF(Ujian!O180="","",IF(LEFT(Ujian!O180,1)=SEKOR!O$2,1,0))</f>
        <v/>
      </c>
      <c r="P173" s="125" t="str">
        <f>IF(Ujian!P180="","",IF(LEFT(Ujian!P180,1)=SEKOR!P$2,1,0))</f>
        <v/>
      </c>
      <c r="Q173" s="125" t="str">
        <f>IF(Ujian!Q180="","",IF(LEFT(Ujian!Q180,1)=SEKOR!Q$2,1,0))</f>
        <v/>
      </c>
      <c r="R173" s="125" t="str">
        <f>IF(Ujian!R180="","",IF(LEFT(Ujian!R180,1)=SEKOR!R$2,1,0))</f>
        <v/>
      </c>
      <c r="S173" s="125" t="str">
        <f>IF(Ujian!S180="","",IF(LEFT(Ujian!S180,1)=SEKOR!S$2,1,0))</f>
        <v/>
      </c>
      <c r="T173" s="125" t="str">
        <f>IF(Ujian!T180="","",IF(LEFT(Ujian!T180,1)=SEKOR!T$2,1,0))</f>
        <v/>
      </c>
      <c r="U173" s="125" t="str">
        <f>IF(Ujian!U180="","",IF(LEFT(Ujian!U180,1)=SEKOR!U$2,1,0))</f>
        <v/>
      </c>
      <c r="V173" s="125" t="str">
        <f>IF(Ujian!V180="","",IF(LEFT(Ujian!V180,1)=SEKOR!V$2,1,0))</f>
        <v/>
      </c>
      <c r="W173" s="125" t="str">
        <f>IF(Ujian!W180="","",IF(LEFT(Ujian!W180,1)=SEKOR!W$2,1,0))</f>
        <v/>
      </c>
      <c r="X173" s="125" t="str">
        <f>IF(Ujian!X180="","",IF(LEFT(Ujian!X180,1)=SEKOR!X$2,1,0))</f>
        <v/>
      </c>
      <c r="Y173" s="125" t="str">
        <f>IF(Ujian!Y180="","",IF(LEFT(Ujian!Y180,1)=SEKOR!Y$2,1,0))</f>
        <v/>
      </c>
      <c r="Z173" s="125" t="str">
        <f>IF(Ujian!Z180="","",IF(LEFT(Ujian!Z180,1)=SEKOR!Z$2,1,0))</f>
        <v/>
      </c>
      <c r="AA173" s="125" t="str">
        <f>IF(Ujian!AA180="","",IF(LEFT(Ujian!AA180,1)=SEKOR!AA$2,1,0))</f>
        <v/>
      </c>
      <c r="AB173" s="125" t="str">
        <f>IF(Ujian!AB180="","",IF(LEFT(Ujian!AB180,1)=SEKOR!AB$2,1,0))</f>
        <v/>
      </c>
      <c r="AC173" s="125" t="str">
        <f>IF(Ujian!AC180="","",IF(LEFT(Ujian!AC180,1)=SEKOR!AC$2,1,0))</f>
        <v/>
      </c>
      <c r="AD173" s="125" t="str">
        <f>IF(Ujian!AD180="","",IF(LEFT(Ujian!AD180,1)=SEKOR!AD$2,1,0))</f>
        <v/>
      </c>
      <c r="AE173" s="125" t="str">
        <f>IF(Ujian!AE180="","",IF(LEFT(Ujian!AE180,1)=SEKOR!AE$2,1,0))</f>
        <v/>
      </c>
      <c r="AF173" s="125" t="str">
        <f>IF(Ujian!AF180="","",IF(LEFT(Ujian!AF180,1)=SEKOR!AF$2,1,0))</f>
        <v/>
      </c>
      <c r="AG173" s="125" t="str">
        <f>IF(Ujian!AG180="","",IF(LEFT(Ujian!AG180,1)=SEKOR!AG$2,1,0))</f>
        <v/>
      </c>
      <c r="AH173" s="125" t="str">
        <f>IF(Ujian!AH180="","",IF(LEFT(Ujian!AH180,1)=SEKOR!AH$2,1,0))</f>
        <v/>
      </c>
      <c r="AI173" s="125" t="str">
        <f>IF(Ujian!AI180="","",IF(LEFT(Ujian!AI180,1)=SEKOR!AI$2,1,0))</f>
        <v/>
      </c>
      <c r="AJ173" s="125" t="str">
        <f>IF(Ujian!AJ180="","",IF(LEFT(Ujian!AJ180,1)=SEKOR!AJ$2,1,0))</f>
        <v/>
      </c>
      <c r="AK173" s="125" t="str">
        <f>IF(Ujian!AK180="","",IF(LEFT(Ujian!AK180,1)=SEKOR!AK$2,1,0))</f>
        <v/>
      </c>
      <c r="AL173" s="125" t="str">
        <f>IF(Ujian!AL180="","",IF(LEFT(Ujian!AL180,1)=SEKOR!AL$2,1,0))</f>
        <v/>
      </c>
      <c r="AM173" s="125" t="str">
        <f>IF(Ujian!AM180="","",IF(LEFT(Ujian!AM180,1)=SEKOR!AM$2,1,0))</f>
        <v/>
      </c>
      <c r="AN173" s="125" t="str">
        <f>IF(Ujian!AN180="","",IF(LEFT(Ujian!AN180,1)=SEKOR!AN$2,1,0))</f>
        <v/>
      </c>
      <c r="AO173" s="125" t="str">
        <f>IF(Ujian!AO180="","",IF(LEFT(Ujian!AO180,1)=SEKOR!AO$2,1,0))</f>
        <v/>
      </c>
      <c r="AP173" s="125" t="str">
        <f>IF(Ujian!AP180="","",IF(LEFT(Ujian!AP180,1)=SEKOR!AP$2,1,0))</f>
        <v/>
      </c>
      <c r="AQ173" s="125" t="str">
        <f>IF(Ujian!AQ180="","",IF(LEFT(Ujian!AQ180,1)=SEKOR!AQ$2,1,0))</f>
        <v/>
      </c>
      <c r="AR173" s="125" t="str">
        <f>IF(Ujian!AR180="","",IF(LEFT(Ujian!AR180,1)=SEKOR!AR$2,1,0))</f>
        <v/>
      </c>
      <c r="AS173" s="125" t="str">
        <f>IF(Ujian!AS180="","",IF(LEFT(Ujian!AS180,1)=SEKOR!AS$2,1,0))</f>
        <v/>
      </c>
      <c r="AT173" s="125" t="str">
        <f>IF(Ujian!AT180="","",IF(LEFT(Ujian!AT180,1)=SEKOR!AT$2,1,0))</f>
        <v/>
      </c>
      <c r="AU173" s="125" t="str">
        <f>IF(Ujian!AU180="","",IF(LEFT(Ujian!AU180,1)=SEKOR!AU$2,1,0))</f>
        <v/>
      </c>
      <c r="AV173" s="125" t="str">
        <f>IF(Ujian!AV180="","",IF(LEFT(Ujian!AV180,1)=SEKOR!AV$2,1,0))</f>
        <v/>
      </c>
      <c r="AW173" s="125" t="str">
        <f>IF(Ujian!AW180="","",IF(LEFT(Ujian!AW180,1)=SEKOR!AW$2,1,0))</f>
        <v/>
      </c>
      <c r="AX173" s="125" t="str">
        <f>IF(Ujian!AX180="","",IF(LEFT(Ujian!AX180,1)=SEKOR!AX$2,1,0))</f>
        <v/>
      </c>
      <c r="AY173" s="125" t="str">
        <f>IF(Ujian!AY180="","",IF(LEFT(Ujian!AY180,1)=SEKOR!AY$2,1,0))</f>
        <v/>
      </c>
      <c r="AZ173" s="125" t="str">
        <f>IF(Ujian!AZ180="","",IF(LEFT(Ujian!AZ180,1)=SEKOR!AZ$2,1,0))</f>
        <v/>
      </c>
      <c r="BA173" s="125" t="str">
        <f>IF(Ujian!BA180="","",IF(LEFT(Ujian!BA180,1)=SEKOR!BA$2,1,0))</f>
        <v/>
      </c>
      <c r="BB173" s="125" t="str">
        <f>IF(Ujian!BB180="","",IF(LEFT(Ujian!BB180,1)=SEKOR!BB$2,1,0))</f>
        <v/>
      </c>
      <c r="BC173" s="125" t="str">
        <f>IF(Ujian!BC180="","",IF(LEFT(Ujian!BC180,1)=SEKOR!BC$2,1,0))</f>
        <v/>
      </c>
      <c r="BD173" s="125" t="str">
        <f>IF(Ujian!BD180="","",IF(LEFT(Ujian!BD180,1)=SEKOR!BD$2,1,0))</f>
        <v/>
      </c>
      <c r="BE173" s="125" t="str">
        <f>IF(Ujian!BE180="","",IF(LEFT(Ujian!BE180,1)=SEKOR!BE$2,1,0))</f>
        <v/>
      </c>
      <c r="BF173" s="125" t="str">
        <f>IF(Ujian!BF180="","",IF(LEFT(Ujian!BF180,1)=SEKOR!BF$2,1,0))</f>
        <v/>
      </c>
      <c r="BG173" s="125" t="str">
        <f>IF(Ujian!BG180="","",IF(LEFT(Ujian!BG180,1)=SEKOR!BG$2,1,0))</f>
        <v/>
      </c>
      <c r="BH173" s="125" t="str">
        <f>IF(Ujian!BH180="","",IF(LEFT(Ujian!BH180,1)=SEKOR!BH$2,1,0))</f>
        <v/>
      </c>
      <c r="BI173" s="125" t="str">
        <f>IF(Ujian!BI180="","",IF(LEFT(Ujian!BI180,1)=SEKOR!BI$2,1,0))</f>
        <v/>
      </c>
      <c r="BJ173" s="125" t="str">
        <f>IF(Ujian!BJ180="","",IF(LEFT(Ujian!BJ180,1)=SEKOR!BJ$2,1,0))</f>
        <v/>
      </c>
      <c r="BK173" s="125" t="str">
        <f>IF(Ujian!BK180="","",IF(LEFT(Ujian!BK180,1)=SEKOR!BK$2,1,0))</f>
        <v/>
      </c>
      <c r="BL173" s="18">
        <f t="shared" si="4"/>
        <v>0</v>
      </c>
      <c r="BM173" s="18">
        <f>COUNTIF($D173:$BK173,"")+DATA!$F$14-DATA!$F$12</f>
        <v>60</v>
      </c>
      <c r="BN173" s="17">
        <f>IF(COUNTIF($D173:$BK173,1)&gt;DATA!$F$14,DATA!$F$14,COUNTIF($D173:$BK173,1))</f>
        <v>0</v>
      </c>
      <c r="BO173" s="17">
        <f>IF((BN173+COUNTIF($D173:$BK173,0))&lt;=DATA!$F$14,COUNTIF($D173:$BK173,0),DATA!$F$14-SEKOR!BN173)</f>
        <v>0</v>
      </c>
      <c r="BP173" s="4" t="str">
        <f>IF(BL173=0,"",BN173/DATA!$F$14*100)</f>
        <v/>
      </c>
      <c r="BQ173" s="121" t="str">
        <f t="shared" si="5"/>
        <v/>
      </c>
      <c r="BR173" s="2" t="str">
        <f>IF(Praktik!$E173=0,"",Praktik!$E173)</f>
        <v/>
      </c>
      <c r="BS173" s="2" t="str">
        <f>IF(BR173="","",(BP173*DATAINFO!$O$4)+(SEKOR!BR173*DATAINFO!$O$5)/(DATAINFO!$O$4+DATAINFO!$O$5))</f>
        <v/>
      </c>
      <c r="BT173" s="2" t="str">
        <f>IF(BL173=0,"",IF(DATA!$F$18="TIDAK",ROUNDUP((IF!$L$8*SEKOR!$BP173)+IF!$L$9,0),IF($BR173="","",ROUNDUP((IF!$L$20*$BS173)+IF!$L$21,0))))</f>
        <v/>
      </c>
      <c r="BU173" s="47" t="str">
        <f>IF(BP173="","",IF(SEKOR!BP173&gt;=DATA!$J$12,1,0))</f>
        <v/>
      </c>
      <c r="BV173" s="47" t="str">
        <f>IF(BQ173="","",IF(SEKOR!BQ173&gt;=DATA!$J$12,1,0))</f>
        <v/>
      </c>
      <c r="BW173" s="47" t="str">
        <f>IF(BR173="","",IF(SEKOR!BR173&gt;=DATA!$J$12,1,0))</f>
        <v/>
      </c>
      <c r="BX173" s="47" t="str">
        <f>IF(BT173="","",IF(DATA!$J$14="",IF(SEKOR!BT173&gt;=DATA!$J$12,1,0),IF(SEKOR!BT173&gt;=DATA!$J$14,1,0)))</f>
        <v/>
      </c>
    </row>
    <row r="174" spans="1:76" x14ac:dyDescent="0.25">
      <c r="A174" s="20" t="s">
        <v>201</v>
      </c>
      <c r="B174" s="21" t="str">
        <f>IF(Ujian!B181="","",Ujian!B181)</f>
        <v/>
      </c>
      <c r="C174" s="57" t="str">
        <f>IF(Ujian!C181="","",Ujian!C181)</f>
        <v/>
      </c>
      <c r="D174" s="125" t="str">
        <f>IF(Ujian!D181="","",IF(LEFT(Ujian!D181,1)=SEKOR!D$2,1,0))</f>
        <v/>
      </c>
      <c r="E174" s="125" t="str">
        <f>IF(Ujian!E181="","",IF(LEFT(Ujian!E181,1)=SEKOR!E$2,1,0))</f>
        <v/>
      </c>
      <c r="F174" s="125" t="str">
        <f>IF(Ujian!F181="","",IF(LEFT(Ujian!F181,1)=SEKOR!F$2,1,0))</f>
        <v/>
      </c>
      <c r="G174" s="125" t="str">
        <f>IF(Ujian!G181="","",IF(LEFT(Ujian!G181,1)=SEKOR!G$2,1,0))</f>
        <v/>
      </c>
      <c r="H174" s="125" t="str">
        <f>IF(Ujian!H181="","",IF(LEFT(Ujian!H181,1)=SEKOR!H$2,1,0))</f>
        <v/>
      </c>
      <c r="I174" s="125" t="str">
        <f>IF(Ujian!I181="","",IF(LEFT(Ujian!I181,1)=SEKOR!I$2,1,0))</f>
        <v/>
      </c>
      <c r="J174" s="125" t="str">
        <f>IF(Ujian!J181="","",IF(LEFT(Ujian!J181,1)=SEKOR!J$2,1,0))</f>
        <v/>
      </c>
      <c r="K174" s="125" t="str">
        <f>IF(Ujian!K181="","",IF(LEFT(Ujian!K181,1)=SEKOR!K$2,1,0))</f>
        <v/>
      </c>
      <c r="L174" s="125" t="str">
        <f>IF(Ujian!L181="","",IF(LEFT(Ujian!L181,1)=SEKOR!L$2,1,0))</f>
        <v/>
      </c>
      <c r="M174" s="125" t="str">
        <f>IF(Ujian!M181="","",IF(LEFT(Ujian!M181,1)=SEKOR!M$2,1,0))</f>
        <v/>
      </c>
      <c r="N174" s="125" t="str">
        <f>IF(Ujian!N181="","",IF(LEFT(Ujian!N181,1)=SEKOR!N$2,1,0))</f>
        <v/>
      </c>
      <c r="O174" s="125" t="str">
        <f>IF(Ujian!O181="","",IF(LEFT(Ujian!O181,1)=SEKOR!O$2,1,0))</f>
        <v/>
      </c>
      <c r="P174" s="125" t="str">
        <f>IF(Ujian!P181="","",IF(LEFT(Ujian!P181,1)=SEKOR!P$2,1,0))</f>
        <v/>
      </c>
      <c r="Q174" s="125" t="str">
        <f>IF(Ujian!Q181="","",IF(LEFT(Ujian!Q181,1)=SEKOR!Q$2,1,0))</f>
        <v/>
      </c>
      <c r="R174" s="125" t="str">
        <f>IF(Ujian!R181="","",IF(LEFT(Ujian!R181,1)=SEKOR!R$2,1,0))</f>
        <v/>
      </c>
      <c r="S174" s="125" t="str">
        <f>IF(Ujian!S181="","",IF(LEFT(Ujian!S181,1)=SEKOR!S$2,1,0))</f>
        <v/>
      </c>
      <c r="T174" s="125" t="str">
        <f>IF(Ujian!T181="","",IF(LEFT(Ujian!T181,1)=SEKOR!T$2,1,0))</f>
        <v/>
      </c>
      <c r="U174" s="125" t="str">
        <f>IF(Ujian!U181="","",IF(LEFT(Ujian!U181,1)=SEKOR!U$2,1,0))</f>
        <v/>
      </c>
      <c r="V174" s="125" t="str">
        <f>IF(Ujian!V181="","",IF(LEFT(Ujian!V181,1)=SEKOR!V$2,1,0))</f>
        <v/>
      </c>
      <c r="W174" s="125" t="str">
        <f>IF(Ujian!W181="","",IF(LEFT(Ujian!W181,1)=SEKOR!W$2,1,0))</f>
        <v/>
      </c>
      <c r="X174" s="125" t="str">
        <f>IF(Ujian!X181="","",IF(LEFT(Ujian!X181,1)=SEKOR!X$2,1,0))</f>
        <v/>
      </c>
      <c r="Y174" s="125" t="str">
        <f>IF(Ujian!Y181="","",IF(LEFT(Ujian!Y181,1)=SEKOR!Y$2,1,0))</f>
        <v/>
      </c>
      <c r="Z174" s="125" t="str">
        <f>IF(Ujian!Z181="","",IF(LEFT(Ujian!Z181,1)=SEKOR!Z$2,1,0))</f>
        <v/>
      </c>
      <c r="AA174" s="125" t="str">
        <f>IF(Ujian!AA181="","",IF(LEFT(Ujian!AA181,1)=SEKOR!AA$2,1,0))</f>
        <v/>
      </c>
      <c r="AB174" s="125" t="str">
        <f>IF(Ujian!AB181="","",IF(LEFT(Ujian!AB181,1)=SEKOR!AB$2,1,0))</f>
        <v/>
      </c>
      <c r="AC174" s="125" t="str">
        <f>IF(Ujian!AC181="","",IF(LEFT(Ujian!AC181,1)=SEKOR!AC$2,1,0))</f>
        <v/>
      </c>
      <c r="AD174" s="125" t="str">
        <f>IF(Ujian!AD181="","",IF(LEFT(Ujian!AD181,1)=SEKOR!AD$2,1,0))</f>
        <v/>
      </c>
      <c r="AE174" s="125" t="str">
        <f>IF(Ujian!AE181="","",IF(LEFT(Ujian!AE181,1)=SEKOR!AE$2,1,0))</f>
        <v/>
      </c>
      <c r="AF174" s="125" t="str">
        <f>IF(Ujian!AF181="","",IF(LEFT(Ujian!AF181,1)=SEKOR!AF$2,1,0))</f>
        <v/>
      </c>
      <c r="AG174" s="125" t="str">
        <f>IF(Ujian!AG181="","",IF(LEFT(Ujian!AG181,1)=SEKOR!AG$2,1,0))</f>
        <v/>
      </c>
      <c r="AH174" s="125" t="str">
        <f>IF(Ujian!AH181="","",IF(LEFT(Ujian!AH181,1)=SEKOR!AH$2,1,0))</f>
        <v/>
      </c>
      <c r="AI174" s="125" t="str">
        <f>IF(Ujian!AI181="","",IF(LEFT(Ujian!AI181,1)=SEKOR!AI$2,1,0))</f>
        <v/>
      </c>
      <c r="AJ174" s="125" t="str">
        <f>IF(Ujian!AJ181="","",IF(LEFT(Ujian!AJ181,1)=SEKOR!AJ$2,1,0))</f>
        <v/>
      </c>
      <c r="AK174" s="125" t="str">
        <f>IF(Ujian!AK181="","",IF(LEFT(Ujian!AK181,1)=SEKOR!AK$2,1,0))</f>
        <v/>
      </c>
      <c r="AL174" s="125" t="str">
        <f>IF(Ujian!AL181="","",IF(LEFT(Ujian!AL181,1)=SEKOR!AL$2,1,0))</f>
        <v/>
      </c>
      <c r="AM174" s="125" t="str">
        <f>IF(Ujian!AM181="","",IF(LEFT(Ujian!AM181,1)=SEKOR!AM$2,1,0))</f>
        <v/>
      </c>
      <c r="AN174" s="125" t="str">
        <f>IF(Ujian!AN181="","",IF(LEFT(Ujian!AN181,1)=SEKOR!AN$2,1,0))</f>
        <v/>
      </c>
      <c r="AO174" s="125" t="str">
        <f>IF(Ujian!AO181="","",IF(LEFT(Ujian!AO181,1)=SEKOR!AO$2,1,0))</f>
        <v/>
      </c>
      <c r="AP174" s="125" t="str">
        <f>IF(Ujian!AP181="","",IF(LEFT(Ujian!AP181,1)=SEKOR!AP$2,1,0))</f>
        <v/>
      </c>
      <c r="AQ174" s="125" t="str">
        <f>IF(Ujian!AQ181="","",IF(LEFT(Ujian!AQ181,1)=SEKOR!AQ$2,1,0))</f>
        <v/>
      </c>
      <c r="AR174" s="125" t="str">
        <f>IF(Ujian!AR181="","",IF(LEFT(Ujian!AR181,1)=SEKOR!AR$2,1,0))</f>
        <v/>
      </c>
      <c r="AS174" s="125" t="str">
        <f>IF(Ujian!AS181="","",IF(LEFT(Ujian!AS181,1)=SEKOR!AS$2,1,0))</f>
        <v/>
      </c>
      <c r="AT174" s="125" t="str">
        <f>IF(Ujian!AT181="","",IF(LEFT(Ujian!AT181,1)=SEKOR!AT$2,1,0))</f>
        <v/>
      </c>
      <c r="AU174" s="125" t="str">
        <f>IF(Ujian!AU181="","",IF(LEFT(Ujian!AU181,1)=SEKOR!AU$2,1,0))</f>
        <v/>
      </c>
      <c r="AV174" s="125" t="str">
        <f>IF(Ujian!AV181="","",IF(LEFT(Ujian!AV181,1)=SEKOR!AV$2,1,0))</f>
        <v/>
      </c>
      <c r="AW174" s="125" t="str">
        <f>IF(Ujian!AW181="","",IF(LEFT(Ujian!AW181,1)=SEKOR!AW$2,1,0))</f>
        <v/>
      </c>
      <c r="AX174" s="125" t="str">
        <f>IF(Ujian!AX181="","",IF(LEFT(Ujian!AX181,1)=SEKOR!AX$2,1,0))</f>
        <v/>
      </c>
      <c r="AY174" s="125" t="str">
        <f>IF(Ujian!AY181="","",IF(LEFT(Ujian!AY181,1)=SEKOR!AY$2,1,0))</f>
        <v/>
      </c>
      <c r="AZ174" s="125" t="str">
        <f>IF(Ujian!AZ181="","",IF(LEFT(Ujian!AZ181,1)=SEKOR!AZ$2,1,0))</f>
        <v/>
      </c>
      <c r="BA174" s="125" t="str">
        <f>IF(Ujian!BA181="","",IF(LEFT(Ujian!BA181,1)=SEKOR!BA$2,1,0))</f>
        <v/>
      </c>
      <c r="BB174" s="125" t="str">
        <f>IF(Ujian!BB181="","",IF(LEFT(Ujian!BB181,1)=SEKOR!BB$2,1,0))</f>
        <v/>
      </c>
      <c r="BC174" s="125" t="str">
        <f>IF(Ujian!BC181="","",IF(LEFT(Ujian!BC181,1)=SEKOR!BC$2,1,0))</f>
        <v/>
      </c>
      <c r="BD174" s="125" t="str">
        <f>IF(Ujian!BD181="","",IF(LEFT(Ujian!BD181,1)=SEKOR!BD$2,1,0))</f>
        <v/>
      </c>
      <c r="BE174" s="125" t="str">
        <f>IF(Ujian!BE181="","",IF(LEFT(Ujian!BE181,1)=SEKOR!BE$2,1,0))</f>
        <v/>
      </c>
      <c r="BF174" s="125" t="str">
        <f>IF(Ujian!BF181="","",IF(LEFT(Ujian!BF181,1)=SEKOR!BF$2,1,0))</f>
        <v/>
      </c>
      <c r="BG174" s="125" t="str">
        <f>IF(Ujian!BG181="","",IF(LEFT(Ujian!BG181,1)=SEKOR!BG$2,1,0))</f>
        <v/>
      </c>
      <c r="BH174" s="125" t="str">
        <f>IF(Ujian!BH181="","",IF(LEFT(Ujian!BH181,1)=SEKOR!BH$2,1,0))</f>
        <v/>
      </c>
      <c r="BI174" s="125" t="str">
        <f>IF(Ujian!BI181="","",IF(LEFT(Ujian!BI181,1)=SEKOR!BI$2,1,0))</f>
        <v/>
      </c>
      <c r="BJ174" s="125" t="str">
        <f>IF(Ujian!BJ181="","",IF(LEFT(Ujian!BJ181,1)=SEKOR!BJ$2,1,0))</f>
        <v/>
      </c>
      <c r="BK174" s="125" t="str">
        <f>IF(Ujian!BK181="","",IF(LEFT(Ujian!BK181,1)=SEKOR!BK$2,1,0))</f>
        <v/>
      </c>
      <c r="BL174" s="18">
        <f t="shared" si="4"/>
        <v>0</v>
      </c>
      <c r="BM174" s="18">
        <f>COUNTIF($D174:$BK174,"")+DATA!$F$14-DATA!$F$12</f>
        <v>60</v>
      </c>
      <c r="BN174" s="17">
        <f>IF(COUNTIF($D174:$BK174,1)&gt;DATA!$F$14,DATA!$F$14,COUNTIF($D174:$BK174,1))</f>
        <v>0</v>
      </c>
      <c r="BO174" s="17">
        <f>IF((BN174+COUNTIF($D174:$BK174,0))&lt;=DATA!$F$14,COUNTIF($D174:$BK174,0),DATA!$F$14-SEKOR!BN174)</f>
        <v>0</v>
      </c>
      <c r="BP174" s="4" t="str">
        <f>IF(BL174=0,"",BN174/DATA!$F$14*100)</f>
        <v/>
      </c>
      <c r="BQ174" s="121" t="str">
        <f t="shared" si="5"/>
        <v/>
      </c>
      <c r="BR174" s="2" t="str">
        <f>IF(Praktik!$E174=0,"",Praktik!$E174)</f>
        <v/>
      </c>
      <c r="BS174" s="2" t="str">
        <f>IF(BR174="","",(BP174*DATAINFO!$O$4)+(SEKOR!BR174*DATAINFO!$O$5)/(DATAINFO!$O$4+DATAINFO!$O$5))</f>
        <v/>
      </c>
      <c r="BT174" s="2" t="str">
        <f>IF(BL174=0,"",IF(DATA!$F$18="TIDAK",ROUNDUP((IF!$L$8*SEKOR!$BP174)+IF!$L$9,0),IF($BR174="","",ROUNDUP((IF!$L$20*$BS174)+IF!$L$21,0))))</f>
        <v/>
      </c>
      <c r="BU174" s="47" t="str">
        <f>IF(BP174="","",IF(SEKOR!BP174&gt;=DATA!$J$12,1,0))</f>
        <v/>
      </c>
      <c r="BV174" s="47" t="str">
        <f>IF(BQ174="","",IF(SEKOR!BQ174&gt;=DATA!$J$12,1,0))</f>
        <v/>
      </c>
      <c r="BW174" s="47" t="str">
        <f>IF(BR174="","",IF(SEKOR!BR174&gt;=DATA!$J$12,1,0))</f>
        <v/>
      </c>
      <c r="BX174" s="47" t="str">
        <f>IF(BT174="","",IF(DATA!$J$14="",IF(SEKOR!BT174&gt;=DATA!$J$12,1,0),IF(SEKOR!BT174&gt;=DATA!$J$14,1,0)))</f>
        <v/>
      </c>
    </row>
    <row r="175" spans="1:76" x14ac:dyDescent="0.25">
      <c r="A175" s="20" t="s">
        <v>202</v>
      </c>
      <c r="B175" s="21" t="str">
        <f>IF(Ujian!B182="","",Ujian!B182)</f>
        <v/>
      </c>
      <c r="C175" s="57" t="str">
        <f>IF(Ujian!C182="","",Ujian!C182)</f>
        <v/>
      </c>
      <c r="D175" s="125" t="str">
        <f>IF(Ujian!D182="","",IF(LEFT(Ujian!D182,1)=SEKOR!D$2,1,0))</f>
        <v/>
      </c>
      <c r="E175" s="125" t="str">
        <f>IF(Ujian!E182="","",IF(LEFT(Ujian!E182,1)=SEKOR!E$2,1,0))</f>
        <v/>
      </c>
      <c r="F175" s="125" t="str">
        <f>IF(Ujian!F182="","",IF(LEFT(Ujian!F182,1)=SEKOR!F$2,1,0))</f>
        <v/>
      </c>
      <c r="G175" s="125" t="str">
        <f>IF(Ujian!G182="","",IF(LEFT(Ujian!G182,1)=SEKOR!G$2,1,0))</f>
        <v/>
      </c>
      <c r="H175" s="125" t="str">
        <f>IF(Ujian!H182="","",IF(LEFT(Ujian!H182,1)=SEKOR!H$2,1,0))</f>
        <v/>
      </c>
      <c r="I175" s="125" t="str">
        <f>IF(Ujian!I182="","",IF(LEFT(Ujian!I182,1)=SEKOR!I$2,1,0))</f>
        <v/>
      </c>
      <c r="J175" s="125" t="str">
        <f>IF(Ujian!J182="","",IF(LEFT(Ujian!J182,1)=SEKOR!J$2,1,0))</f>
        <v/>
      </c>
      <c r="K175" s="125" t="str">
        <f>IF(Ujian!K182="","",IF(LEFT(Ujian!K182,1)=SEKOR!K$2,1,0))</f>
        <v/>
      </c>
      <c r="L175" s="125" t="str">
        <f>IF(Ujian!L182="","",IF(LEFT(Ujian!L182,1)=SEKOR!L$2,1,0))</f>
        <v/>
      </c>
      <c r="M175" s="125" t="str">
        <f>IF(Ujian!M182="","",IF(LEFT(Ujian!M182,1)=SEKOR!M$2,1,0))</f>
        <v/>
      </c>
      <c r="N175" s="125" t="str">
        <f>IF(Ujian!N182="","",IF(LEFT(Ujian!N182,1)=SEKOR!N$2,1,0))</f>
        <v/>
      </c>
      <c r="O175" s="125" t="str">
        <f>IF(Ujian!O182="","",IF(LEFT(Ujian!O182,1)=SEKOR!O$2,1,0))</f>
        <v/>
      </c>
      <c r="P175" s="125" t="str">
        <f>IF(Ujian!P182="","",IF(LEFT(Ujian!P182,1)=SEKOR!P$2,1,0))</f>
        <v/>
      </c>
      <c r="Q175" s="125" t="str">
        <f>IF(Ujian!Q182="","",IF(LEFT(Ujian!Q182,1)=SEKOR!Q$2,1,0))</f>
        <v/>
      </c>
      <c r="R175" s="125" t="str">
        <f>IF(Ujian!R182="","",IF(LEFT(Ujian!R182,1)=SEKOR!R$2,1,0))</f>
        <v/>
      </c>
      <c r="S175" s="125" t="str">
        <f>IF(Ujian!S182="","",IF(LEFT(Ujian!S182,1)=SEKOR!S$2,1,0))</f>
        <v/>
      </c>
      <c r="T175" s="125" t="str">
        <f>IF(Ujian!T182="","",IF(LEFT(Ujian!T182,1)=SEKOR!T$2,1,0))</f>
        <v/>
      </c>
      <c r="U175" s="125" t="str">
        <f>IF(Ujian!U182="","",IF(LEFT(Ujian!U182,1)=SEKOR!U$2,1,0))</f>
        <v/>
      </c>
      <c r="V175" s="125" t="str">
        <f>IF(Ujian!V182="","",IF(LEFT(Ujian!V182,1)=SEKOR!V$2,1,0))</f>
        <v/>
      </c>
      <c r="W175" s="125" t="str">
        <f>IF(Ujian!W182="","",IF(LEFT(Ujian!W182,1)=SEKOR!W$2,1,0))</f>
        <v/>
      </c>
      <c r="X175" s="125" t="str">
        <f>IF(Ujian!X182="","",IF(LEFT(Ujian!X182,1)=SEKOR!X$2,1,0))</f>
        <v/>
      </c>
      <c r="Y175" s="125" t="str">
        <f>IF(Ujian!Y182="","",IF(LEFT(Ujian!Y182,1)=SEKOR!Y$2,1,0))</f>
        <v/>
      </c>
      <c r="Z175" s="125" t="str">
        <f>IF(Ujian!Z182="","",IF(LEFT(Ujian!Z182,1)=SEKOR!Z$2,1,0))</f>
        <v/>
      </c>
      <c r="AA175" s="125" t="str">
        <f>IF(Ujian!AA182="","",IF(LEFT(Ujian!AA182,1)=SEKOR!AA$2,1,0))</f>
        <v/>
      </c>
      <c r="AB175" s="125" t="str">
        <f>IF(Ujian!AB182="","",IF(LEFT(Ujian!AB182,1)=SEKOR!AB$2,1,0))</f>
        <v/>
      </c>
      <c r="AC175" s="125" t="str">
        <f>IF(Ujian!AC182="","",IF(LEFT(Ujian!AC182,1)=SEKOR!AC$2,1,0))</f>
        <v/>
      </c>
      <c r="AD175" s="125" t="str">
        <f>IF(Ujian!AD182="","",IF(LEFT(Ujian!AD182,1)=SEKOR!AD$2,1,0))</f>
        <v/>
      </c>
      <c r="AE175" s="125" t="str">
        <f>IF(Ujian!AE182="","",IF(LEFT(Ujian!AE182,1)=SEKOR!AE$2,1,0))</f>
        <v/>
      </c>
      <c r="AF175" s="125" t="str">
        <f>IF(Ujian!AF182="","",IF(LEFT(Ujian!AF182,1)=SEKOR!AF$2,1,0))</f>
        <v/>
      </c>
      <c r="AG175" s="125" t="str">
        <f>IF(Ujian!AG182="","",IF(LEFT(Ujian!AG182,1)=SEKOR!AG$2,1,0))</f>
        <v/>
      </c>
      <c r="AH175" s="125" t="str">
        <f>IF(Ujian!AH182="","",IF(LEFT(Ujian!AH182,1)=SEKOR!AH$2,1,0))</f>
        <v/>
      </c>
      <c r="AI175" s="125" t="str">
        <f>IF(Ujian!AI182="","",IF(LEFT(Ujian!AI182,1)=SEKOR!AI$2,1,0))</f>
        <v/>
      </c>
      <c r="AJ175" s="125" t="str">
        <f>IF(Ujian!AJ182="","",IF(LEFT(Ujian!AJ182,1)=SEKOR!AJ$2,1,0))</f>
        <v/>
      </c>
      <c r="AK175" s="125" t="str">
        <f>IF(Ujian!AK182="","",IF(LEFT(Ujian!AK182,1)=SEKOR!AK$2,1,0))</f>
        <v/>
      </c>
      <c r="AL175" s="125" t="str">
        <f>IF(Ujian!AL182="","",IF(LEFT(Ujian!AL182,1)=SEKOR!AL$2,1,0))</f>
        <v/>
      </c>
      <c r="AM175" s="125" t="str">
        <f>IF(Ujian!AM182="","",IF(LEFT(Ujian!AM182,1)=SEKOR!AM$2,1,0))</f>
        <v/>
      </c>
      <c r="AN175" s="125" t="str">
        <f>IF(Ujian!AN182="","",IF(LEFT(Ujian!AN182,1)=SEKOR!AN$2,1,0))</f>
        <v/>
      </c>
      <c r="AO175" s="125" t="str">
        <f>IF(Ujian!AO182="","",IF(LEFT(Ujian!AO182,1)=SEKOR!AO$2,1,0))</f>
        <v/>
      </c>
      <c r="AP175" s="125" t="str">
        <f>IF(Ujian!AP182="","",IF(LEFT(Ujian!AP182,1)=SEKOR!AP$2,1,0))</f>
        <v/>
      </c>
      <c r="AQ175" s="125" t="str">
        <f>IF(Ujian!AQ182="","",IF(LEFT(Ujian!AQ182,1)=SEKOR!AQ$2,1,0))</f>
        <v/>
      </c>
      <c r="AR175" s="125" t="str">
        <f>IF(Ujian!AR182="","",IF(LEFT(Ujian!AR182,1)=SEKOR!AR$2,1,0))</f>
        <v/>
      </c>
      <c r="AS175" s="125" t="str">
        <f>IF(Ujian!AS182="","",IF(LEFT(Ujian!AS182,1)=SEKOR!AS$2,1,0))</f>
        <v/>
      </c>
      <c r="AT175" s="125" t="str">
        <f>IF(Ujian!AT182="","",IF(LEFT(Ujian!AT182,1)=SEKOR!AT$2,1,0))</f>
        <v/>
      </c>
      <c r="AU175" s="125" t="str">
        <f>IF(Ujian!AU182="","",IF(LEFT(Ujian!AU182,1)=SEKOR!AU$2,1,0))</f>
        <v/>
      </c>
      <c r="AV175" s="125" t="str">
        <f>IF(Ujian!AV182="","",IF(LEFT(Ujian!AV182,1)=SEKOR!AV$2,1,0))</f>
        <v/>
      </c>
      <c r="AW175" s="125" t="str">
        <f>IF(Ujian!AW182="","",IF(LEFT(Ujian!AW182,1)=SEKOR!AW$2,1,0))</f>
        <v/>
      </c>
      <c r="AX175" s="125" t="str">
        <f>IF(Ujian!AX182="","",IF(LEFT(Ujian!AX182,1)=SEKOR!AX$2,1,0))</f>
        <v/>
      </c>
      <c r="AY175" s="125" t="str">
        <f>IF(Ujian!AY182="","",IF(LEFT(Ujian!AY182,1)=SEKOR!AY$2,1,0))</f>
        <v/>
      </c>
      <c r="AZ175" s="125" t="str">
        <f>IF(Ujian!AZ182="","",IF(LEFT(Ujian!AZ182,1)=SEKOR!AZ$2,1,0))</f>
        <v/>
      </c>
      <c r="BA175" s="125" t="str">
        <f>IF(Ujian!BA182="","",IF(LEFT(Ujian!BA182,1)=SEKOR!BA$2,1,0))</f>
        <v/>
      </c>
      <c r="BB175" s="125" t="str">
        <f>IF(Ujian!BB182="","",IF(LEFT(Ujian!BB182,1)=SEKOR!BB$2,1,0))</f>
        <v/>
      </c>
      <c r="BC175" s="125" t="str">
        <f>IF(Ujian!BC182="","",IF(LEFT(Ujian!BC182,1)=SEKOR!BC$2,1,0))</f>
        <v/>
      </c>
      <c r="BD175" s="125" t="str">
        <f>IF(Ujian!BD182="","",IF(LEFT(Ujian!BD182,1)=SEKOR!BD$2,1,0))</f>
        <v/>
      </c>
      <c r="BE175" s="125" t="str">
        <f>IF(Ujian!BE182="","",IF(LEFT(Ujian!BE182,1)=SEKOR!BE$2,1,0))</f>
        <v/>
      </c>
      <c r="BF175" s="125" t="str">
        <f>IF(Ujian!BF182="","",IF(LEFT(Ujian!BF182,1)=SEKOR!BF$2,1,0))</f>
        <v/>
      </c>
      <c r="BG175" s="125" t="str">
        <f>IF(Ujian!BG182="","",IF(LEFT(Ujian!BG182,1)=SEKOR!BG$2,1,0))</f>
        <v/>
      </c>
      <c r="BH175" s="125" t="str">
        <f>IF(Ujian!BH182="","",IF(LEFT(Ujian!BH182,1)=SEKOR!BH$2,1,0))</f>
        <v/>
      </c>
      <c r="BI175" s="125" t="str">
        <f>IF(Ujian!BI182="","",IF(LEFT(Ujian!BI182,1)=SEKOR!BI$2,1,0))</f>
        <v/>
      </c>
      <c r="BJ175" s="125" t="str">
        <f>IF(Ujian!BJ182="","",IF(LEFT(Ujian!BJ182,1)=SEKOR!BJ$2,1,0))</f>
        <v/>
      </c>
      <c r="BK175" s="125" t="str">
        <f>IF(Ujian!BK182="","",IF(LEFT(Ujian!BK182,1)=SEKOR!BK$2,1,0))</f>
        <v/>
      </c>
      <c r="BL175" s="18">
        <f t="shared" si="4"/>
        <v>0</v>
      </c>
      <c r="BM175" s="18">
        <f>COUNTIF($D175:$BK175,"")+DATA!$F$14-DATA!$F$12</f>
        <v>60</v>
      </c>
      <c r="BN175" s="17">
        <f>IF(COUNTIF($D175:$BK175,1)&gt;DATA!$F$14,DATA!$F$14,COUNTIF($D175:$BK175,1))</f>
        <v>0</v>
      </c>
      <c r="BO175" s="17">
        <f>IF((BN175+COUNTIF($D175:$BK175,0))&lt;=DATA!$F$14,COUNTIF($D175:$BK175,0),DATA!$F$14-SEKOR!BN175)</f>
        <v>0</v>
      </c>
      <c r="BP175" s="4" t="str">
        <f>IF(BL175=0,"",BN175/DATA!$F$14*100)</f>
        <v/>
      </c>
      <c r="BQ175" s="121" t="str">
        <f t="shared" si="5"/>
        <v/>
      </c>
      <c r="BR175" s="2" t="str">
        <f>IF(Praktik!$E175=0,"",Praktik!$E175)</f>
        <v/>
      </c>
      <c r="BS175" s="2" t="str">
        <f>IF(BR175="","",(BP175*DATAINFO!$O$4)+(SEKOR!BR175*DATAINFO!$O$5)/(DATAINFO!$O$4+DATAINFO!$O$5))</f>
        <v/>
      </c>
      <c r="BT175" s="2" t="str">
        <f>IF(BL175=0,"",IF(DATA!$F$18="TIDAK",ROUNDUP((IF!$L$8*SEKOR!$BP175)+IF!$L$9,0),IF($BR175="","",ROUNDUP((IF!$L$20*$BS175)+IF!$L$21,0))))</f>
        <v/>
      </c>
      <c r="BU175" s="47" t="str">
        <f>IF(BP175="","",IF(SEKOR!BP175&gt;=DATA!$J$12,1,0))</f>
        <v/>
      </c>
      <c r="BV175" s="47" t="str">
        <f>IF(BQ175="","",IF(SEKOR!BQ175&gt;=DATA!$J$12,1,0))</f>
        <v/>
      </c>
      <c r="BW175" s="47" t="str">
        <f>IF(BR175="","",IF(SEKOR!BR175&gt;=DATA!$J$12,1,0))</f>
        <v/>
      </c>
      <c r="BX175" s="47" t="str">
        <f>IF(BT175="","",IF(DATA!$J$14="",IF(SEKOR!BT175&gt;=DATA!$J$12,1,0),IF(SEKOR!BT175&gt;=DATA!$J$14,1,0)))</f>
        <v/>
      </c>
    </row>
    <row r="176" spans="1:76" x14ac:dyDescent="0.25">
      <c r="A176" s="20" t="s">
        <v>203</v>
      </c>
      <c r="B176" s="21" t="str">
        <f>IF(Ujian!B183="","",Ujian!B183)</f>
        <v/>
      </c>
      <c r="C176" s="57" t="str">
        <f>IF(Ujian!C183="","",Ujian!C183)</f>
        <v/>
      </c>
      <c r="D176" s="125" t="str">
        <f>IF(Ujian!D183="","",IF(LEFT(Ujian!D183,1)=SEKOR!D$2,1,0))</f>
        <v/>
      </c>
      <c r="E176" s="125" t="str">
        <f>IF(Ujian!E183="","",IF(LEFT(Ujian!E183,1)=SEKOR!E$2,1,0))</f>
        <v/>
      </c>
      <c r="F176" s="125" t="str">
        <f>IF(Ujian!F183="","",IF(LEFT(Ujian!F183,1)=SEKOR!F$2,1,0))</f>
        <v/>
      </c>
      <c r="G176" s="125" t="str">
        <f>IF(Ujian!G183="","",IF(LEFT(Ujian!G183,1)=SEKOR!G$2,1,0))</f>
        <v/>
      </c>
      <c r="H176" s="125" t="str">
        <f>IF(Ujian!H183="","",IF(LEFT(Ujian!H183,1)=SEKOR!H$2,1,0))</f>
        <v/>
      </c>
      <c r="I176" s="125" t="str">
        <f>IF(Ujian!I183="","",IF(LEFT(Ujian!I183,1)=SEKOR!I$2,1,0))</f>
        <v/>
      </c>
      <c r="J176" s="125" t="str">
        <f>IF(Ujian!J183="","",IF(LEFT(Ujian!J183,1)=SEKOR!J$2,1,0))</f>
        <v/>
      </c>
      <c r="K176" s="125" t="str">
        <f>IF(Ujian!K183="","",IF(LEFT(Ujian!K183,1)=SEKOR!K$2,1,0))</f>
        <v/>
      </c>
      <c r="L176" s="125" t="str">
        <f>IF(Ujian!L183="","",IF(LEFT(Ujian!L183,1)=SEKOR!L$2,1,0))</f>
        <v/>
      </c>
      <c r="M176" s="125" t="str">
        <f>IF(Ujian!M183="","",IF(LEFT(Ujian!M183,1)=SEKOR!M$2,1,0))</f>
        <v/>
      </c>
      <c r="N176" s="125" t="str">
        <f>IF(Ujian!N183="","",IF(LEFT(Ujian!N183,1)=SEKOR!N$2,1,0))</f>
        <v/>
      </c>
      <c r="O176" s="125" t="str">
        <f>IF(Ujian!O183="","",IF(LEFT(Ujian!O183,1)=SEKOR!O$2,1,0))</f>
        <v/>
      </c>
      <c r="P176" s="125" t="str">
        <f>IF(Ujian!P183="","",IF(LEFT(Ujian!P183,1)=SEKOR!P$2,1,0))</f>
        <v/>
      </c>
      <c r="Q176" s="125" t="str">
        <f>IF(Ujian!Q183="","",IF(LEFT(Ujian!Q183,1)=SEKOR!Q$2,1,0))</f>
        <v/>
      </c>
      <c r="R176" s="125" t="str">
        <f>IF(Ujian!R183="","",IF(LEFT(Ujian!R183,1)=SEKOR!R$2,1,0))</f>
        <v/>
      </c>
      <c r="S176" s="125" t="str">
        <f>IF(Ujian!S183="","",IF(LEFT(Ujian!S183,1)=SEKOR!S$2,1,0))</f>
        <v/>
      </c>
      <c r="T176" s="125" t="str">
        <f>IF(Ujian!T183="","",IF(LEFT(Ujian!T183,1)=SEKOR!T$2,1,0))</f>
        <v/>
      </c>
      <c r="U176" s="125" t="str">
        <f>IF(Ujian!U183="","",IF(LEFT(Ujian!U183,1)=SEKOR!U$2,1,0))</f>
        <v/>
      </c>
      <c r="V176" s="125" t="str">
        <f>IF(Ujian!V183="","",IF(LEFT(Ujian!V183,1)=SEKOR!V$2,1,0))</f>
        <v/>
      </c>
      <c r="W176" s="125" t="str">
        <f>IF(Ujian!W183="","",IF(LEFT(Ujian!W183,1)=SEKOR!W$2,1,0))</f>
        <v/>
      </c>
      <c r="X176" s="125" t="str">
        <f>IF(Ujian!X183="","",IF(LEFT(Ujian!X183,1)=SEKOR!X$2,1,0))</f>
        <v/>
      </c>
      <c r="Y176" s="125" t="str">
        <f>IF(Ujian!Y183="","",IF(LEFT(Ujian!Y183,1)=SEKOR!Y$2,1,0))</f>
        <v/>
      </c>
      <c r="Z176" s="125" t="str">
        <f>IF(Ujian!Z183="","",IF(LEFT(Ujian!Z183,1)=SEKOR!Z$2,1,0))</f>
        <v/>
      </c>
      <c r="AA176" s="125" t="str">
        <f>IF(Ujian!AA183="","",IF(LEFT(Ujian!AA183,1)=SEKOR!AA$2,1,0))</f>
        <v/>
      </c>
      <c r="AB176" s="125" t="str">
        <f>IF(Ujian!AB183="","",IF(LEFT(Ujian!AB183,1)=SEKOR!AB$2,1,0))</f>
        <v/>
      </c>
      <c r="AC176" s="125" t="str">
        <f>IF(Ujian!AC183="","",IF(LEFT(Ujian!AC183,1)=SEKOR!AC$2,1,0))</f>
        <v/>
      </c>
      <c r="AD176" s="125" t="str">
        <f>IF(Ujian!AD183="","",IF(LEFT(Ujian!AD183,1)=SEKOR!AD$2,1,0))</f>
        <v/>
      </c>
      <c r="AE176" s="125" t="str">
        <f>IF(Ujian!AE183="","",IF(LEFT(Ujian!AE183,1)=SEKOR!AE$2,1,0))</f>
        <v/>
      </c>
      <c r="AF176" s="125" t="str">
        <f>IF(Ujian!AF183="","",IF(LEFT(Ujian!AF183,1)=SEKOR!AF$2,1,0))</f>
        <v/>
      </c>
      <c r="AG176" s="125" t="str">
        <f>IF(Ujian!AG183="","",IF(LEFT(Ujian!AG183,1)=SEKOR!AG$2,1,0))</f>
        <v/>
      </c>
      <c r="AH176" s="125" t="str">
        <f>IF(Ujian!AH183="","",IF(LEFT(Ujian!AH183,1)=SEKOR!AH$2,1,0))</f>
        <v/>
      </c>
      <c r="AI176" s="125" t="str">
        <f>IF(Ujian!AI183="","",IF(LEFT(Ujian!AI183,1)=SEKOR!AI$2,1,0))</f>
        <v/>
      </c>
      <c r="AJ176" s="125" t="str">
        <f>IF(Ujian!AJ183="","",IF(LEFT(Ujian!AJ183,1)=SEKOR!AJ$2,1,0))</f>
        <v/>
      </c>
      <c r="AK176" s="125" t="str">
        <f>IF(Ujian!AK183="","",IF(LEFT(Ujian!AK183,1)=SEKOR!AK$2,1,0))</f>
        <v/>
      </c>
      <c r="AL176" s="125" t="str">
        <f>IF(Ujian!AL183="","",IF(LEFT(Ujian!AL183,1)=SEKOR!AL$2,1,0))</f>
        <v/>
      </c>
      <c r="AM176" s="125" t="str">
        <f>IF(Ujian!AM183="","",IF(LEFT(Ujian!AM183,1)=SEKOR!AM$2,1,0))</f>
        <v/>
      </c>
      <c r="AN176" s="125" t="str">
        <f>IF(Ujian!AN183="","",IF(LEFT(Ujian!AN183,1)=SEKOR!AN$2,1,0))</f>
        <v/>
      </c>
      <c r="AO176" s="125" t="str">
        <f>IF(Ujian!AO183="","",IF(LEFT(Ujian!AO183,1)=SEKOR!AO$2,1,0))</f>
        <v/>
      </c>
      <c r="AP176" s="125" t="str">
        <f>IF(Ujian!AP183="","",IF(LEFT(Ujian!AP183,1)=SEKOR!AP$2,1,0))</f>
        <v/>
      </c>
      <c r="AQ176" s="125" t="str">
        <f>IF(Ujian!AQ183="","",IF(LEFT(Ujian!AQ183,1)=SEKOR!AQ$2,1,0))</f>
        <v/>
      </c>
      <c r="AR176" s="125" t="str">
        <f>IF(Ujian!AR183="","",IF(LEFT(Ujian!AR183,1)=SEKOR!AR$2,1,0))</f>
        <v/>
      </c>
      <c r="AS176" s="125" t="str">
        <f>IF(Ujian!AS183="","",IF(LEFT(Ujian!AS183,1)=SEKOR!AS$2,1,0))</f>
        <v/>
      </c>
      <c r="AT176" s="125" t="str">
        <f>IF(Ujian!AT183="","",IF(LEFT(Ujian!AT183,1)=SEKOR!AT$2,1,0))</f>
        <v/>
      </c>
      <c r="AU176" s="125" t="str">
        <f>IF(Ujian!AU183="","",IF(LEFT(Ujian!AU183,1)=SEKOR!AU$2,1,0))</f>
        <v/>
      </c>
      <c r="AV176" s="125" t="str">
        <f>IF(Ujian!AV183="","",IF(LEFT(Ujian!AV183,1)=SEKOR!AV$2,1,0))</f>
        <v/>
      </c>
      <c r="AW176" s="125" t="str">
        <f>IF(Ujian!AW183="","",IF(LEFT(Ujian!AW183,1)=SEKOR!AW$2,1,0))</f>
        <v/>
      </c>
      <c r="AX176" s="125" t="str">
        <f>IF(Ujian!AX183="","",IF(LEFT(Ujian!AX183,1)=SEKOR!AX$2,1,0))</f>
        <v/>
      </c>
      <c r="AY176" s="125" t="str">
        <f>IF(Ujian!AY183="","",IF(LEFT(Ujian!AY183,1)=SEKOR!AY$2,1,0))</f>
        <v/>
      </c>
      <c r="AZ176" s="125" t="str">
        <f>IF(Ujian!AZ183="","",IF(LEFT(Ujian!AZ183,1)=SEKOR!AZ$2,1,0))</f>
        <v/>
      </c>
      <c r="BA176" s="125" t="str">
        <f>IF(Ujian!BA183="","",IF(LEFT(Ujian!BA183,1)=SEKOR!BA$2,1,0))</f>
        <v/>
      </c>
      <c r="BB176" s="125" t="str">
        <f>IF(Ujian!BB183="","",IF(LEFT(Ujian!BB183,1)=SEKOR!BB$2,1,0))</f>
        <v/>
      </c>
      <c r="BC176" s="125" t="str">
        <f>IF(Ujian!BC183="","",IF(LEFT(Ujian!BC183,1)=SEKOR!BC$2,1,0))</f>
        <v/>
      </c>
      <c r="BD176" s="125" t="str">
        <f>IF(Ujian!BD183="","",IF(LEFT(Ujian!BD183,1)=SEKOR!BD$2,1,0))</f>
        <v/>
      </c>
      <c r="BE176" s="125" t="str">
        <f>IF(Ujian!BE183="","",IF(LEFT(Ujian!BE183,1)=SEKOR!BE$2,1,0))</f>
        <v/>
      </c>
      <c r="BF176" s="125" t="str">
        <f>IF(Ujian!BF183="","",IF(LEFT(Ujian!BF183,1)=SEKOR!BF$2,1,0))</f>
        <v/>
      </c>
      <c r="BG176" s="125" t="str">
        <f>IF(Ujian!BG183="","",IF(LEFT(Ujian!BG183,1)=SEKOR!BG$2,1,0))</f>
        <v/>
      </c>
      <c r="BH176" s="125" t="str">
        <f>IF(Ujian!BH183="","",IF(LEFT(Ujian!BH183,1)=SEKOR!BH$2,1,0))</f>
        <v/>
      </c>
      <c r="BI176" s="125" t="str">
        <f>IF(Ujian!BI183="","",IF(LEFT(Ujian!BI183,1)=SEKOR!BI$2,1,0))</f>
        <v/>
      </c>
      <c r="BJ176" s="125" t="str">
        <f>IF(Ujian!BJ183="","",IF(LEFT(Ujian!BJ183,1)=SEKOR!BJ$2,1,0))</f>
        <v/>
      </c>
      <c r="BK176" s="125" t="str">
        <f>IF(Ujian!BK183="","",IF(LEFT(Ujian!BK183,1)=SEKOR!BK$2,1,0))</f>
        <v/>
      </c>
      <c r="BL176" s="18">
        <f t="shared" si="4"/>
        <v>0</v>
      </c>
      <c r="BM176" s="18">
        <f>COUNTIF($D176:$BK176,"")+DATA!$F$14-DATA!$F$12</f>
        <v>60</v>
      </c>
      <c r="BN176" s="17">
        <f>IF(COUNTIF($D176:$BK176,1)&gt;DATA!$F$14,DATA!$F$14,COUNTIF($D176:$BK176,1))</f>
        <v>0</v>
      </c>
      <c r="BO176" s="17">
        <f>IF((BN176+COUNTIF($D176:$BK176,0))&lt;=DATA!$F$14,COUNTIF($D176:$BK176,0),DATA!$F$14-SEKOR!BN176)</f>
        <v>0</v>
      </c>
      <c r="BP176" s="4" t="str">
        <f>IF(BL176=0,"",BN176/DATA!$F$14*100)</f>
        <v/>
      </c>
      <c r="BQ176" s="121" t="str">
        <f t="shared" si="5"/>
        <v/>
      </c>
      <c r="BR176" s="2" t="str">
        <f>IF(Praktik!$E176=0,"",Praktik!$E176)</f>
        <v/>
      </c>
      <c r="BS176" s="2" t="str">
        <f>IF(BR176="","",(BP176*DATAINFO!$O$4)+(SEKOR!BR176*DATAINFO!$O$5)/(DATAINFO!$O$4+DATAINFO!$O$5))</f>
        <v/>
      </c>
      <c r="BT176" s="2" t="str">
        <f>IF(BL176=0,"",IF(DATA!$F$18="TIDAK",ROUNDUP((IF!$L$8*SEKOR!$BP176)+IF!$L$9,0),IF($BR176="","",ROUNDUP((IF!$L$20*$BS176)+IF!$L$21,0))))</f>
        <v/>
      </c>
      <c r="BU176" s="47" t="str">
        <f>IF(BP176="","",IF(SEKOR!BP176&gt;=DATA!$J$12,1,0))</f>
        <v/>
      </c>
      <c r="BV176" s="47" t="str">
        <f>IF(BQ176="","",IF(SEKOR!BQ176&gt;=DATA!$J$12,1,0))</f>
        <v/>
      </c>
      <c r="BW176" s="47" t="str">
        <f>IF(BR176="","",IF(SEKOR!BR176&gt;=DATA!$J$12,1,0))</f>
        <v/>
      </c>
      <c r="BX176" s="47" t="str">
        <f>IF(BT176="","",IF(DATA!$J$14="",IF(SEKOR!BT176&gt;=DATA!$J$12,1,0),IF(SEKOR!BT176&gt;=DATA!$J$14,1,0)))</f>
        <v/>
      </c>
    </row>
    <row r="177" spans="1:76" x14ac:dyDescent="0.25">
      <c r="A177" s="20" t="s">
        <v>204</v>
      </c>
      <c r="B177" s="21" t="str">
        <f>IF(Ujian!B184="","",Ujian!B184)</f>
        <v/>
      </c>
      <c r="C177" s="57" t="str">
        <f>IF(Ujian!C184="","",Ujian!C184)</f>
        <v/>
      </c>
      <c r="D177" s="125" t="str">
        <f>IF(Ujian!D184="","",IF(LEFT(Ujian!D184,1)=SEKOR!D$2,1,0))</f>
        <v/>
      </c>
      <c r="E177" s="125" t="str">
        <f>IF(Ujian!E184="","",IF(LEFT(Ujian!E184,1)=SEKOR!E$2,1,0))</f>
        <v/>
      </c>
      <c r="F177" s="125" t="str">
        <f>IF(Ujian!F184="","",IF(LEFT(Ujian!F184,1)=SEKOR!F$2,1,0))</f>
        <v/>
      </c>
      <c r="G177" s="125" t="str">
        <f>IF(Ujian!G184="","",IF(LEFT(Ujian!G184,1)=SEKOR!G$2,1,0))</f>
        <v/>
      </c>
      <c r="H177" s="125" t="str">
        <f>IF(Ujian!H184="","",IF(LEFT(Ujian!H184,1)=SEKOR!H$2,1,0))</f>
        <v/>
      </c>
      <c r="I177" s="125" t="str">
        <f>IF(Ujian!I184="","",IF(LEFT(Ujian!I184,1)=SEKOR!I$2,1,0))</f>
        <v/>
      </c>
      <c r="J177" s="125" t="str">
        <f>IF(Ujian!J184="","",IF(LEFT(Ujian!J184,1)=SEKOR!J$2,1,0))</f>
        <v/>
      </c>
      <c r="K177" s="125" t="str">
        <f>IF(Ujian!K184="","",IF(LEFT(Ujian!K184,1)=SEKOR!K$2,1,0))</f>
        <v/>
      </c>
      <c r="L177" s="125" t="str">
        <f>IF(Ujian!L184="","",IF(LEFT(Ujian!L184,1)=SEKOR!L$2,1,0))</f>
        <v/>
      </c>
      <c r="M177" s="125" t="str">
        <f>IF(Ujian!M184="","",IF(LEFT(Ujian!M184,1)=SEKOR!M$2,1,0))</f>
        <v/>
      </c>
      <c r="N177" s="125" t="str">
        <f>IF(Ujian!N184="","",IF(LEFT(Ujian!N184,1)=SEKOR!N$2,1,0))</f>
        <v/>
      </c>
      <c r="O177" s="125" t="str">
        <f>IF(Ujian!O184="","",IF(LEFT(Ujian!O184,1)=SEKOR!O$2,1,0))</f>
        <v/>
      </c>
      <c r="P177" s="125" t="str">
        <f>IF(Ujian!P184="","",IF(LEFT(Ujian!P184,1)=SEKOR!P$2,1,0))</f>
        <v/>
      </c>
      <c r="Q177" s="125" t="str">
        <f>IF(Ujian!Q184="","",IF(LEFT(Ujian!Q184,1)=SEKOR!Q$2,1,0))</f>
        <v/>
      </c>
      <c r="R177" s="125" t="str">
        <f>IF(Ujian!R184="","",IF(LEFT(Ujian!R184,1)=SEKOR!R$2,1,0))</f>
        <v/>
      </c>
      <c r="S177" s="125" t="str">
        <f>IF(Ujian!S184="","",IF(LEFT(Ujian!S184,1)=SEKOR!S$2,1,0))</f>
        <v/>
      </c>
      <c r="T177" s="125" t="str">
        <f>IF(Ujian!T184="","",IF(LEFT(Ujian!T184,1)=SEKOR!T$2,1,0))</f>
        <v/>
      </c>
      <c r="U177" s="125" t="str">
        <f>IF(Ujian!U184="","",IF(LEFT(Ujian!U184,1)=SEKOR!U$2,1,0))</f>
        <v/>
      </c>
      <c r="V177" s="125" t="str">
        <f>IF(Ujian!V184="","",IF(LEFT(Ujian!V184,1)=SEKOR!V$2,1,0))</f>
        <v/>
      </c>
      <c r="W177" s="125" t="str">
        <f>IF(Ujian!W184="","",IF(LEFT(Ujian!W184,1)=SEKOR!W$2,1,0))</f>
        <v/>
      </c>
      <c r="X177" s="125" t="str">
        <f>IF(Ujian!X184="","",IF(LEFT(Ujian!X184,1)=SEKOR!X$2,1,0))</f>
        <v/>
      </c>
      <c r="Y177" s="125" t="str">
        <f>IF(Ujian!Y184="","",IF(LEFT(Ujian!Y184,1)=SEKOR!Y$2,1,0))</f>
        <v/>
      </c>
      <c r="Z177" s="125" t="str">
        <f>IF(Ujian!Z184="","",IF(LEFT(Ujian!Z184,1)=SEKOR!Z$2,1,0))</f>
        <v/>
      </c>
      <c r="AA177" s="125" t="str">
        <f>IF(Ujian!AA184="","",IF(LEFT(Ujian!AA184,1)=SEKOR!AA$2,1,0))</f>
        <v/>
      </c>
      <c r="AB177" s="125" t="str">
        <f>IF(Ujian!AB184="","",IF(LEFT(Ujian!AB184,1)=SEKOR!AB$2,1,0))</f>
        <v/>
      </c>
      <c r="AC177" s="125" t="str">
        <f>IF(Ujian!AC184="","",IF(LEFT(Ujian!AC184,1)=SEKOR!AC$2,1,0))</f>
        <v/>
      </c>
      <c r="AD177" s="125" t="str">
        <f>IF(Ujian!AD184="","",IF(LEFT(Ujian!AD184,1)=SEKOR!AD$2,1,0))</f>
        <v/>
      </c>
      <c r="AE177" s="125" t="str">
        <f>IF(Ujian!AE184="","",IF(LEFT(Ujian!AE184,1)=SEKOR!AE$2,1,0))</f>
        <v/>
      </c>
      <c r="AF177" s="125" t="str">
        <f>IF(Ujian!AF184="","",IF(LEFT(Ujian!AF184,1)=SEKOR!AF$2,1,0))</f>
        <v/>
      </c>
      <c r="AG177" s="125" t="str">
        <f>IF(Ujian!AG184="","",IF(LEFT(Ujian!AG184,1)=SEKOR!AG$2,1,0))</f>
        <v/>
      </c>
      <c r="AH177" s="125" t="str">
        <f>IF(Ujian!AH184="","",IF(LEFT(Ujian!AH184,1)=SEKOR!AH$2,1,0))</f>
        <v/>
      </c>
      <c r="AI177" s="125" t="str">
        <f>IF(Ujian!AI184="","",IF(LEFT(Ujian!AI184,1)=SEKOR!AI$2,1,0))</f>
        <v/>
      </c>
      <c r="AJ177" s="125" t="str">
        <f>IF(Ujian!AJ184="","",IF(LEFT(Ujian!AJ184,1)=SEKOR!AJ$2,1,0))</f>
        <v/>
      </c>
      <c r="AK177" s="125" t="str">
        <f>IF(Ujian!AK184="","",IF(LEFT(Ujian!AK184,1)=SEKOR!AK$2,1,0))</f>
        <v/>
      </c>
      <c r="AL177" s="125" t="str">
        <f>IF(Ujian!AL184="","",IF(LEFT(Ujian!AL184,1)=SEKOR!AL$2,1,0))</f>
        <v/>
      </c>
      <c r="AM177" s="125" t="str">
        <f>IF(Ujian!AM184="","",IF(LEFT(Ujian!AM184,1)=SEKOR!AM$2,1,0))</f>
        <v/>
      </c>
      <c r="AN177" s="125" t="str">
        <f>IF(Ujian!AN184="","",IF(LEFT(Ujian!AN184,1)=SEKOR!AN$2,1,0))</f>
        <v/>
      </c>
      <c r="AO177" s="125" t="str">
        <f>IF(Ujian!AO184="","",IF(LEFT(Ujian!AO184,1)=SEKOR!AO$2,1,0))</f>
        <v/>
      </c>
      <c r="AP177" s="125" t="str">
        <f>IF(Ujian!AP184="","",IF(LEFT(Ujian!AP184,1)=SEKOR!AP$2,1,0))</f>
        <v/>
      </c>
      <c r="AQ177" s="125" t="str">
        <f>IF(Ujian!AQ184="","",IF(LEFT(Ujian!AQ184,1)=SEKOR!AQ$2,1,0))</f>
        <v/>
      </c>
      <c r="AR177" s="125" t="str">
        <f>IF(Ujian!AR184="","",IF(LEFT(Ujian!AR184,1)=SEKOR!AR$2,1,0))</f>
        <v/>
      </c>
      <c r="AS177" s="125" t="str">
        <f>IF(Ujian!AS184="","",IF(LEFT(Ujian!AS184,1)=SEKOR!AS$2,1,0))</f>
        <v/>
      </c>
      <c r="AT177" s="125" t="str">
        <f>IF(Ujian!AT184="","",IF(LEFT(Ujian!AT184,1)=SEKOR!AT$2,1,0))</f>
        <v/>
      </c>
      <c r="AU177" s="125" t="str">
        <f>IF(Ujian!AU184="","",IF(LEFT(Ujian!AU184,1)=SEKOR!AU$2,1,0))</f>
        <v/>
      </c>
      <c r="AV177" s="125" t="str">
        <f>IF(Ujian!AV184="","",IF(LEFT(Ujian!AV184,1)=SEKOR!AV$2,1,0))</f>
        <v/>
      </c>
      <c r="AW177" s="125" t="str">
        <f>IF(Ujian!AW184="","",IF(LEFT(Ujian!AW184,1)=SEKOR!AW$2,1,0))</f>
        <v/>
      </c>
      <c r="AX177" s="125" t="str">
        <f>IF(Ujian!AX184="","",IF(LEFT(Ujian!AX184,1)=SEKOR!AX$2,1,0))</f>
        <v/>
      </c>
      <c r="AY177" s="125" t="str">
        <f>IF(Ujian!AY184="","",IF(LEFT(Ujian!AY184,1)=SEKOR!AY$2,1,0))</f>
        <v/>
      </c>
      <c r="AZ177" s="125" t="str">
        <f>IF(Ujian!AZ184="","",IF(LEFT(Ujian!AZ184,1)=SEKOR!AZ$2,1,0))</f>
        <v/>
      </c>
      <c r="BA177" s="125" t="str">
        <f>IF(Ujian!BA184="","",IF(LEFT(Ujian!BA184,1)=SEKOR!BA$2,1,0))</f>
        <v/>
      </c>
      <c r="BB177" s="125" t="str">
        <f>IF(Ujian!BB184="","",IF(LEFT(Ujian!BB184,1)=SEKOR!BB$2,1,0))</f>
        <v/>
      </c>
      <c r="BC177" s="125" t="str">
        <f>IF(Ujian!BC184="","",IF(LEFT(Ujian!BC184,1)=SEKOR!BC$2,1,0))</f>
        <v/>
      </c>
      <c r="BD177" s="125" t="str">
        <f>IF(Ujian!BD184="","",IF(LEFT(Ujian!BD184,1)=SEKOR!BD$2,1,0))</f>
        <v/>
      </c>
      <c r="BE177" s="125" t="str">
        <f>IF(Ujian!BE184="","",IF(LEFT(Ujian!BE184,1)=SEKOR!BE$2,1,0))</f>
        <v/>
      </c>
      <c r="BF177" s="125" t="str">
        <f>IF(Ujian!BF184="","",IF(LEFT(Ujian!BF184,1)=SEKOR!BF$2,1,0))</f>
        <v/>
      </c>
      <c r="BG177" s="125" t="str">
        <f>IF(Ujian!BG184="","",IF(LEFT(Ujian!BG184,1)=SEKOR!BG$2,1,0))</f>
        <v/>
      </c>
      <c r="BH177" s="125" t="str">
        <f>IF(Ujian!BH184="","",IF(LEFT(Ujian!BH184,1)=SEKOR!BH$2,1,0))</f>
        <v/>
      </c>
      <c r="BI177" s="125" t="str">
        <f>IF(Ujian!BI184="","",IF(LEFT(Ujian!BI184,1)=SEKOR!BI$2,1,0))</f>
        <v/>
      </c>
      <c r="BJ177" s="125" t="str">
        <f>IF(Ujian!BJ184="","",IF(LEFT(Ujian!BJ184,1)=SEKOR!BJ$2,1,0))</f>
        <v/>
      </c>
      <c r="BK177" s="125" t="str">
        <f>IF(Ujian!BK184="","",IF(LEFT(Ujian!BK184,1)=SEKOR!BK$2,1,0))</f>
        <v/>
      </c>
      <c r="BL177" s="18">
        <f t="shared" si="4"/>
        <v>0</v>
      </c>
      <c r="BM177" s="18">
        <f>COUNTIF($D177:$BK177,"")+DATA!$F$14-DATA!$F$12</f>
        <v>60</v>
      </c>
      <c r="BN177" s="17">
        <f>IF(COUNTIF($D177:$BK177,1)&gt;DATA!$F$14,DATA!$F$14,COUNTIF($D177:$BK177,1))</f>
        <v>0</v>
      </c>
      <c r="BO177" s="17">
        <f>IF((BN177+COUNTIF($D177:$BK177,0))&lt;=DATA!$F$14,COUNTIF($D177:$BK177,0),DATA!$F$14-SEKOR!BN177)</f>
        <v>0</v>
      </c>
      <c r="BP177" s="4" t="str">
        <f>IF(BL177=0,"",BN177/DATA!$F$14*100)</f>
        <v/>
      </c>
      <c r="BQ177" s="121" t="str">
        <f t="shared" si="5"/>
        <v/>
      </c>
      <c r="BR177" s="2" t="str">
        <f>IF(Praktik!$E177=0,"",Praktik!$E177)</f>
        <v/>
      </c>
      <c r="BS177" s="2" t="str">
        <f>IF(BR177="","",(BP177*DATAINFO!$O$4)+(SEKOR!BR177*DATAINFO!$O$5)/(DATAINFO!$O$4+DATAINFO!$O$5))</f>
        <v/>
      </c>
      <c r="BT177" s="2" t="str">
        <f>IF(BL177=0,"",IF(DATA!$F$18="TIDAK",ROUNDUP((IF!$L$8*SEKOR!$BP177)+IF!$L$9,0),IF($BR177="","",ROUNDUP((IF!$L$20*$BS177)+IF!$L$21,0))))</f>
        <v/>
      </c>
      <c r="BU177" s="47" t="str">
        <f>IF(BP177="","",IF(SEKOR!BP177&gt;=DATA!$J$12,1,0))</f>
        <v/>
      </c>
      <c r="BV177" s="47" t="str">
        <f>IF(BQ177="","",IF(SEKOR!BQ177&gt;=DATA!$J$12,1,0))</f>
        <v/>
      </c>
      <c r="BW177" s="47" t="str">
        <f>IF(BR177="","",IF(SEKOR!BR177&gt;=DATA!$J$12,1,0))</f>
        <v/>
      </c>
      <c r="BX177" s="47" t="str">
        <f>IF(BT177="","",IF(DATA!$J$14="",IF(SEKOR!BT177&gt;=DATA!$J$12,1,0),IF(SEKOR!BT177&gt;=DATA!$J$14,1,0)))</f>
        <v/>
      </c>
    </row>
    <row r="178" spans="1:76" x14ac:dyDescent="0.25">
      <c r="A178" s="20" t="s">
        <v>205</v>
      </c>
      <c r="B178" s="21" t="str">
        <f>IF(Ujian!B185="","",Ujian!B185)</f>
        <v/>
      </c>
      <c r="C178" s="57" t="str">
        <f>IF(Ujian!C185="","",Ujian!C185)</f>
        <v/>
      </c>
      <c r="D178" s="125" t="str">
        <f>IF(Ujian!D185="","",IF(LEFT(Ujian!D185,1)=SEKOR!D$2,1,0))</f>
        <v/>
      </c>
      <c r="E178" s="125" t="str">
        <f>IF(Ujian!E185="","",IF(LEFT(Ujian!E185,1)=SEKOR!E$2,1,0))</f>
        <v/>
      </c>
      <c r="F178" s="125" t="str">
        <f>IF(Ujian!F185="","",IF(LEFT(Ujian!F185,1)=SEKOR!F$2,1,0))</f>
        <v/>
      </c>
      <c r="G178" s="125" t="str">
        <f>IF(Ujian!G185="","",IF(LEFT(Ujian!G185,1)=SEKOR!G$2,1,0))</f>
        <v/>
      </c>
      <c r="H178" s="125" t="str">
        <f>IF(Ujian!H185="","",IF(LEFT(Ujian!H185,1)=SEKOR!H$2,1,0))</f>
        <v/>
      </c>
      <c r="I178" s="125" t="str">
        <f>IF(Ujian!I185="","",IF(LEFT(Ujian!I185,1)=SEKOR!I$2,1,0))</f>
        <v/>
      </c>
      <c r="J178" s="125" t="str">
        <f>IF(Ujian!J185="","",IF(LEFT(Ujian!J185,1)=SEKOR!J$2,1,0))</f>
        <v/>
      </c>
      <c r="K178" s="125" t="str">
        <f>IF(Ujian!K185="","",IF(LEFT(Ujian!K185,1)=SEKOR!K$2,1,0))</f>
        <v/>
      </c>
      <c r="L178" s="125" t="str">
        <f>IF(Ujian!L185="","",IF(LEFT(Ujian!L185,1)=SEKOR!L$2,1,0))</f>
        <v/>
      </c>
      <c r="M178" s="125" t="str">
        <f>IF(Ujian!M185="","",IF(LEFT(Ujian!M185,1)=SEKOR!M$2,1,0))</f>
        <v/>
      </c>
      <c r="N178" s="125" t="str">
        <f>IF(Ujian!N185="","",IF(LEFT(Ujian!N185,1)=SEKOR!N$2,1,0))</f>
        <v/>
      </c>
      <c r="O178" s="125" t="str">
        <f>IF(Ujian!O185="","",IF(LEFT(Ujian!O185,1)=SEKOR!O$2,1,0))</f>
        <v/>
      </c>
      <c r="P178" s="125" t="str">
        <f>IF(Ujian!P185="","",IF(LEFT(Ujian!P185,1)=SEKOR!P$2,1,0))</f>
        <v/>
      </c>
      <c r="Q178" s="125" t="str">
        <f>IF(Ujian!Q185="","",IF(LEFT(Ujian!Q185,1)=SEKOR!Q$2,1,0))</f>
        <v/>
      </c>
      <c r="R178" s="125" t="str">
        <f>IF(Ujian!R185="","",IF(LEFT(Ujian!R185,1)=SEKOR!R$2,1,0))</f>
        <v/>
      </c>
      <c r="S178" s="125" t="str">
        <f>IF(Ujian!S185="","",IF(LEFT(Ujian!S185,1)=SEKOR!S$2,1,0))</f>
        <v/>
      </c>
      <c r="T178" s="125" t="str">
        <f>IF(Ujian!T185="","",IF(LEFT(Ujian!T185,1)=SEKOR!T$2,1,0))</f>
        <v/>
      </c>
      <c r="U178" s="125" t="str">
        <f>IF(Ujian!U185="","",IF(LEFT(Ujian!U185,1)=SEKOR!U$2,1,0))</f>
        <v/>
      </c>
      <c r="V178" s="125" t="str">
        <f>IF(Ujian!V185="","",IF(LEFT(Ujian!V185,1)=SEKOR!V$2,1,0))</f>
        <v/>
      </c>
      <c r="W178" s="125" t="str">
        <f>IF(Ujian!W185="","",IF(LEFT(Ujian!W185,1)=SEKOR!W$2,1,0))</f>
        <v/>
      </c>
      <c r="X178" s="125" t="str">
        <f>IF(Ujian!X185="","",IF(LEFT(Ujian!X185,1)=SEKOR!X$2,1,0))</f>
        <v/>
      </c>
      <c r="Y178" s="125" t="str">
        <f>IF(Ujian!Y185="","",IF(LEFT(Ujian!Y185,1)=SEKOR!Y$2,1,0))</f>
        <v/>
      </c>
      <c r="Z178" s="125" t="str">
        <f>IF(Ujian!Z185="","",IF(LEFT(Ujian!Z185,1)=SEKOR!Z$2,1,0))</f>
        <v/>
      </c>
      <c r="AA178" s="125" t="str">
        <f>IF(Ujian!AA185="","",IF(LEFT(Ujian!AA185,1)=SEKOR!AA$2,1,0))</f>
        <v/>
      </c>
      <c r="AB178" s="125" t="str">
        <f>IF(Ujian!AB185="","",IF(LEFT(Ujian!AB185,1)=SEKOR!AB$2,1,0))</f>
        <v/>
      </c>
      <c r="AC178" s="125" t="str">
        <f>IF(Ujian!AC185="","",IF(LEFT(Ujian!AC185,1)=SEKOR!AC$2,1,0))</f>
        <v/>
      </c>
      <c r="AD178" s="125" t="str">
        <f>IF(Ujian!AD185="","",IF(LEFT(Ujian!AD185,1)=SEKOR!AD$2,1,0))</f>
        <v/>
      </c>
      <c r="AE178" s="125" t="str">
        <f>IF(Ujian!AE185="","",IF(LEFT(Ujian!AE185,1)=SEKOR!AE$2,1,0))</f>
        <v/>
      </c>
      <c r="AF178" s="125" t="str">
        <f>IF(Ujian!AF185="","",IF(LEFT(Ujian!AF185,1)=SEKOR!AF$2,1,0))</f>
        <v/>
      </c>
      <c r="AG178" s="125" t="str">
        <f>IF(Ujian!AG185="","",IF(LEFT(Ujian!AG185,1)=SEKOR!AG$2,1,0))</f>
        <v/>
      </c>
      <c r="AH178" s="125" t="str">
        <f>IF(Ujian!AH185="","",IF(LEFT(Ujian!AH185,1)=SEKOR!AH$2,1,0))</f>
        <v/>
      </c>
      <c r="AI178" s="125" t="str">
        <f>IF(Ujian!AI185="","",IF(LEFT(Ujian!AI185,1)=SEKOR!AI$2,1,0))</f>
        <v/>
      </c>
      <c r="AJ178" s="125" t="str">
        <f>IF(Ujian!AJ185="","",IF(LEFT(Ujian!AJ185,1)=SEKOR!AJ$2,1,0))</f>
        <v/>
      </c>
      <c r="AK178" s="125" t="str">
        <f>IF(Ujian!AK185="","",IF(LEFT(Ujian!AK185,1)=SEKOR!AK$2,1,0))</f>
        <v/>
      </c>
      <c r="AL178" s="125" t="str">
        <f>IF(Ujian!AL185="","",IF(LEFT(Ujian!AL185,1)=SEKOR!AL$2,1,0))</f>
        <v/>
      </c>
      <c r="AM178" s="125" t="str">
        <f>IF(Ujian!AM185="","",IF(LEFT(Ujian!AM185,1)=SEKOR!AM$2,1,0))</f>
        <v/>
      </c>
      <c r="AN178" s="125" t="str">
        <f>IF(Ujian!AN185="","",IF(LEFT(Ujian!AN185,1)=SEKOR!AN$2,1,0))</f>
        <v/>
      </c>
      <c r="AO178" s="125" t="str">
        <f>IF(Ujian!AO185="","",IF(LEFT(Ujian!AO185,1)=SEKOR!AO$2,1,0))</f>
        <v/>
      </c>
      <c r="AP178" s="125" t="str">
        <f>IF(Ujian!AP185="","",IF(LEFT(Ujian!AP185,1)=SEKOR!AP$2,1,0))</f>
        <v/>
      </c>
      <c r="AQ178" s="125" t="str">
        <f>IF(Ujian!AQ185="","",IF(LEFT(Ujian!AQ185,1)=SEKOR!AQ$2,1,0))</f>
        <v/>
      </c>
      <c r="AR178" s="125" t="str">
        <f>IF(Ujian!AR185="","",IF(LEFT(Ujian!AR185,1)=SEKOR!AR$2,1,0))</f>
        <v/>
      </c>
      <c r="AS178" s="125" t="str">
        <f>IF(Ujian!AS185="","",IF(LEFT(Ujian!AS185,1)=SEKOR!AS$2,1,0))</f>
        <v/>
      </c>
      <c r="AT178" s="125" t="str">
        <f>IF(Ujian!AT185="","",IF(LEFT(Ujian!AT185,1)=SEKOR!AT$2,1,0))</f>
        <v/>
      </c>
      <c r="AU178" s="125" t="str">
        <f>IF(Ujian!AU185="","",IF(LEFT(Ujian!AU185,1)=SEKOR!AU$2,1,0))</f>
        <v/>
      </c>
      <c r="AV178" s="125" t="str">
        <f>IF(Ujian!AV185="","",IF(LEFT(Ujian!AV185,1)=SEKOR!AV$2,1,0))</f>
        <v/>
      </c>
      <c r="AW178" s="125" t="str">
        <f>IF(Ujian!AW185="","",IF(LEFT(Ujian!AW185,1)=SEKOR!AW$2,1,0))</f>
        <v/>
      </c>
      <c r="AX178" s="125" t="str">
        <f>IF(Ujian!AX185="","",IF(LEFT(Ujian!AX185,1)=SEKOR!AX$2,1,0))</f>
        <v/>
      </c>
      <c r="AY178" s="125" t="str">
        <f>IF(Ujian!AY185="","",IF(LEFT(Ujian!AY185,1)=SEKOR!AY$2,1,0))</f>
        <v/>
      </c>
      <c r="AZ178" s="125" t="str">
        <f>IF(Ujian!AZ185="","",IF(LEFT(Ujian!AZ185,1)=SEKOR!AZ$2,1,0))</f>
        <v/>
      </c>
      <c r="BA178" s="125" t="str">
        <f>IF(Ujian!BA185="","",IF(LEFT(Ujian!BA185,1)=SEKOR!BA$2,1,0))</f>
        <v/>
      </c>
      <c r="BB178" s="125" t="str">
        <f>IF(Ujian!BB185="","",IF(LEFT(Ujian!BB185,1)=SEKOR!BB$2,1,0))</f>
        <v/>
      </c>
      <c r="BC178" s="125" t="str">
        <f>IF(Ujian!BC185="","",IF(LEFT(Ujian!BC185,1)=SEKOR!BC$2,1,0))</f>
        <v/>
      </c>
      <c r="BD178" s="125" t="str">
        <f>IF(Ujian!BD185="","",IF(LEFT(Ujian!BD185,1)=SEKOR!BD$2,1,0))</f>
        <v/>
      </c>
      <c r="BE178" s="125" t="str">
        <f>IF(Ujian!BE185="","",IF(LEFT(Ujian!BE185,1)=SEKOR!BE$2,1,0))</f>
        <v/>
      </c>
      <c r="BF178" s="125" t="str">
        <f>IF(Ujian!BF185="","",IF(LEFT(Ujian!BF185,1)=SEKOR!BF$2,1,0))</f>
        <v/>
      </c>
      <c r="BG178" s="125" t="str">
        <f>IF(Ujian!BG185="","",IF(LEFT(Ujian!BG185,1)=SEKOR!BG$2,1,0))</f>
        <v/>
      </c>
      <c r="BH178" s="125" t="str">
        <f>IF(Ujian!BH185="","",IF(LEFT(Ujian!BH185,1)=SEKOR!BH$2,1,0))</f>
        <v/>
      </c>
      <c r="BI178" s="125" t="str">
        <f>IF(Ujian!BI185="","",IF(LEFT(Ujian!BI185,1)=SEKOR!BI$2,1,0))</f>
        <v/>
      </c>
      <c r="BJ178" s="125" t="str">
        <f>IF(Ujian!BJ185="","",IF(LEFT(Ujian!BJ185,1)=SEKOR!BJ$2,1,0))</f>
        <v/>
      </c>
      <c r="BK178" s="125" t="str">
        <f>IF(Ujian!BK185="","",IF(LEFT(Ujian!BK185,1)=SEKOR!BK$2,1,0))</f>
        <v/>
      </c>
      <c r="BL178" s="18">
        <f t="shared" si="4"/>
        <v>0</v>
      </c>
      <c r="BM178" s="18">
        <f>COUNTIF($D178:$BK178,"")+DATA!$F$14-DATA!$F$12</f>
        <v>60</v>
      </c>
      <c r="BN178" s="17">
        <f>IF(COUNTIF($D178:$BK178,1)&gt;DATA!$F$14,DATA!$F$14,COUNTIF($D178:$BK178,1))</f>
        <v>0</v>
      </c>
      <c r="BO178" s="17">
        <f>IF((BN178+COUNTIF($D178:$BK178,0))&lt;=DATA!$F$14,COUNTIF($D178:$BK178,0),DATA!$F$14-SEKOR!BN178)</f>
        <v>0</v>
      </c>
      <c r="BP178" s="4" t="str">
        <f>IF(BL178=0,"",BN178/DATA!$F$14*100)</f>
        <v/>
      </c>
      <c r="BQ178" s="121" t="str">
        <f t="shared" si="5"/>
        <v/>
      </c>
      <c r="BR178" s="2" t="str">
        <f>IF(Praktik!$E178=0,"",Praktik!$E178)</f>
        <v/>
      </c>
      <c r="BS178" s="2" t="str">
        <f>IF(BR178="","",(BP178*DATAINFO!$O$4)+(SEKOR!BR178*DATAINFO!$O$5)/(DATAINFO!$O$4+DATAINFO!$O$5))</f>
        <v/>
      </c>
      <c r="BT178" s="2" t="str">
        <f>IF(BL178=0,"",IF(DATA!$F$18="TIDAK",ROUNDUP((IF!$L$8*SEKOR!$BP178)+IF!$L$9,0),IF($BR178="","",ROUNDUP((IF!$L$20*$BS178)+IF!$L$21,0))))</f>
        <v/>
      </c>
      <c r="BU178" s="47" t="str">
        <f>IF(BP178="","",IF(SEKOR!BP178&gt;=DATA!$J$12,1,0))</f>
        <v/>
      </c>
      <c r="BV178" s="47" t="str">
        <f>IF(BQ178="","",IF(SEKOR!BQ178&gt;=DATA!$J$12,1,0))</f>
        <v/>
      </c>
      <c r="BW178" s="47" t="str">
        <f>IF(BR178="","",IF(SEKOR!BR178&gt;=DATA!$J$12,1,0))</f>
        <v/>
      </c>
      <c r="BX178" s="47" t="str">
        <f>IF(BT178="","",IF(DATA!$J$14="",IF(SEKOR!BT178&gt;=DATA!$J$12,1,0),IF(SEKOR!BT178&gt;=DATA!$J$14,1,0)))</f>
        <v/>
      </c>
    </row>
    <row r="179" spans="1:76" x14ac:dyDescent="0.25">
      <c r="A179" s="20" t="s">
        <v>206</v>
      </c>
      <c r="B179" s="21" t="str">
        <f>IF(Ujian!B186="","",Ujian!B186)</f>
        <v/>
      </c>
      <c r="C179" s="57" t="str">
        <f>IF(Ujian!C186="","",Ujian!C186)</f>
        <v/>
      </c>
      <c r="D179" s="125" t="str">
        <f>IF(Ujian!D186="","",IF(LEFT(Ujian!D186,1)=SEKOR!D$2,1,0))</f>
        <v/>
      </c>
      <c r="E179" s="125" t="str">
        <f>IF(Ujian!E186="","",IF(LEFT(Ujian!E186,1)=SEKOR!E$2,1,0))</f>
        <v/>
      </c>
      <c r="F179" s="125" t="str">
        <f>IF(Ujian!F186="","",IF(LEFT(Ujian!F186,1)=SEKOR!F$2,1,0))</f>
        <v/>
      </c>
      <c r="G179" s="125" t="str">
        <f>IF(Ujian!G186="","",IF(LEFT(Ujian!G186,1)=SEKOR!G$2,1,0))</f>
        <v/>
      </c>
      <c r="H179" s="125" t="str">
        <f>IF(Ujian!H186="","",IF(LEFT(Ujian!H186,1)=SEKOR!H$2,1,0))</f>
        <v/>
      </c>
      <c r="I179" s="125" t="str">
        <f>IF(Ujian!I186="","",IF(LEFT(Ujian!I186,1)=SEKOR!I$2,1,0))</f>
        <v/>
      </c>
      <c r="J179" s="125" t="str">
        <f>IF(Ujian!J186="","",IF(LEFT(Ujian!J186,1)=SEKOR!J$2,1,0))</f>
        <v/>
      </c>
      <c r="K179" s="125" t="str">
        <f>IF(Ujian!K186="","",IF(LEFT(Ujian!K186,1)=SEKOR!K$2,1,0))</f>
        <v/>
      </c>
      <c r="L179" s="125" t="str">
        <f>IF(Ujian!L186="","",IF(LEFT(Ujian!L186,1)=SEKOR!L$2,1,0))</f>
        <v/>
      </c>
      <c r="M179" s="125" t="str">
        <f>IF(Ujian!M186="","",IF(LEFT(Ujian!M186,1)=SEKOR!M$2,1,0))</f>
        <v/>
      </c>
      <c r="N179" s="125" t="str">
        <f>IF(Ujian!N186="","",IF(LEFT(Ujian!N186,1)=SEKOR!N$2,1,0))</f>
        <v/>
      </c>
      <c r="O179" s="125" t="str">
        <f>IF(Ujian!O186="","",IF(LEFT(Ujian!O186,1)=SEKOR!O$2,1,0))</f>
        <v/>
      </c>
      <c r="P179" s="125" t="str">
        <f>IF(Ujian!P186="","",IF(LEFT(Ujian!P186,1)=SEKOR!P$2,1,0))</f>
        <v/>
      </c>
      <c r="Q179" s="125" t="str">
        <f>IF(Ujian!Q186="","",IF(LEFT(Ujian!Q186,1)=SEKOR!Q$2,1,0))</f>
        <v/>
      </c>
      <c r="R179" s="125" t="str">
        <f>IF(Ujian!R186="","",IF(LEFT(Ujian!R186,1)=SEKOR!R$2,1,0))</f>
        <v/>
      </c>
      <c r="S179" s="125" t="str">
        <f>IF(Ujian!S186="","",IF(LEFT(Ujian!S186,1)=SEKOR!S$2,1,0))</f>
        <v/>
      </c>
      <c r="T179" s="125" t="str">
        <f>IF(Ujian!T186="","",IF(LEFT(Ujian!T186,1)=SEKOR!T$2,1,0))</f>
        <v/>
      </c>
      <c r="U179" s="125" t="str">
        <f>IF(Ujian!U186="","",IF(LEFT(Ujian!U186,1)=SEKOR!U$2,1,0))</f>
        <v/>
      </c>
      <c r="V179" s="125" t="str">
        <f>IF(Ujian!V186="","",IF(LEFT(Ujian!V186,1)=SEKOR!V$2,1,0))</f>
        <v/>
      </c>
      <c r="W179" s="125" t="str">
        <f>IF(Ujian!W186="","",IF(LEFT(Ujian!W186,1)=SEKOR!W$2,1,0))</f>
        <v/>
      </c>
      <c r="X179" s="125" t="str">
        <f>IF(Ujian!X186="","",IF(LEFT(Ujian!X186,1)=SEKOR!X$2,1,0))</f>
        <v/>
      </c>
      <c r="Y179" s="125" t="str">
        <f>IF(Ujian!Y186="","",IF(LEFT(Ujian!Y186,1)=SEKOR!Y$2,1,0))</f>
        <v/>
      </c>
      <c r="Z179" s="125" t="str">
        <f>IF(Ujian!Z186="","",IF(LEFT(Ujian!Z186,1)=SEKOR!Z$2,1,0))</f>
        <v/>
      </c>
      <c r="AA179" s="125" t="str">
        <f>IF(Ujian!AA186="","",IF(LEFT(Ujian!AA186,1)=SEKOR!AA$2,1,0))</f>
        <v/>
      </c>
      <c r="AB179" s="125" t="str">
        <f>IF(Ujian!AB186="","",IF(LEFT(Ujian!AB186,1)=SEKOR!AB$2,1,0))</f>
        <v/>
      </c>
      <c r="AC179" s="125" t="str">
        <f>IF(Ujian!AC186="","",IF(LEFT(Ujian!AC186,1)=SEKOR!AC$2,1,0))</f>
        <v/>
      </c>
      <c r="AD179" s="125" t="str">
        <f>IF(Ujian!AD186="","",IF(LEFT(Ujian!AD186,1)=SEKOR!AD$2,1,0))</f>
        <v/>
      </c>
      <c r="AE179" s="125" t="str">
        <f>IF(Ujian!AE186="","",IF(LEFT(Ujian!AE186,1)=SEKOR!AE$2,1,0))</f>
        <v/>
      </c>
      <c r="AF179" s="125" t="str">
        <f>IF(Ujian!AF186="","",IF(LEFT(Ujian!AF186,1)=SEKOR!AF$2,1,0))</f>
        <v/>
      </c>
      <c r="AG179" s="125" t="str">
        <f>IF(Ujian!AG186="","",IF(LEFT(Ujian!AG186,1)=SEKOR!AG$2,1,0))</f>
        <v/>
      </c>
      <c r="AH179" s="125" t="str">
        <f>IF(Ujian!AH186="","",IF(LEFT(Ujian!AH186,1)=SEKOR!AH$2,1,0))</f>
        <v/>
      </c>
      <c r="AI179" s="125" t="str">
        <f>IF(Ujian!AI186="","",IF(LEFT(Ujian!AI186,1)=SEKOR!AI$2,1,0))</f>
        <v/>
      </c>
      <c r="AJ179" s="125" t="str">
        <f>IF(Ujian!AJ186="","",IF(LEFT(Ujian!AJ186,1)=SEKOR!AJ$2,1,0))</f>
        <v/>
      </c>
      <c r="AK179" s="125" t="str">
        <f>IF(Ujian!AK186="","",IF(LEFT(Ujian!AK186,1)=SEKOR!AK$2,1,0))</f>
        <v/>
      </c>
      <c r="AL179" s="125" t="str">
        <f>IF(Ujian!AL186="","",IF(LEFT(Ujian!AL186,1)=SEKOR!AL$2,1,0))</f>
        <v/>
      </c>
      <c r="AM179" s="125" t="str">
        <f>IF(Ujian!AM186="","",IF(LEFT(Ujian!AM186,1)=SEKOR!AM$2,1,0))</f>
        <v/>
      </c>
      <c r="AN179" s="125" t="str">
        <f>IF(Ujian!AN186="","",IF(LEFT(Ujian!AN186,1)=SEKOR!AN$2,1,0))</f>
        <v/>
      </c>
      <c r="AO179" s="125" t="str">
        <f>IF(Ujian!AO186="","",IF(LEFT(Ujian!AO186,1)=SEKOR!AO$2,1,0))</f>
        <v/>
      </c>
      <c r="AP179" s="125" t="str">
        <f>IF(Ujian!AP186="","",IF(LEFT(Ujian!AP186,1)=SEKOR!AP$2,1,0))</f>
        <v/>
      </c>
      <c r="AQ179" s="125" t="str">
        <f>IF(Ujian!AQ186="","",IF(LEFT(Ujian!AQ186,1)=SEKOR!AQ$2,1,0))</f>
        <v/>
      </c>
      <c r="AR179" s="125" t="str">
        <f>IF(Ujian!AR186="","",IF(LEFT(Ujian!AR186,1)=SEKOR!AR$2,1,0))</f>
        <v/>
      </c>
      <c r="AS179" s="125" t="str">
        <f>IF(Ujian!AS186="","",IF(LEFT(Ujian!AS186,1)=SEKOR!AS$2,1,0))</f>
        <v/>
      </c>
      <c r="AT179" s="125" t="str">
        <f>IF(Ujian!AT186="","",IF(LEFT(Ujian!AT186,1)=SEKOR!AT$2,1,0))</f>
        <v/>
      </c>
      <c r="AU179" s="125" t="str">
        <f>IF(Ujian!AU186="","",IF(LEFT(Ujian!AU186,1)=SEKOR!AU$2,1,0))</f>
        <v/>
      </c>
      <c r="AV179" s="125" t="str">
        <f>IF(Ujian!AV186="","",IF(LEFT(Ujian!AV186,1)=SEKOR!AV$2,1,0))</f>
        <v/>
      </c>
      <c r="AW179" s="125" t="str">
        <f>IF(Ujian!AW186="","",IF(LEFT(Ujian!AW186,1)=SEKOR!AW$2,1,0))</f>
        <v/>
      </c>
      <c r="AX179" s="125" t="str">
        <f>IF(Ujian!AX186="","",IF(LEFT(Ujian!AX186,1)=SEKOR!AX$2,1,0))</f>
        <v/>
      </c>
      <c r="AY179" s="125" t="str">
        <f>IF(Ujian!AY186="","",IF(LEFT(Ujian!AY186,1)=SEKOR!AY$2,1,0))</f>
        <v/>
      </c>
      <c r="AZ179" s="125" t="str">
        <f>IF(Ujian!AZ186="","",IF(LEFT(Ujian!AZ186,1)=SEKOR!AZ$2,1,0))</f>
        <v/>
      </c>
      <c r="BA179" s="125" t="str">
        <f>IF(Ujian!BA186="","",IF(LEFT(Ujian!BA186,1)=SEKOR!BA$2,1,0))</f>
        <v/>
      </c>
      <c r="BB179" s="125" t="str">
        <f>IF(Ujian!BB186="","",IF(LEFT(Ujian!BB186,1)=SEKOR!BB$2,1,0))</f>
        <v/>
      </c>
      <c r="BC179" s="125" t="str">
        <f>IF(Ujian!BC186="","",IF(LEFT(Ujian!BC186,1)=SEKOR!BC$2,1,0))</f>
        <v/>
      </c>
      <c r="BD179" s="125" t="str">
        <f>IF(Ujian!BD186="","",IF(LEFT(Ujian!BD186,1)=SEKOR!BD$2,1,0))</f>
        <v/>
      </c>
      <c r="BE179" s="125" t="str">
        <f>IF(Ujian!BE186="","",IF(LEFT(Ujian!BE186,1)=SEKOR!BE$2,1,0))</f>
        <v/>
      </c>
      <c r="BF179" s="125" t="str">
        <f>IF(Ujian!BF186="","",IF(LEFT(Ujian!BF186,1)=SEKOR!BF$2,1,0))</f>
        <v/>
      </c>
      <c r="BG179" s="125" t="str">
        <f>IF(Ujian!BG186="","",IF(LEFT(Ujian!BG186,1)=SEKOR!BG$2,1,0))</f>
        <v/>
      </c>
      <c r="BH179" s="125" t="str">
        <f>IF(Ujian!BH186="","",IF(LEFT(Ujian!BH186,1)=SEKOR!BH$2,1,0))</f>
        <v/>
      </c>
      <c r="BI179" s="125" t="str">
        <f>IF(Ujian!BI186="","",IF(LEFT(Ujian!BI186,1)=SEKOR!BI$2,1,0))</f>
        <v/>
      </c>
      <c r="BJ179" s="125" t="str">
        <f>IF(Ujian!BJ186="","",IF(LEFT(Ujian!BJ186,1)=SEKOR!BJ$2,1,0))</f>
        <v/>
      </c>
      <c r="BK179" s="125" t="str">
        <f>IF(Ujian!BK186="","",IF(LEFT(Ujian!BK186,1)=SEKOR!BK$2,1,0))</f>
        <v/>
      </c>
      <c r="BL179" s="18">
        <f t="shared" si="4"/>
        <v>0</v>
      </c>
      <c r="BM179" s="18">
        <f>COUNTIF($D179:$BK179,"")+DATA!$F$14-DATA!$F$12</f>
        <v>60</v>
      </c>
      <c r="BN179" s="17">
        <f>IF(COUNTIF($D179:$BK179,1)&gt;DATA!$F$14,DATA!$F$14,COUNTIF($D179:$BK179,1))</f>
        <v>0</v>
      </c>
      <c r="BO179" s="17">
        <f>IF((BN179+COUNTIF($D179:$BK179,0))&lt;=DATA!$F$14,COUNTIF($D179:$BK179,0),DATA!$F$14-SEKOR!BN179)</f>
        <v>0</v>
      </c>
      <c r="BP179" s="4" t="str">
        <f>IF(BL179=0,"",BN179/DATA!$F$14*100)</f>
        <v/>
      </c>
      <c r="BQ179" s="121" t="str">
        <f t="shared" si="5"/>
        <v/>
      </c>
      <c r="BR179" s="2" t="str">
        <f>IF(Praktik!$E179=0,"",Praktik!$E179)</f>
        <v/>
      </c>
      <c r="BS179" s="2" t="str">
        <f>IF(BR179="","",(BP179*DATAINFO!$O$4)+(SEKOR!BR179*DATAINFO!$O$5)/(DATAINFO!$O$4+DATAINFO!$O$5))</f>
        <v/>
      </c>
      <c r="BT179" s="2" t="str">
        <f>IF(BL179=0,"",IF(DATA!$F$18="TIDAK",ROUNDUP((IF!$L$8*SEKOR!$BP179)+IF!$L$9,0),IF($BR179="","",ROUNDUP((IF!$L$20*$BS179)+IF!$L$21,0))))</f>
        <v/>
      </c>
      <c r="BU179" s="47" t="str">
        <f>IF(BP179="","",IF(SEKOR!BP179&gt;=DATA!$J$12,1,0))</f>
        <v/>
      </c>
      <c r="BV179" s="47" t="str">
        <f>IF(BQ179="","",IF(SEKOR!BQ179&gt;=DATA!$J$12,1,0))</f>
        <v/>
      </c>
      <c r="BW179" s="47" t="str">
        <f>IF(BR179="","",IF(SEKOR!BR179&gt;=DATA!$J$12,1,0))</f>
        <v/>
      </c>
      <c r="BX179" s="47" t="str">
        <f>IF(BT179="","",IF(DATA!$J$14="",IF(SEKOR!BT179&gt;=DATA!$J$12,1,0),IF(SEKOR!BT179&gt;=DATA!$J$14,1,0)))</f>
        <v/>
      </c>
    </row>
    <row r="180" spans="1:76" x14ac:dyDescent="0.25">
      <c r="A180" s="20" t="s">
        <v>207</v>
      </c>
      <c r="B180" s="21" t="str">
        <f>IF(Ujian!B187="","",Ujian!B187)</f>
        <v/>
      </c>
      <c r="C180" s="57" t="str">
        <f>IF(Ujian!C187="","",Ujian!C187)</f>
        <v/>
      </c>
      <c r="D180" s="125" t="str">
        <f>IF(Ujian!D187="","",IF(LEFT(Ujian!D187,1)=SEKOR!D$2,1,0))</f>
        <v/>
      </c>
      <c r="E180" s="125" t="str">
        <f>IF(Ujian!E187="","",IF(LEFT(Ujian!E187,1)=SEKOR!E$2,1,0))</f>
        <v/>
      </c>
      <c r="F180" s="125" t="str">
        <f>IF(Ujian!F187="","",IF(LEFT(Ujian!F187,1)=SEKOR!F$2,1,0))</f>
        <v/>
      </c>
      <c r="G180" s="125" t="str">
        <f>IF(Ujian!G187="","",IF(LEFT(Ujian!G187,1)=SEKOR!G$2,1,0))</f>
        <v/>
      </c>
      <c r="H180" s="125" t="str">
        <f>IF(Ujian!H187="","",IF(LEFT(Ujian!H187,1)=SEKOR!H$2,1,0))</f>
        <v/>
      </c>
      <c r="I180" s="125" t="str">
        <f>IF(Ujian!I187="","",IF(LEFT(Ujian!I187,1)=SEKOR!I$2,1,0))</f>
        <v/>
      </c>
      <c r="J180" s="125" t="str">
        <f>IF(Ujian!J187="","",IF(LEFT(Ujian!J187,1)=SEKOR!J$2,1,0))</f>
        <v/>
      </c>
      <c r="K180" s="125" t="str">
        <f>IF(Ujian!K187="","",IF(LEFT(Ujian!K187,1)=SEKOR!K$2,1,0))</f>
        <v/>
      </c>
      <c r="L180" s="125" t="str">
        <f>IF(Ujian!L187="","",IF(LEFT(Ujian!L187,1)=SEKOR!L$2,1,0))</f>
        <v/>
      </c>
      <c r="M180" s="125" t="str">
        <f>IF(Ujian!M187="","",IF(LEFT(Ujian!M187,1)=SEKOR!M$2,1,0))</f>
        <v/>
      </c>
      <c r="N180" s="125" t="str">
        <f>IF(Ujian!N187="","",IF(LEFT(Ujian!N187,1)=SEKOR!N$2,1,0))</f>
        <v/>
      </c>
      <c r="O180" s="125" t="str">
        <f>IF(Ujian!O187="","",IF(LEFT(Ujian!O187,1)=SEKOR!O$2,1,0))</f>
        <v/>
      </c>
      <c r="P180" s="125" t="str">
        <f>IF(Ujian!P187="","",IF(LEFT(Ujian!P187,1)=SEKOR!P$2,1,0))</f>
        <v/>
      </c>
      <c r="Q180" s="125" t="str">
        <f>IF(Ujian!Q187="","",IF(LEFT(Ujian!Q187,1)=SEKOR!Q$2,1,0))</f>
        <v/>
      </c>
      <c r="R180" s="125" t="str">
        <f>IF(Ujian!R187="","",IF(LEFT(Ujian!R187,1)=SEKOR!R$2,1,0))</f>
        <v/>
      </c>
      <c r="S180" s="125" t="str">
        <f>IF(Ujian!S187="","",IF(LEFT(Ujian!S187,1)=SEKOR!S$2,1,0))</f>
        <v/>
      </c>
      <c r="T180" s="125" t="str">
        <f>IF(Ujian!T187="","",IF(LEFT(Ujian!T187,1)=SEKOR!T$2,1,0))</f>
        <v/>
      </c>
      <c r="U180" s="125" t="str">
        <f>IF(Ujian!U187="","",IF(LEFT(Ujian!U187,1)=SEKOR!U$2,1,0))</f>
        <v/>
      </c>
      <c r="V180" s="125" t="str">
        <f>IF(Ujian!V187="","",IF(LEFT(Ujian!V187,1)=SEKOR!V$2,1,0))</f>
        <v/>
      </c>
      <c r="W180" s="125" t="str">
        <f>IF(Ujian!W187="","",IF(LEFT(Ujian!W187,1)=SEKOR!W$2,1,0))</f>
        <v/>
      </c>
      <c r="X180" s="125" t="str">
        <f>IF(Ujian!X187="","",IF(LEFT(Ujian!X187,1)=SEKOR!X$2,1,0))</f>
        <v/>
      </c>
      <c r="Y180" s="125" t="str">
        <f>IF(Ujian!Y187="","",IF(LEFT(Ujian!Y187,1)=SEKOR!Y$2,1,0))</f>
        <v/>
      </c>
      <c r="Z180" s="125" t="str">
        <f>IF(Ujian!Z187="","",IF(LEFT(Ujian!Z187,1)=SEKOR!Z$2,1,0))</f>
        <v/>
      </c>
      <c r="AA180" s="125" t="str">
        <f>IF(Ujian!AA187="","",IF(LEFT(Ujian!AA187,1)=SEKOR!AA$2,1,0))</f>
        <v/>
      </c>
      <c r="AB180" s="125" t="str">
        <f>IF(Ujian!AB187="","",IF(LEFT(Ujian!AB187,1)=SEKOR!AB$2,1,0))</f>
        <v/>
      </c>
      <c r="AC180" s="125" t="str">
        <f>IF(Ujian!AC187="","",IF(LEFT(Ujian!AC187,1)=SEKOR!AC$2,1,0))</f>
        <v/>
      </c>
      <c r="AD180" s="125" t="str">
        <f>IF(Ujian!AD187="","",IF(LEFT(Ujian!AD187,1)=SEKOR!AD$2,1,0))</f>
        <v/>
      </c>
      <c r="AE180" s="125" t="str">
        <f>IF(Ujian!AE187="","",IF(LEFT(Ujian!AE187,1)=SEKOR!AE$2,1,0))</f>
        <v/>
      </c>
      <c r="AF180" s="125" t="str">
        <f>IF(Ujian!AF187="","",IF(LEFT(Ujian!AF187,1)=SEKOR!AF$2,1,0))</f>
        <v/>
      </c>
      <c r="AG180" s="125" t="str">
        <f>IF(Ujian!AG187="","",IF(LEFT(Ujian!AG187,1)=SEKOR!AG$2,1,0))</f>
        <v/>
      </c>
      <c r="AH180" s="125" t="str">
        <f>IF(Ujian!AH187="","",IF(LEFT(Ujian!AH187,1)=SEKOR!AH$2,1,0))</f>
        <v/>
      </c>
      <c r="AI180" s="125" t="str">
        <f>IF(Ujian!AI187="","",IF(LEFT(Ujian!AI187,1)=SEKOR!AI$2,1,0))</f>
        <v/>
      </c>
      <c r="AJ180" s="125" t="str">
        <f>IF(Ujian!AJ187="","",IF(LEFT(Ujian!AJ187,1)=SEKOR!AJ$2,1,0))</f>
        <v/>
      </c>
      <c r="AK180" s="125" t="str">
        <f>IF(Ujian!AK187="","",IF(LEFT(Ujian!AK187,1)=SEKOR!AK$2,1,0))</f>
        <v/>
      </c>
      <c r="AL180" s="125" t="str">
        <f>IF(Ujian!AL187="","",IF(LEFT(Ujian!AL187,1)=SEKOR!AL$2,1,0))</f>
        <v/>
      </c>
      <c r="AM180" s="125" t="str">
        <f>IF(Ujian!AM187="","",IF(LEFT(Ujian!AM187,1)=SEKOR!AM$2,1,0))</f>
        <v/>
      </c>
      <c r="AN180" s="125" t="str">
        <f>IF(Ujian!AN187="","",IF(LEFT(Ujian!AN187,1)=SEKOR!AN$2,1,0))</f>
        <v/>
      </c>
      <c r="AO180" s="125" t="str">
        <f>IF(Ujian!AO187="","",IF(LEFT(Ujian!AO187,1)=SEKOR!AO$2,1,0))</f>
        <v/>
      </c>
      <c r="AP180" s="125" t="str">
        <f>IF(Ujian!AP187="","",IF(LEFT(Ujian!AP187,1)=SEKOR!AP$2,1,0))</f>
        <v/>
      </c>
      <c r="AQ180" s="125" t="str">
        <f>IF(Ujian!AQ187="","",IF(LEFT(Ujian!AQ187,1)=SEKOR!AQ$2,1,0))</f>
        <v/>
      </c>
      <c r="AR180" s="125" t="str">
        <f>IF(Ujian!AR187="","",IF(LEFT(Ujian!AR187,1)=SEKOR!AR$2,1,0))</f>
        <v/>
      </c>
      <c r="AS180" s="125" t="str">
        <f>IF(Ujian!AS187="","",IF(LEFT(Ujian!AS187,1)=SEKOR!AS$2,1,0))</f>
        <v/>
      </c>
      <c r="AT180" s="125" t="str">
        <f>IF(Ujian!AT187="","",IF(LEFT(Ujian!AT187,1)=SEKOR!AT$2,1,0))</f>
        <v/>
      </c>
      <c r="AU180" s="125" t="str">
        <f>IF(Ujian!AU187="","",IF(LEFT(Ujian!AU187,1)=SEKOR!AU$2,1,0))</f>
        <v/>
      </c>
      <c r="AV180" s="125" t="str">
        <f>IF(Ujian!AV187="","",IF(LEFT(Ujian!AV187,1)=SEKOR!AV$2,1,0))</f>
        <v/>
      </c>
      <c r="AW180" s="125" t="str">
        <f>IF(Ujian!AW187="","",IF(LEFT(Ujian!AW187,1)=SEKOR!AW$2,1,0))</f>
        <v/>
      </c>
      <c r="AX180" s="125" t="str">
        <f>IF(Ujian!AX187="","",IF(LEFT(Ujian!AX187,1)=SEKOR!AX$2,1,0))</f>
        <v/>
      </c>
      <c r="AY180" s="125" t="str">
        <f>IF(Ujian!AY187="","",IF(LEFT(Ujian!AY187,1)=SEKOR!AY$2,1,0))</f>
        <v/>
      </c>
      <c r="AZ180" s="125" t="str">
        <f>IF(Ujian!AZ187="","",IF(LEFT(Ujian!AZ187,1)=SEKOR!AZ$2,1,0))</f>
        <v/>
      </c>
      <c r="BA180" s="125" t="str">
        <f>IF(Ujian!BA187="","",IF(LEFT(Ujian!BA187,1)=SEKOR!BA$2,1,0))</f>
        <v/>
      </c>
      <c r="BB180" s="125" t="str">
        <f>IF(Ujian!BB187="","",IF(LEFT(Ujian!BB187,1)=SEKOR!BB$2,1,0))</f>
        <v/>
      </c>
      <c r="BC180" s="125" t="str">
        <f>IF(Ujian!BC187="","",IF(LEFT(Ujian!BC187,1)=SEKOR!BC$2,1,0))</f>
        <v/>
      </c>
      <c r="BD180" s="125" t="str">
        <f>IF(Ujian!BD187="","",IF(LEFT(Ujian!BD187,1)=SEKOR!BD$2,1,0))</f>
        <v/>
      </c>
      <c r="BE180" s="125" t="str">
        <f>IF(Ujian!BE187="","",IF(LEFT(Ujian!BE187,1)=SEKOR!BE$2,1,0))</f>
        <v/>
      </c>
      <c r="BF180" s="125" t="str">
        <f>IF(Ujian!BF187="","",IF(LEFT(Ujian!BF187,1)=SEKOR!BF$2,1,0))</f>
        <v/>
      </c>
      <c r="BG180" s="125" t="str">
        <f>IF(Ujian!BG187="","",IF(LEFT(Ujian!BG187,1)=SEKOR!BG$2,1,0))</f>
        <v/>
      </c>
      <c r="BH180" s="125" t="str">
        <f>IF(Ujian!BH187="","",IF(LEFT(Ujian!BH187,1)=SEKOR!BH$2,1,0))</f>
        <v/>
      </c>
      <c r="BI180" s="125" t="str">
        <f>IF(Ujian!BI187="","",IF(LEFT(Ujian!BI187,1)=SEKOR!BI$2,1,0))</f>
        <v/>
      </c>
      <c r="BJ180" s="125" t="str">
        <f>IF(Ujian!BJ187="","",IF(LEFT(Ujian!BJ187,1)=SEKOR!BJ$2,1,0))</f>
        <v/>
      </c>
      <c r="BK180" s="125" t="str">
        <f>IF(Ujian!BK187="","",IF(LEFT(Ujian!BK187,1)=SEKOR!BK$2,1,0))</f>
        <v/>
      </c>
      <c r="BL180" s="18">
        <f t="shared" si="4"/>
        <v>0</v>
      </c>
      <c r="BM180" s="18">
        <f>COUNTIF($D180:$BK180,"")+DATA!$F$14-DATA!$F$12</f>
        <v>60</v>
      </c>
      <c r="BN180" s="17">
        <f>IF(COUNTIF($D180:$BK180,1)&gt;DATA!$F$14,DATA!$F$14,COUNTIF($D180:$BK180,1))</f>
        <v>0</v>
      </c>
      <c r="BO180" s="17">
        <f>IF((BN180+COUNTIF($D180:$BK180,0))&lt;=DATA!$F$14,COUNTIF($D180:$BK180,0),DATA!$F$14-SEKOR!BN180)</f>
        <v>0</v>
      </c>
      <c r="BP180" s="4" t="str">
        <f>IF(BL180=0,"",BN180/DATA!$F$14*100)</f>
        <v/>
      </c>
      <c r="BQ180" s="121" t="str">
        <f t="shared" si="5"/>
        <v/>
      </c>
      <c r="BR180" s="2" t="str">
        <f>IF(Praktik!$E180=0,"",Praktik!$E180)</f>
        <v/>
      </c>
      <c r="BS180" s="2" t="str">
        <f>IF(BR180="","",(BP180*DATAINFO!$O$4)+(SEKOR!BR180*DATAINFO!$O$5)/(DATAINFO!$O$4+DATAINFO!$O$5))</f>
        <v/>
      </c>
      <c r="BT180" s="2" t="str">
        <f>IF(BL180=0,"",IF(DATA!$F$18="TIDAK",ROUNDUP((IF!$L$8*SEKOR!$BP180)+IF!$L$9,0),IF($BR180="","",ROUNDUP((IF!$L$20*$BS180)+IF!$L$21,0))))</f>
        <v/>
      </c>
      <c r="BU180" s="47" t="str">
        <f>IF(BP180="","",IF(SEKOR!BP180&gt;=DATA!$J$12,1,0))</f>
        <v/>
      </c>
      <c r="BV180" s="47" t="str">
        <f>IF(BQ180="","",IF(SEKOR!BQ180&gt;=DATA!$J$12,1,0))</f>
        <v/>
      </c>
      <c r="BW180" s="47" t="str">
        <f>IF(BR180="","",IF(SEKOR!BR180&gt;=DATA!$J$12,1,0))</f>
        <v/>
      </c>
      <c r="BX180" s="47" t="str">
        <f>IF(BT180="","",IF(DATA!$J$14="",IF(SEKOR!BT180&gt;=DATA!$J$12,1,0),IF(SEKOR!BT180&gt;=DATA!$J$14,1,0)))</f>
        <v/>
      </c>
    </row>
    <row r="181" spans="1:76" x14ac:dyDescent="0.25">
      <c r="A181" s="20" t="s">
        <v>208</v>
      </c>
      <c r="B181" s="21" t="str">
        <f>IF(Ujian!B188="","",Ujian!B188)</f>
        <v/>
      </c>
      <c r="C181" s="57" t="str">
        <f>IF(Ujian!C188="","",Ujian!C188)</f>
        <v/>
      </c>
      <c r="D181" s="125" t="str">
        <f>IF(Ujian!D188="","",IF(LEFT(Ujian!D188,1)=SEKOR!D$2,1,0))</f>
        <v/>
      </c>
      <c r="E181" s="125" t="str">
        <f>IF(Ujian!E188="","",IF(LEFT(Ujian!E188,1)=SEKOR!E$2,1,0))</f>
        <v/>
      </c>
      <c r="F181" s="125" t="str">
        <f>IF(Ujian!F188="","",IF(LEFT(Ujian!F188,1)=SEKOR!F$2,1,0))</f>
        <v/>
      </c>
      <c r="G181" s="125" t="str">
        <f>IF(Ujian!G188="","",IF(LEFT(Ujian!G188,1)=SEKOR!G$2,1,0))</f>
        <v/>
      </c>
      <c r="H181" s="125" t="str">
        <f>IF(Ujian!H188="","",IF(LEFT(Ujian!H188,1)=SEKOR!H$2,1,0))</f>
        <v/>
      </c>
      <c r="I181" s="125" t="str">
        <f>IF(Ujian!I188="","",IF(LEFT(Ujian!I188,1)=SEKOR!I$2,1,0))</f>
        <v/>
      </c>
      <c r="J181" s="125" t="str">
        <f>IF(Ujian!J188="","",IF(LEFT(Ujian!J188,1)=SEKOR!J$2,1,0))</f>
        <v/>
      </c>
      <c r="K181" s="125" t="str">
        <f>IF(Ujian!K188="","",IF(LEFT(Ujian!K188,1)=SEKOR!K$2,1,0))</f>
        <v/>
      </c>
      <c r="L181" s="125" t="str">
        <f>IF(Ujian!L188="","",IF(LEFT(Ujian!L188,1)=SEKOR!L$2,1,0))</f>
        <v/>
      </c>
      <c r="M181" s="125" t="str">
        <f>IF(Ujian!M188="","",IF(LEFT(Ujian!M188,1)=SEKOR!M$2,1,0))</f>
        <v/>
      </c>
      <c r="N181" s="125" t="str">
        <f>IF(Ujian!N188="","",IF(LEFT(Ujian!N188,1)=SEKOR!N$2,1,0))</f>
        <v/>
      </c>
      <c r="O181" s="125" t="str">
        <f>IF(Ujian!O188="","",IF(LEFT(Ujian!O188,1)=SEKOR!O$2,1,0))</f>
        <v/>
      </c>
      <c r="P181" s="125" t="str">
        <f>IF(Ujian!P188="","",IF(LEFT(Ujian!P188,1)=SEKOR!P$2,1,0))</f>
        <v/>
      </c>
      <c r="Q181" s="125" t="str">
        <f>IF(Ujian!Q188="","",IF(LEFT(Ujian!Q188,1)=SEKOR!Q$2,1,0))</f>
        <v/>
      </c>
      <c r="R181" s="125" t="str">
        <f>IF(Ujian!R188="","",IF(LEFT(Ujian!R188,1)=SEKOR!R$2,1,0))</f>
        <v/>
      </c>
      <c r="S181" s="125" t="str">
        <f>IF(Ujian!S188="","",IF(LEFT(Ujian!S188,1)=SEKOR!S$2,1,0))</f>
        <v/>
      </c>
      <c r="T181" s="125" t="str">
        <f>IF(Ujian!T188="","",IF(LEFT(Ujian!T188,1)=SEKOR!T$2,1,0))</f>
        <v/>
      </c>
      <c r="U181" s="125" t="str">
        <f>IF(Ujian!U188="","",IF(LEFT(Ujian!U188,1)=SEKOR!U$2,1,0))</f>
        <v/>
      </c>
      <c r="V181" s="125" t="str">
        <f>IF(Ujian!V188="","",IF(LEFT(Ujian!V188,1)=SEKOR!V$2,1,0))</f>
        <v/>
      </c>
      <c r="W181" s="125" t="str">
        <f>IF(Ujian!W188="","",IF(LEFT(Ujian!W188,1)=SEKOR!W$2,1,0))</f>
        <v/>
      </c>
      <c r="X181" s="125" t="str">
        <f>IF(Ujian!X188="","",IF(LEFT(Ujian!X188,1)=SEKOR!X$2,1,0))</f>
        <v/>
      </c>
      <c r="Y181" s="125" t="str">
        <f>IF(Ujian!Y188="","",IF(LEFT(Ujian!Y188,1)=SEKOR!Y$2,1,0))</f>
        <v/>
      </c>
      <c r="Z181" s="125" t="str">
        <f>IF(Ujian!Z188="","",IF(LEFT(Ujian!Z188,1)=SEKOR!Z$2,1,0))</f>
        <v/>
      </c>
      <c r="AA181" s="125" t="str">
        <f>IF(Ujian!AA188="","",IF(LEFT(Ujian!AA188,1)=SEKOR!AA$2,1,0))</f>
        <v/>
      </c>
      <c r="AB181" s="125" t="str">
        <f>IF(Ujian!AB188="","",IF(LEFT(Ujian!AB188,1)=SEKOR!AB$2,1,0))</f>
        <v/>
      </c>
      <c r="AC181" s="125" t="str">
        <f>IF(Ujian!AC188="","",IF(LEFT(Ujian!AC188,1)=SEKOR!AC$2,1,0))</f>
        <v/>
      </c>
      <c r="AD181" s="125" t="str">
        <f>IF(Ujian!AD188="","",IF(LEFT(Ujian!AD188,1)=SEKOR!AD$2,1,0))</f>
        <v/>
      </c>
      <c r="AE181" s="125" t="str">
        <f>IF(Ujian!AE188="","",IF(LEFT(Ujian!AE188,1)=SEKOR!AE$2,1,0))</f>
        <v/>
      </c>
      <c r="AF181" s="125" t="str">
        <f>IF(Ujian!AF188="","",IF(LEFT(Ujian!AF188,1)=SEKOR!AF$2,1,0))</f>
        <v/>
      </c>
      <c r="AG181" s="125" t="str">
        <f>IF(Ujian!AG188="","",IF(LEFT(Ujian!AG188,1)=SEKOR!AG$2,1,0))</f>
        <v/>
      </c>
      <c r="AH181" s="125" t="str">
        <f>IF(Ujian!AH188="","",IF(LEFT(Ujian!AH188,1)=SEKOR!AH$2,1,0))</f>
        <v/>
      </c>
      <c r="AI181" s="125" t="str">
        <f>IF(Ujian!AI188="","",IF(LEFT(Ujian!AI188,1)=SEKOR!AI$2,1,0))</f>
        <v/>
      </c>
      <c r="AJ181" s="125" t="str">
        <f>IF(Ujian!AJ188="","",IF(LEFT(Ujian!AJ188,1)=SEKOR!AJ$2,1,0))</f>
        <v/>
      </c>
      <c r="AK181" s="125" t="str">
        <f>IF(Ujian!AK188="","",IF(LEFT(Ujian!AK188,1)=SEKOR!AK$2,1,0))</f>
        <v/>
      </c>
      <c r="AL181" s="125" t="str">
        <f>IF(Ujian!AL188="","",IF(LEFT(Ujian!AL188,1)=SEKOR!AL$2,1,0))</f>
        <v/>
      </c>
      <c r="AM181" s="125" t="str">
        <f>IF(Ujian!AM188="","",IF(LEFT(Ujian!AM188,1)=SEKOR!AM$2,1,0))</f>
        <v/>
      </c>
      <c r="AN181" s="125" t="str">
        <f>IF(Ujian!AN188="","",IF(LEFT(Ujian!AN188,1)=SEKOR!AN$2,1,0))</f>
        <v/>
      </c>
      <c r="AO181" s="125" t="str">
        <f>IF(Ujian!AO188="","",IF(LEFT(Ujian!AO188,1)=SEKOR!AO$2,1,0))</f>
        <v/>
      </c>
      <c r="AP181" s="125" t="str">
        <f>IF(Ujian!AP188="","",IF(LEFT(Ujian!AP188,1)=SEKOR!AP$2,1,0))</f>
        <v/>
      </c>
      <c r="AQ181" s="125" t="str">
        <f>IF(Ujian!AQ188="","",IF(LEFT(Ujian!AQ188,1)=SEKOR!AQ$2,1,0))</f>
        <v/>
      </c>
      <c r="AR181" s="125" t="str">
        <f>IF(Ujian!AR188="","",IF(LEFT(Ujian!AR188,1)=SEKOR!AR$2,1,0))</f>
        <v/>
      </c>
      <c r="AS181" s="125" t="str">
        <f>IF(Ujian!AS188="","",IF(LEFT(Ujian!AS188,1)=SEKOR!AS$2,1,0))</f>
        <v/>
      </c>
      <c r="AT181" s="125" t="str">
        <f>IF(Ujian!AT188="","",IF(LEFT(Ujian!AT188,1)=SEKOR!AT$2,1,0))</f>
        <v/>
      </c>
      <c r="AU181" s="125" t="str">
        <f>IF(Ujian!AU188="","",IF(LEFT(Ujian!AU188,1)=SEKOR!AU$2,1,0))</f>
        <v/>
      </c>
      <c r="AV181" s="125" t="str">
        <f>IF(Ujian!AV188="","",IF(LEFT(Ujian!AV188,1)=SEKOR!AV$2,1,0))</f>
        <v/>
      </c>
      <c r="AW181" s="125" t="str">
        <f>IF(Ujian!AW188="","",IF(LEFT(Ujian!AW188,1)=SEKOR!AW$2,1,0))</f>
        <v/>
      </c>
      <c r="AX181" s="125" t="str">
        <f>IF(Ujian!AX188="","",IF(LEFT(Ujian!AX188,1)=SEKOR!AX$2,1,0))</f>
        <v/>
      </c>
      <c r="AY181" s="125" t="str">
        <f>IF(Ujian!AY188="","",IF(LEFT(Ujian!AY188,1)=SEKOR!AY$2,1,0))</f>
        <v/>
      </c>
      <c r="AZ181" s="125" t="str">
        <f>IF(Ujian!AZ188="","",IF(LEFT(Ujian!AZ188,1)=SEKOR!AZ$2,1,0))</f>
        <v/>
      </c>
      <c r="BA181" s="125" t="str">
        <f>IF(Ujian!BA188="","",IF(LEFT(Ujian!BA188,1)=SEKOR!BA$2,1,0))</f>
        <v/>
      </c>
      <c r="BB181" s="125" t="str">
        <f>IF(Ujian!BB188="","",IF(LEFT(Ujian!BB188,1)=SEKOR!BB$2,1,0))</f>
        <v/>
      </c>
      <c r="BC181" s="125" t="str">
        <f>IF(Ujian!BC188="","",IF(LEFT(Ujian!BC188,1)=SEKOR!BC$2,1,0))</f>
        <v/>
      </c>
      <c r="BD181" s="125" t="str">
        <f>IF(Ujian!BD188="","",IF(LEFT(Ujian!BD188,1)=SEKOR!BD$2,1,0))</f>
        <v/>
      </c>
      <c r="BE181" s="125" t="str">
        <f>IF(Ujian!BE188="","",IF(LEFT(Ujian!BE188,1)=SEKOR!BE$2,1,0))</f>
        <v/>
      </c>
      <c r="BF181" s="125" t="str">
        <f>IF(Ujian!BF188="","",IF(LEFT(Ujian!BF188,1)=SEKOR!BF$2,1,0))</f>
        <v/>
      </c>
      <c r="BG181" s="125" t="str">
        <f>IF(Ujian!BG188="","",IF(LEFT(Ujian!BG188,1)=SEKOR!BG$2,1,0))</f>
        <v/>
      </c>
      <c r="BH181" s="125" t="str">
        <f>IF(Ujian!BH188="","",IF(LEFT(Ujian!BH188,1)=SEKOR!BH$2,1,0))</f>
        <v/>
      </c>
      <c r="BI181" s="125" t="str">
        <f>IF(Ujian!BI188="","",IF(LEFT(Ujian!BI188,1)=SEKOR!BI$2,1,0))</f>
        <v/>
      </c>
      <c r="BJ181" s="125" t="str">
        <f>IF(Ujian!BJ188="","",IF(LEFT(Ujian!BJ188,1)=SEKOR!BJ$2,1,0))</f>
        <v/>
      </c>
      <c r="BK181" s="125" t="str">
        <f>IF(Ujian!BK188="","",IF(LEFT(Ujian!BK188,1)=SEKOR!BK$2,1,0))</f>
        <v/>
      </c>
      <c r="BL181" s="18">
        <f t="shared" si="4"/>
        <v>0</v>
      </c>
      <c r="BM181" s="18">
        <f>COUNTIF($D181:$BK181,"")+DATA!$F$14-DATA!$F$12</f>
        <v>60</v>
      </c>
      <c r="BN181" s="17">
        <f>IF(COUNTIF($D181:$BK181,1)&gt;DATA!$F$14,DATA!$F$14,COUNTIF($D181:$BK181,1))</f>
        <v>0</v>
      </c>
      <c r="BO181" s="17">
        <f>IF((BN181+COUNTIF($D181:$BK181,0))&lt;=DATA!$F$14,COUNTIF($D181:$BK181,0),DATA!$F$14-SEKOR!BN181)</f>
        <v>0</v>
      </c>
      <c r="BP181" s="4" t="str">
        <f>IF(BL181=0,"",BN181/DATA!$F$14*100)</f>
        <v/>
      </c>
      <c r="BQ181" s="121" t="str">
        <f t="shared" si="5"/>
        <v/>
      </c>
      <c r="BR181" s="2" t="str">
        <f>IF(Praktik!$E181=0,"",Praktik!$E181)</f>
        <v/>
      </c>
      <c r="BS181" s="2" t="str">
        <f>IF(BR181="","",(BP181*DATAINFO!$O$4)+(SEKOR!BR181*DATAINFO!$O$5)/(DATAINFO!$O$4+DATAINFO!$O$5))</f>
        <v/>
      </c>
      <c r="BT181" s="2" t="str">
        <f>IF(BL181=0,"",IF(DATA!$F$18="TIDAK",ROUNDUP((IF!$L$8*SEKOR!$BP181)+IF!$L$9,0),IF($BR181="","",ROUNDUP((IF!$L$20*$BS181)+IF!$L$21,0))))</f>
        <v/>
      </c>
      <c r="BU181" s="47" t="str">
        <f>IF(BP181="","",IF(SEKOR!BP181&gt;=DATA!$J$12,1,0))</f>
        <v/>
      </c>
      <c r="BV181" s="47" t="str">
        <f>IF(BQ181="","",IF(SEKOR!BQ181&gt;=DATA!$J$12,1,0))</f>
        <v/>
      </c>
      <c r="BW181" s="47" t="str">
        <f>IF(BR181="","",IF(SEKOR!BR181&gt;=DATA!$J$12,1,0))</f>
        <v/>
      </c>
      <c r="BX181" s="47" t="str">
        <f>IF(BT181="","",IF(DATA!$J$14="",IF(SEKOR!BT181&gt;=DATA!$J$12,1,0),IF(SEKOR!BT181&gt;=DATA!$J$14,1,0)))</f>
        <v/>
      </c>
    </row>
    <row r="182" spans="1:76" x14ac:dyDescent="0.25">
      <c r="A182" s="20" t="s">
        <v>209</v>
      </c>
      <c r="B182" s="21" t="str">
        <f>IF(Ujian!B189="","",Ujian!B189)</f>
        <v/>
      </c>
      <c r="C182" s="57" t="str">
        <f>IF(Ujian!C189="","",Ujian!C189)</f>
        <v/>
      </c>
      <c r="D182" s="125" t="str">
        <f>IF(Ujian!D189="","",IF(LEFT(Ujian!D189,1)=SEKOR!D$2,1,0))</f>
        <v/>
      </c>
      <c r="E182" s="125" t="str">
        <f>IF(Ujian!E189="","",IF(LEFT(Ujian!E189,1)=SEKOR!E$2,1,0))</f>
        <v/>
      </c>
      <c r="F182" s="125" t="str">
        <f>IF(Ujian!F189="","",IF(LEFT(Ujian!F189,1)=SEKOR!F$2,1,0))</f>
        <v/>
      </c>
      <c r="G182" s="125" t="str">
        <f>IF(Ujian!G189="","",IF(LEFT(Ujian!G189,1)=SEKOR!G$2,1,0))</f>
        <v/>
      </c>
      <c r="H182" s="125" t="str">
        <f>IF(Ujian!H189="","",IF(LEFT(Ujian!H189,1)=SEKOR!H$2,1,0))</f>
        <v/>
      </c>
      <c r="I182" s="125" t="str">
        <f>IF(Ujian!I189="","",IF(LEFT(Ujian!I189,1)=SEKOR!I$2,1,0))</f>
        <v/>
      </c>
      <c r="J182" s="125" t="str">
        <f>IF(Ujian!J189="","",IF(LEFT(Ujian!J189,1)=SEKOR!J$2,1,0))</f>
        <v/>
      </c>
      <c r="K182" s="125" t="str">
        <f>IF(Ujian!K189="","",IF(LEFT(Ujian!K189,1)=SEKOR!K$2,1,0))</f>
        <v/>
      </c>
      <c r="L182" s="125" t="str">
        <f>IF(Ujian!L189="","",IF(LEFT(Ujian!L189,1)=SEKOR!L$2,1,0))</f>
        <v/>
      </c>
      <c r="M182" s="125" t="str">
        <f>IF(Ujian!M189="","",IF(LEFT(Ujian!M189,1)=SEKOR!M$2,1,0))</f>
        <v/>
      </c>
      <c r="N182" s="125" t="str">
        <f>IF(Ujian!N189="","",IF(LEFT(Ujian!N189,1)=SEKOR!N$2,1,0))</f>
        <v/>
      </c>
      <c r="O182" s="125" t="str">
        <f>IF(Ujian!O189="","",IF(LEFT(Ujian!O189,1)=SEKOR!O$2,1,0))</f>
        <v/>
      </c>
      <c r="P182" s="125" t="str">
        <f>IF(Ujian!P189="","",IF(LEFT(Ujian!P189,1)=SEKOR!P$2,1,0))</f>
        <v/>
      </c>
      <c r="Q182" s="125" t="str">
        <f>IF(Ujian!Q189="","",IF(LEFT(Ujian!Q189,1)=SEKOR!Q$2,1,0))</f>
        <v/>
      </c>
      <c r="R182" s="125" t="str">
        <f>IF(Ujian!R189="","",IF(LEFT(Ujian!R189,1)=SEKOR!R$2,1,0))</f>
        <v/>
      </c>
      <c r="S182" s="125" t="str">
        <f>IF(Ujian!S189="","",IF(LEFT(Ujian!S189,1)=SEKOR!S$2,1,0))</f>
        <v/>
      </c>
      <c r="T182" s="125" t="str">
        <f>IF(Ujian!T189="","",IF(LEFT(Ujian!T189,1)=SEKOR!T$2,1,0))</f>
        <v/>
      </c>
      <c r="U182" s="125" t="str">
        <f>IF(Ujian!U189="","",IF(LEFT(Ujian!U189,1)=SEKOR!U$2,1,0))</f>
        <v/>
      </c>
      <c r="V182" s="125" t="str">
        <f>IF(Ujian!V189="","",IF(LEFT(Ujian!V189,1)=SEKOR!V$2,1,0))</f>
        <v/>
      </c>
      <c r="W182" s="125" t="str">
        <f>IF(Ujian!W189="","",IF(LEFT(Ujian!W189,1)=SEKOR!W$2,1,0))</f>
        <v/>
      </c>
      <c r="X182" s="125" t="str">
        <f>IF(Ujian!X189="","",IF(LEFT(Ujian!X189,1)=SEKOR!X$2,1,0))</f>
        <v/>
      </c>
      <c r="Y182" s="125" t="str">
        <f>IF(Ujian!Y189="","",IF(LEFT(Ujian!Y189,1)=SEKOR!Y$2,1,0))</f>
        <v/>
      </c>
      <c r="Z182" s="125" t="str">
        <f>IF(Ujian!Z189="","",IF(LEFT(Ujian!Z189,1)=SEKOR!Z$2,1,0))</f>
        <v/>
      </c>
      <c r="AA182" s="125" t="str">
        <f>IF(Ujian!AA189="","",IF(LEFT(Ujian!AA189,1)=SEKOR!AA$2,1,0))</f>
        <v/>
      </c>
      <c r="AB182" s="125" t="str">
        <f>IF(Ujian!AB189="","",IF(LEFT(Ujian!AB189,1)=SEKOR!AB$2,1,0))</f>
        <v/>
      </c>
      <c r="AC182" s="125" t="str">
        <f>IF(Ujian!AC189="","",IF(LEFT(Ujian!AC189,1)=SEKOR!AC$2,1,0))</f>
        <v/>
      </c>
      <c r="AD182" s="125" t="str">
        <f>IF(Ujian!AD189="","",IF(LEFT(Ujian!AD189,1)=SEKOR!AD$2,1,0))</f>
        <v/>
      </c>
      <c r="AE182" s="125" t="str">
        <f>IF(Ujian!AE189="","",IF(LEFT(Ujian!AE189,1)=SEKOR!AE$2,1,0))</f>
        <v/>
      </c>
      <c r="AF182" s="125" t="str">
        <f>IF(Ujian!AF189="","",IF(LEFT(Ujian!AF189,1)=SEKOR!AF$2,1,0))</f>
        <v/>
      </c>
      <c r="AG182" s="125" t="str">
        <f>IF(Ujian!AG189="","",IF(LEFT(Ujian!AG189,1)=SEKOR!AG$2,1,0))</f>
        <v/>
      </c>
      <c r="AH182" s="125" t="str">
        <f>IF(Ujian!AH189="","",IF(LEFT(Ujian!AH189,1)=SEKOR!AH$2,1,0))</f>
        <v/>
      </c>
      <c r="AI182" s="125" t="str">
        <f>IF(Ujian!AI189="","",IF(LEFT(Ujian!AI189,1)=SEKOR!AI$2,1,0))</f>
        <v/>
      </c>
      <c r="AJ182" s="125" t="str">
        <f>IF(Ujian!AJ189="","",IF(LEFT(Ujian!AJ189,1)=SEKOR!AJ$2,1,0))</f>
        <v/>
      </c>
      <c r="AK182" s="125" t="str">
        <f>IF(Ujian!AK189="","",IF(LEFT(Ujian!AK189,1)=SEKOR!AK$2,1,0))</f>
        <v/>
      </c>
      <c r="AL182" s="125" t="str">
        <f>IF(Ujian!AL189="","",IF(LEFT(Ujian!AL189,1)=SEKOR!AL$2,1,0))</f>
        <v/>
      </c>
      <c r="AM182" s="125" t="str">
        <f>IF(Ujian!AM189="","",IF(LEFT(Ujian!AM189,1)=SEKOR!AM$2,1,0))</f>
        <v/>
      </c>
      <c r="AN182" s="125" t="str">
        <f>IF(Ujian!AN189="","",IF(LEFT(Ujian!AN189,1)=SEKOR!AN$2,1,0))</f>
        <v/>
      </c>
      <c r="AO182" s="125" t="str">
        <f>IF(Ujian!AO189="","",IF(LEFT(Ujian!AO189,1)=SEKOR!AO$2,1,0))</f>
        <v/>
      </c>
      <c r="AP182" s="125" t="str">
        <f>IF(Ujian!AP189="","",IF(LEFT(Ujian!AP189,1)=SEKOR!AP$2,1,0))</f>
        <v/>
      </c>
      <c r="AQ182" s="125" t="str">
        <f>IF(Ujian!AQ189="","",IF(LEFT(Ujian!AQ189,1)=SEKOR!AQ$2,1,0))</f>
        <v/>
      </c>
      <c r="AR182" s="125" t="str">
        <f>IF(Ujian!AR189="","",IF(LEFT(Ujian!AR189,1)=SEKOR!AR$2,1,0))</f>
        <v/>
      </c>
      <c r="AS182" s="125" t="str">
        <f>IF(Ujian!AS189="","",IF(LEFT(Ujian!AS189,1)=SEKOR!AS$2,1,0))</f>
        <v/>
      </c>
      <c r="AT182" s="125" t="str">
        <f>IF(Ujian!AT189="","",IF(LEFT(Ujian!AT189,1)=SEKOR!AT$2,1,0))</f>
        <v/>
      </c>
      <c r="AU182" s="125" t="str">
        <f>IF(Ujian!AU189="","",IF(LEFT(Ujian!AU189,1)=SEKOR!AU$2,1,0))</f>
        <v/>
      </c>
      <c r="AV182" s="125" t="str">
        <f>IF(Ujian!AV189="","",IF(LEFT(Ujian!AV189,1)=SEKOR!AV$2,1,0))</f>
        <v/>
      </c>
      <c r="AW182" s="125" t="str">
        <f>IF(Ujian!AW189="","",IF(LEFT(Ujian!AW189,1)=SEKOR!AW$2,1,0))</f>
        <v/>
      </c>
      <c r="AX182" s="125" t="str">
        <f>IF(Ujian!AX189="","",IF(LEFT(Ujian!AX189,1)=SEKOR!AX$2,1,0))</f>
        <v/>
      </c>
      <c r="AY182" s="125" t="str">
        <f>IF(Ujian!AY189="","",IF(LEFT(Ujian!AY189,1)=SEKOR!AY$2,1,0))</f>
        <v/>
      </c>
      <c r="AZ182" s="125" t="str">
        <f>IF(Ujian!AZ189="","",IF(LEFT(Ujian!AZ189,1)=SEKOR!AZ$2,1,0))</f>
        <v/>
      </c>
      <c r="BA182" s="125" t="str">
        <f>IF(Ujian!BA189="","",IF(LEFT(Ujian!BA189,1)=SEKOR!BA$2,1,0))</f>
        <v/>
      </c>
      <c r="BB182" s="125" t="str">
        <f>IF(Ujian!BB189="","",IF(LEFT(Ujian!BB189,1)=SEKOR!BB$2,1,0))</f>
        <v/>
      </c>
      <c r="BC182" s="125" t="str">
        <f>IF(Ujian!BC189="","",IF(LEFT(Ujian!BC189,1)=SEKOR!BC$2,1,0))</f>
        <v/>
      </c>
      <c r="BD182" s="125" t="str">
        <f>IF(Ujian!BD189="","",IF(LEFT(Ujian!BD189,1)=SEKOR!BD$2,1,0))</f>
        <v/>
      </c>
      <c r="BE182" s="125" t="str">
        <f>IF(Ujian!BE189="","",IF(LEFT(Ujian!BE189,1)=SEKOR!BE$2,1,0))</f>
        <v/>
      </c>
      <c r="BF182" s="125" t="str">
        <f>IF(Ujian!BF189="","",IF(LEFT(Ujian!BF189,1)=SEKOR!BF$2,1,0))</f>
        <v/>
      </c>
      <c r="BG182" s="125" t="str">
        <f>IF(Ujian!BG189="","",IF(LEFT(Ujian!BG189,1)=SEKOR!BG$2,1,0))</f>
        <v/>
      </c>
      <c r="BH182" s="125" t="str">
        <f>IF(Ujian!BH189="","",IF(LEFT(Ujian!BH189,1)=SEKOR!BH$2,1,0))</f>
        <v/>
      </c>
      <c r="BI182" s="125" t="str">
        <f>IF(Ujian!BI189="","",IF(LEFT(Ujian!BI189,1)=SEKOR!BI$2,1,0))</f>
        <v/>
      </c>
      <c r="BJ182" s="125" t="str">
        <f>IF(Ujian!BJ189="","",IF(LEFT(Ujian!BJ189,1)=SEKOR!BJ$2,1,0))</f>
        <v/>
      </c>
      <c r="BK182" s="125" t="str">
        <f>IF(Ujian!BK189="","",IF(LEFT(Ujian!BK189,1)=SEKOR!BK$2,1,0))</f>
        <v/>
      </c>
      <c r="BL182" s="18">
        <f t="shared" si="4"/>
        <v>0</v>
      </c>
      <c r="BM182" s="18">
        <f>COUNTIF($D182:$BK182,"")+DATA!$F$14-DATA!$F$12</f>
        <v>60</v>
      </c>
      <c r="BN182" s="17">
        <f>IF(COUNTIF($D182:$BK182,1)&gt;DATA!$F$14,DATA!$F$14,COUNTIF($D182:$BK182,1))</f>
        <v>0</v>
      </c>
      <c r="BO182" s="17">
        <f>IF((BN182+COUNTIF($D182:$BK182,0))&lt;=DATA!$F$14,COUNTIF($D182:$BK182,0),DATA!$F$14-SEKOR!BN182)</f>
        <v>0</v>
      </c>
      <c r="BP182" s="4" t="str">
        <f>IF(BL182=0,"",BN182/DATA!$F$14*100)</f>
        <v/>
      </c>
      <c r="BQ182" s="121" t="str">
        <f t="shared" si="5"/>
        <v/>
      </c>
      <c r="BR182" s="2" t="str">
        <f>IF(Praktik!$E182=0,"",Praktik!$E182)</f>
        <v/>
      </c>
      <c r="BS182" s="2" t="str">
        <f>IF(BR182="","",(BP182*DATAINFO!$O$4)+(SEKOR!BR182*DATAINFO!$O$5)/(DATAINFO!$O$4+DATAINFO!$O$5))</f>
        <v/>
      </c>
      <c r="BT182" s="2" t="str">
        <f>IF(BL182=0,"",IF(DATA!$F$18="TIDAK",ROUNDUP((IF!$L$8*SEKOR!$BP182)+IF!$L$9,0),IF($BR182="","",ROUNDUP((IF!$L$20*$BS182)+IF!$L$21,0))))</f>
        <v/>
      </c>
      <c r="BU182" s="47" t="str">
        <f>IF(BP182="","",IF(SEKOR!BP182&gt;=DATA!$J$12,1,0))</f>
        <v/>
      </c>
      <c r="BV182" s="47" t="str">
        <f>IF(BQ182="","",IF(SEKOR!BQ182&gt;=DATA!$J$12,1,0))</f>
        <v/>
      </c>
      <c r="BW182" s="47" t="str">
        <f>IF(BR182="","",IF(SEKOR!BR182&gt;=DATA!$J$12,1,0))</f>
        <v/>
      </c>
      <c r="BX182" s="47" t="str">
        <f>IF(BT182="","",IF(DATA!$J$14="",IF(SEKOR!BT182&gt;=DATA!$J$12,1,0),IF(SEKOR!BT182&gt;=DATA!$J$14,1,0)))</f>
        <v/>
      </c>
    </row>
    <row r="183" spans="1:76" x14ac:dyDescent="0.25">
      <c r="A183" s="20" t="s">
        <v>210</v>
      </c>
      <c r="B183" s="21" t="str">
        <f>IF(Ujian!B190="","",Ujian!B190)</f>
        <v/>
      </c>
      <c r="C183" s="57" t="str">
        <f>IF(Ujian!C190="","",Ujian!C190)</f>
        <v/>
      </c>
      <c r="D183" s="125" t="str">
        <f>IF(Ujian!D190="","",IF(LEFT(Ujian!D190,1)=SEKOR!D$2,1,0))</f>
        <v/>
      </c>
      <c r="E183" s="125" t="str">
        <f>IF(Ujian!E190="","",IF(LEFT(Ujian!E190,1)=SEKOR!E$2,1,0))</f>
        <v/>
      </c>
      <c r="F183" s="125" t="str">
        <f>IF(Ujian!F190="","",IF(LEFT(Ujian!F190,1)=SEKOR!F$2,1,0))</f>
        <v/>
      </c>
      <c r="G183" s="125" t="str">
        <f>IF(Ujian!G190="","",IF(LEFT(Ujian!G190,1)=SEKOR!G$2,1,0))</f>
        <v/>
      </c>
      <c r="H183" s="125" t="str">
        <f>IF(Ujian!H190="","",IF(LEFT(Ujian!H190,1)=SEKOR!H$2,1,0))</f>
        <v/>
      </c>
      <c r="I183" s="125" t="str">
        <f>IF(Ujian!I190="","",IF(LEFT(Ujian!I190,1)=SEKOR!I$2,1,0))</f>
        <v/>
      </c>
      <c r="J183" s="125" t="str">
        <f>IF(Ujian!J190="","",IF(LEFT(Ujian!J190,1)=SEKOR!J$2,1,0))</f>
        <v/>
      </c>
      <c r="K183" s="125" t="str">
        <f>IF(Ujian!K190="","",IF(LEFT(Ujian!K190,1)=SEKOR!K$2,1,0))</f>
        <v/>
      </c>
      <c r="L183" s="125" t="str">
        <f>IF(Ujian!L190="","",IF(LEFT(Ujian!L190,1)=SEKOR!L$2,1,0))</f>
        <v/>
      </c>
      <c r="M183" s="125" t="str">
        <f>IF(Ujian!M190="","",IF(LEFT(Ujian!M190,1)=SEKOR!M$2,1,0))</f>
        <v/>
      </c>
      <c r="N183" s="125" t="str">
        <f>IF(Ujian!N190="","",IF(LEFT(Ujian!N190,1)=SEKOR!N$2,1,0))</f>
        <v/>
      </c>
      <c r="O183" s="125" t="str">
        <f>IF(Ujian!O190="","",IF(LEFT(Ujian!O190,1)=SEKOR!O$2,1,0))</f>
        <v/>
      </c>
      <c r="P183" s="125" t="str">
        <f>IF(Ujian!P190="","",IF(LEFT(Ujian!P190,1)=SEKOR!P$2,1,0))</f>
        <v/>
      </c>
      <c r="Q183" s="125" t="str">
        <f>IF(Ujian!Q190="","",IF(LEFT(Ujian!Q190,1)=SEKOR!Q$2,1,0))</f>
        <v/>
      </c>
      <c r="R183" s="125" t="str">
        <f>IF(Ujian!R190="","",IF(LEFT(Ujian!R190,1)=SEKOR!R$2,1,0))</f>
        <v/>
      </c>
      <c r="S183" s="125" t="str">
        <f>IF(Ujian!S190="","",IF(LEFT(Ujian!S190,1)=SEKOR!S$2,1,0))</f>
        <v/>
      </c>
      <c r="T183" s="125" t="str">
        <f>IF(Ujian!T190="","",IF(LEFT(Ujian!T190,1)=SEKOR!T$2,1,0))</f>
        <v/>
      </c>
      <c r="U183" s="125" t="str">
        <f>IF(Ujian!U190="","",IF(LEFT(Ujian!U190,1)=SEKOR!U$2,1,0))</f>
        <v/>
      </c>
      <c r="V183" s="125" t="str">
        <f>IF(Ujian!V190="","",IF(LEFT(Ujian!V190,1)=SEKOR!V$2,1,0))</f>
        <v/>
      </c>
      <c r="W183" s="125" t="str">
        <f>IF(Ujian!W190="","",IF(LEFT(Ujian!W190,1)=SEKOR!W$2,1,0))</f>
        <v/>
      </c>
      <c r="X183" s="125" t="str">
        <f>IF(Ujian!X190="","",IF(LEFT(Ujian!X190,1)=SEKOR!X$2,1,0))</f>
        <v/>
      </c>
      <c r="Y183" s="125" t="str">
        <f>IF(Ujian!Y190="","",IF(LEFT(Ujian!Y190,1)=SEKOR!Y$2,1,0))</f>
        <v/>
      </c>
      <c r="Z183" s="125" t="str">
        <f>IF(Ujian!Z190="","",IF(LEFT(Ujian!Z190,1)=SEKOR!Z$2,1,0))</f>
        <v/>
      </c>
      <c r="AA183" s="125" t="str">
        <f>IF(Ujian!AA190="","",IF(LEFT(Ujian!AA190,1)=SEKOR!AA$2,1,0))</f>
        <v/>
      </c>
      <c r="AB183" s="125" t="str">
        <f>IF(Ujian!AB190="","",IF(LEFT(Ujian!AB190,1)=SEKOR!AB$2,1,0))</f>
        <v/>
      </c>
      <c r="AC183" s="125" t="str">
        <f>IF(Ujian!AC190="","",IF(LEFT(Ujian!AC190,1)=SEKOR!AC$2,1,0))</f>
        <v/>
      </c>
      <c r="AD183" s="125" t="str">
        <f>IF(Ujian!AD190="","",IF(LEFT(Ujian!AD190,1)=SEKOR!AD$2,1,0))</f>
        <v/>
      </c>
      <c r="AE183" s="125" t="str">
        <f>IF(Ujian!AE190="","",IF(LEFT(Ujian!AE190,1)=SEKOR!AE$2,1,0))</f>
        <v/>
      </c>
      <c r="AF183" s="125" t="str">
        <f>IF(Ujian!AF190="","",IF(LEFT(Ujian!AF190,1)=SEKOR!AF$2,1,0))</f>
        <v/>
      </c>
      <c r="AG183" s="125" t="str">
        <f>IF(Ujian!AG190="","",IF(LEFT(Ujian!AG190,1)=SEKOR!AG$2,1,0))</f>
        <v/>
      </c>
      <c r="AH183" s="125" t="str">
        <f>IF(Ujian!AH190="","",IF(LEFT(Ujian!AH190,1)=SEKOR!AH$2,1,0))</f>
        <v/>
      </c>
      <c r="AI183" s="125" t="str">
        <f>IF(Ujian!AI190="","",IF(LEFT(Ujian!AI190,1)=SEKOR!AI$2,1,0))</f>
        <v/>
      </c>
      <c r="AJ183" s="125" t="str">
        <f>IF(Ujian!AJ190="","",IF(LEFT(Ujian!AJ190,1)=SEKOR!AJ$2,1,0))</f>
        <v/>
      </c>
      <c r="AK183" s="125" t="str">
        <f>IF(Ujian!AK190="","",IF(LEFT(Ujian!AK190,1)=SEKOR!AK$2,1,0))</f>
        <v/>
      </c>
      <c r="AL183" s="125" t="str">
        <f>IF(Ujian!AL190="","",IF(LEFT(Ujian!AL190,1)=SEKOR!AL$2,1,0))</f>
        <v/>
      </c>
      <c r="AM183" s="125" t="str">
        <f>IF(Ujian!AM190="","",IF(LEFT(Ujian!AM190,1)=SEKOR!AM$2,1,0))</f>
        <v/>
      </c>
      <c r="AN183" s="125" t="str">
        <f>IF(Ujian!AN190="","",IF(LEFT(Ujian!AN190,1)=SEKOR!AN$2,1,0))</f>
        <v/>
      </c>
      <c r="AO183" s="125" t="str">
        <f>IF(Ujian!AO190="","",IF(LEFT(Ujian!AO190,1)=SEKOR!AO$2,1,0))</f>
        <v/>
      </c>
      <c r="AP183" s="125" t="str">
        <f>IF(Ujian!AP190="","",IF(LEFT(Ujian!AP190,1)=SEKOR!AP$2,1,0))</f>
        <v/>
      </c>
      <c r="AQ183" s="125" t="str">
        <f>IF(Ujian!AQ190="","",IF(LEFT(Ujian!AQ190,1)=SEKOR!AQ$2,1,0))</f>
        <v/>
      </c>
      <c r="AR183" s="125" t="str">
        <f>IF(Ujian!AR190="","",IF(LEFT(Ujian!AR190,1)=SEKOR!AR$2,1,0))</f>
        <v/>
      </c>
      <c r="AS183" s="125" t="str">
        <f>IF(Ujian!AS190="","",IF(LEFT(Ujian!AS190,1)=SEKOR!AS$2,1,0))</f>
        <v/>
      </c>
      <c r="AT183" s="125" t="str">
        <f>IF(Ujian!AT190="","",IF(LEFT(Ujian!AT190,1)=SEKOR!AT$2,1,0))</f>
        <v/>
      </c>
      <c r="AU183" s="125" t="str">
        <f>IF(Ujian!AU190="","",IF(LEFT(Ujian!AU190,1)=SEKOR!AU$2,1,0))</f>
        <v/>
      </c>
      <c r="AV183" s="125" t="str">
        <f>IF(Ujian!AV190="","",IF(LEFT(Ujian!AV190,1)=SEKOR!AV$2,1,0))</f>
        <v/>
      </c>
      <c r="AW183" s="125" t="str">
        <f>IF(Ujian!AW190="","",IF(LEFT(Ujian!AW190,1)=SEKOR!AW$2,1,0))</f>
        <v/>
      </c>
      <c r="AX183" s="125" t="str">
        <f>IF(Ujian!AX190="","",IF(LEFT(Ujian!AX190,1)=SEKOR!AX$2,1,0))</f>
        <v/>
      </c>
      <c r="AY183" s="125" t="str">
        <f>IF(Ujian!AY190="","",IF(LEFT(Ujian!AY190,1)=SEKOR!AY$2,1,0))</f>
        <v/>
      </c>
      <c r="AZ183" s="125" t="str">
        <f>IF(Ujian!AZ190="","",IF(LEFT(Ujian!AZ190,1)=SEKOR!AZ$2,1,0))</f>
        <v/>
      </c>
      <c r="BA183" s="125" t="str">
        <f>IF(Ujian!BA190="","",IF(LEFT(Ujian!BA190,1)=SEKOR!BA$2,1,0))</f>
        <v/>
      </c>
      <c r="BB183" s="125" t="str">
        <f>IF(Ujian!BB190="","",IF(LEFT(Ujian!BB190,1)=SEKOR!BB$2,1,0))</f>
        <v/>
      </c>
      <c r="BC183" s="125" t="str">
        <f>IF(Ujian!BC190="","",IF(LEFT(Ujian!BC190,1)=SEKOR!BC$2,1,0))</f>
        <v/>
      </c>
      <c r="BD183" s="125" t="str">
        <f>IF(Ujian!BD190="","",IF(LEFT(Ujian!BD190,1)=SEKOR!BD$2,1,0))</f>
        <v/>
      </c>
      <c r="BE183" s="125" t="str">
        <f>IF(Ujian!BE190="","",IF(LEFT(Ujian!BE190,1)=SEKOR!BE$2,1,0))</f>
        <v/>
      </c>
      <c r="BF183" s="125" t="str">
        <f>IF(Ujian!BF190="","",IF(LEFT(Ujian!BF190,1)=SEKOR!BF$2,1,0))</f>
        <v/>
      </c>
      <c r="BG183" s="125" t="str">
        <f>IF(Ujian!BG190="","",IF(LEFT(Ujian!BG190,1)=SEKOR!BG$2,1,0))</f>
        <v/>
      </c>
      <c r="BH183" s="125" t="str">
        <f>IF(Ujian!BH190="","",IF(LEFT(Ujian!BH190,1)=SEKOR!BH$2,1,0))</f>
        <v/>
      </c>
      <c r="BI183" s="125" t="str">
        <f>IF(Ujian!BI190="","",IF(LEFT(Ujian!BI190,1)=SEKOR!BI$2,1,0))</f>
        <v/>
      </c>
      <c r="BJ183" s="125" t="str">
        <f>IF(Ujian!BJ190="","",IF(LEFT(Ujian!BJ190,1)=SEKOR!BJ$2,1,0))</f>
        <v/>
      </c>
      <c r="BK183" s="125" t="str">
        <f>IF(Ujian!BK190="","",IF(LEFT(Ujian!BK190,1)=SEKOR!BK$2,1,0))</f>
        <v/>
      </c>
      <c r="BL183" s="18">
        <f t="shared" si="4"/>
        <v>0</v>
      </c>
      <c r="BM183" s="18">
        <f>COUNTIF($D183:$BK183,"")+DATA!$F$14-DATA!$F$12</f>
        <v>60</v>
      </c>
      <c r="BN183" s="17">
        <f>IF(COUNTIF($D183:$BK183,1)&gt;DATA!$F$14,DATA!$F$14,COUNTIF($D183:$BK183,1))</f>
        <v>0</v>
      </c>
      <c r="BO183" s="17">
        <f>IF((BN183+COUNTIF($D183:$BK183,0))&lt;=DATA!$F$14,COUNTIF($D183:$BK183,0),DATA!$F$14-SEKOR!BN183)</f>
        <v>0</v>
      </c>
      <c r="BP183" s="4" t="str">
        <f>IF(BL183=0,"",BN183/DATA!$F$14*100)</f>
        <v/>
      </c>
      <c r="BQ183" s="121" t="str">
        <f t="shared" si="5"/>
        <v/>
      </c>
      <c r="BR183" s="2" t="str">
        <f>IF(Praktik!$E183=0,"",Praktik!$E183)</f>
        <v/>
      </c>
      <c r="BS183" s="2" t="str">
        <f>IF(BR183="","",(BP183*DATAINFO!$O$4)+(SEKOR!BR183*DATAINFO!$O$5)/(DATAINFO!$O$4+DATAINFO!$O$5))</f>
        <v/>
      </c>
      <c r="BT183" s="2" t="str">
        <f>IF(BL183=0,"",IF(DATA!$F$18="TIDAK",ROUNDUP((IF!$L$8*SEKOR!$BP183)+IF!$L$9,0),IF($BR183="","",ROUNDUP((IF!$L$20*$BS183)+IF!$L$21,0))))</f>
        <v/>
      </c>
      <c r="BU183" s="47" t="str">
        <f>IF(BP183="","",IF(SEKOR!BP183&gt;=DATA!$J$12,1,0))</f>
        <v/>
      </c>
      <c r="BV183" s="47" t="str">
        <f>IF(BQ183="","",IF(SEKOR!BQ183&gt;=DATA!$J$12,1,0))</f>
        <v/>
      </c>
      <c r="BW183" s="47" t="str">
        <f>IF(BR183="","",IF(SEKOR!BR183&gt;=DATA!$J$12,1,0))</f>
        <v/>
      </c>
      <c r="BX183" s="47" t="str">
        <f>IF(BT183="","",IF(DATA!$J$14="",IF(SEKOR!BT183&gt;=DATA!$J$12,1,0),IF(SEKOR!BT183&gt;=DATA!$J$14,1,0)))</f>
        <v/>
      </c>
    </row>
    <row r="184" spans="1:76" x14ac:dyDescent="0.25">
      <c r="A184" s="20" t="s">
        <v>211</v>
      </c>
      <c r="B184" s="21" t="str">
        <f>IF(Ujian!B191="","",Ujian!B191)</f>
        <v/>
      </c>
      <c r="C184" s="57" t="str">
        <f>IF(Ujian!C191="","",Ujian!C191)</f>
        <v/>
      </c>
      <c r="D184" s="125" t="str">
        <f>IF(Ujian!D191="","",IF(LEFT(Ujian!D191,1)=SEKOR!D$2,1,0))</f>
        <v/>
      </c>
      <c r="E184" s="125" t="str">
        <f>IF(Ujian!E191="","",IF(LEFT(Ujian!E191,1)=SEKOR!E$2,1,0))</f>
        <v/>
      </c>
      <c r="F184" s="125" t="str">
        <f>IF(Ujian!F191="","",IF(LEFT(Ujian!F191,1)=SEKOR!F$2,1,0))</f>
        <v/>
      </c>
      <c r="G184" s="125" t="str">
        <f>IF(Ujian!G191="","",IF(LEFT(Ujian!G191,1)=SEKOR!G$2,1,0))</f>
        <v/>
      </c>
      <c r="H184" s="125" t="str">
        <f>IF(Ujian!H191="","",IF(LEFT(Ujian!H191,1)=SEKOR!H$2,1,0))</f>
        <v/>
      </c>
      <c r="I184" s="125" t="str">
        <f>IF(Ujian!I191="","",IF(LEFT(Ujian!I191,1)=SEKOR!I$2,1,0))</f>
        <v/>
      </c>
      <c r="J184" s="125" t="str">
        <f>IF(Ujian!J191="","",IF(LEFT(Ujian!J191,1)=SEKOR!J$2,1,0))</f>
        <v/>
      </c>
      <c r="K184" s="125" t="str">
        <f>IF(Ujian!K191="","",IF(LEFT(Ujian!K191,1)=SEKOR!K$2,1,0))</f>
        <v/>
      </c>
      <c r="L184" s="125" t="str">
        <f>IF(Ujian!L191="","",IF(LEFT(Ujian!L191,1)=SEKOR!L$2,1,0))</f>
        <v/>
      </c>
      <c r="M184" s="125" t="str">
        <f>IF(Ujian!M191="","",IF(LEFT(Ujian!M191,1)=SEKOR!M$2,1,0))</f>
        <v/>
      </c>
      <c r="N184" s="125" t="str">
        <f>IF(Ujian!N191="","",IF(LEFT(Ujian!N191,1)=SEKOR!N$2,1,0))</f>
        <v/>
      </c>
      <c r="O184" s="125" t="str">
        <f>IF(Ujian!O191="","",IF(LEFT(Ujian!O191,1)=SEKOR!O$2,1,0))</f>
        <v/>
      </c>
      <c r="P184" s="125" t="str">
        <f>IF(Ujian!P191="","",IF(LEFT(Ujian!P191,1)=SEKOR!P$2,1,0))</f>
        <v/>
      </c>
      <c r="Q184" s="125" t="str">
        <f>IF(Ujian!Q191="","",IF(LEFT(Ujian!Q191,1)=SEKOR!Q$2,1,0))</f>
        <v/>
      </c>
      <c r="R184" s="125" t="str">
        <f>IF(Ujian!R191="","",IF(LEFT(Ujian!R191,1)=SEKOR!R$2,1,0))</f>
        <v/>
      </c>
      <c r="S184" s="125" t="str">
        <f>IF(Ujian!S191="","",IF(LEFT(Ujian!S191,1)=SEKOR!S$2,1,0))</f>
        <v/>
      </c>
      <c r="T184" s="125" t="str">
        <f>IF(Ujian!T191="","",IF(LEFT(Ujian!T191,1)=SEKOR!T$2,1,0))</f>
        <v/>
      </c>
      <c r="U184" s="125" t="str">
        <f>IF(Ujian!U191="","",IF(LEFT(Ujian!U191,1)=SEKOR!U$2,1,0))</f>
        <v/>
      </c>
      <c r="V184" s="125" t="str">
        <f>IF(Ujian!V191="","",IF(LEFT(Ujian!V191,1)=SEKOR!V$2,1,0))</f>
        <v/>
      </c>
      <c r="W184" s="125" t="str">
        <f>IF(Ujian!W191="","",IF(LEFT(Ujian!W191,1)=SEKOR!W$2,1,0))</f>
        <v/>
      </c>
      <c r="X184" s="125" t="str">
        <f>IF(Ujian!X191="","",IF(LEFT(Ujian!X191,1)=SEKOR!X$2,1,0))</f>
        <v/>
      </c>
      <c r="Y184" s="125" t="str">
        <f>IF(Ujian!Y191="","",IF(LEFT(Ujian!Y191,1)=SEKOR!Y$2,1,0))</f>
        <v/>
      </c>
      <c r="Z184" s="125" t="str">
        <f>IF(Ujian!Z191="","",IF(LEFT(Ujian!Z191,1)=SEKOR!Z$2,1,0))</f>
        <v/>
      </c>
      <c r="AA184" s="125" t="str">
        <f>IF(Ujian!AA191="","",IF(LEFT(Ujian!AA191,1)=SEKOR!AA$2,1,0))</f>
        <v/>
      </c>
      <c r="AB184" s="125" t="str">
        <f>IF(Ujian!AB191="","",IF(LEFT(Ujian!AB191,1)=SEKOR!AB$2,1,0))</f>
        <v/>
      </c>
      <c r="AC184" s="125" t="str">
        <f>IF(Ujian!AC191="","",IF(LEFT(Ujian!AC191,1)=SEKOR!AC$2,1,0))</f>
        <v/>
      </c>
      <c r="AD184" s="125" t="str">
        <f>IF(Ujian!AD191="","",IF(LEFT(Ujian!AD191,1)=SEKOR!AD$2,1,0))</f>
        <v/>
      </c>
      <c r="AE184" s="125" t="str">
        <f>IF(Ujian!AE191="","",IF(LEFT(Ujian!AE191,1)=SEKOR!AE$2,1,0))</f>
        <v/>
      </c>
      <c r="AF184" s="125" t="str">
        <f>IF(Ujian!AF191="","",IF(LEFT(Ujian!AF191,1)=SEKOR!AF$2,1,0))</f>
        <v/>
      </c>
      <c r="AG184" s="125" t="str">
        <f>IF(Ujian!AG191="","",IF(LEFT(Ujian!AG191,1)=SEKOR!AG$2,1,0))</f>
        <v/>
      </c>
      <c r="AH184" s="125" t="str">
        <f>IF(Ujian!AH191="","",IF(LEFT(Ujian!AH191,1)=SEKOR!AH$2,1,0))</f>
        <v/>
      </c>
      <c r="AI184" s="125" t="str">
        <f>IF(Ujian!AI191="","",IF(LEFT(Ujian!AI191,1)=SEKOR!AI$2,1,0))</f>
        <v/>
      </c>
      <c r="AJ184" s="125" t="str">
        <f>IF(Ujian!AJ191="","",IF(LEFT(Ujian!AJ191,1)=SEKOR!AJ$2,1,0))</f>
        <v/>
      </c>
      <c r="AK184" s="125" t="str">
        <f>IF(Ujian!AK191="","",IF(LEFT(Ujian!AK191,1)=SEKOR!AK$2,1,0))</f>
        <v/>
      </c>
      <c r="AL184" s="125" t="str">
        <f>IF(Ujian!AL191="","",IF(LEFT(Ujian!AL191,1)=SEKOR!AL$2,1,0))</f>
        <v/>
      </c>
      <c r="AM184" s="125" t="str">
        <f>IF(Ujian!AM191="","",IF(LEFT(Ujian!AM191,1)=SEKOR!AM$2,1,0))</f>
        <v/>
      </c>
      <c r="AN184" s="125" t="str">
        <f>IF(Ujian!AN191="","",IF(LEFT(Ujian!AN191,1)=SEKOR!AN$2,1,0))</f>
        <v/>
      </c>
      <c r="AO184" s="125" t="str">
        <f>IF(Ujian!AO191="","",IF(LEFT(Ujian!AO191,1)=SEKOR!AO$2,1,0))</f>
        <v/>
      </c>
      <c r="AP184" s="125" t="str">
        <f>IF(Ujian!AP191="","",IF(LEFT(Ujian!AP191,1)=SEKOR!AP$2,1,0))</f>
        <v/>
      </c>
      <c r="AQ184" s="125" t="str">
        <f>IF(Ujian!AQ191="","",IF(LEFT(Ujian!AQ191,1)=SEKOR!AQ$2,1,0))</f>
        <v/>
      </c>
      <c r="AR184" s="125" t="str">
        <f>IF(Ujian!AR191="","",IF(LEFT(Ujian!AR191,1)=SEKOR!AR$2,1,0))</f>
        <v/>
      </c>
      <c r="AS184" s="125" t="str">
        <f>IF(Ujian!AS191="","",IF(LEFT(Ujian!AS191,1)=SEKOR!AS$2,1,0))</f>
        <v/>
      </c>
      <c r="AT184" s="125" t="str">
        <f>IF(Ujian!AT191="","",IF(LEFT(Ujian!AT191,1)=SEKOR!AT$2,1,0))</f>
        <v/>
      </c>
      <c r="AU184" s="125" t="str">
        <f>IF(Ujian!AU191="","",IF(LEFT(Ujian!AU191,1)=SEKOR!AU$2,1,0))</f>
        <v/>
      </c>
      <c r="AV184" s="125" t="str">
        <f>IF(Ujian!AV191="","",IF(LEFT(Ujian!AV191,1)=SEKOR!AV$2,1,0))</f>
        <v/>
      </c>
      <c r="AW184" s="125" t="str">
        <f>IF(Ujian!AW191="","",IF(LEFT(Ujian!AW191,1)=SEKOR!AW$2,1,0))</f>
        <v/>
      </c>
      <c r="AX184" s="125" t="str">
        <f>IF(Ujian!AX191="","",IF(LEFT(Ujian!AX191,1)=SEKOR!AX$2,1,0))</f>
        <v/>
      </c>
      <c r="AY184" s="125" t="str">
        <f>IF(Ujian!AY191="","",IF(LEFT(Ujian!AY191,1)=SEKOR!AY$2,1,0))</f>
        <v/>
      </c>
      <c r="AZ184" s="125" t="str">
        <f>IF(Ujian!AZ191="","",IF(LEFT(Ujian!AZ191,1)=SEKOR!AZ$2,1,0))</f>
        <v/>
      </c>
      <c r="BA184" s="125" t="str">
        <f>IF(Ujian!BA191="","",IF(LEFT(Ujian!BA191,1)=SEKOR!BA$2,1,0))</f>
        <v/>
      </c>
      <c r="BB184" s="125" t="str">
        <f>IF(Ujian!BB191="","",IF(LEFT(Ujian!BB191,1)=SEKOR!BB$2,1,0))</f>
        <v/>
      </c>
      <c r="BC184" s="125" t="str">
        <f>IF(Ujian!BC191="","",IF(LEFT(Ujian!BC191,1)=SEKOR!BC$2,1,0))</f>
        <v/>
      </c>
      <c r="BD184" s="125" t="str">
        <f>IF(Ujian!BD191="","",IF(LEFT(Ujian!BD191,1)=SEKOR!BD$2,1,0))</f>
        <v/>
      </c>
      <c r="BE184" s="125" t="str">
        <f>IF(Ujian!BE191="","",IF(LEFT(Ujian!BE191,1)=SEKOR!BE$2,1,0))</f>
        <v/>
      </c>
      <c r="BF184" s="125" t="str">
        <f>IF(Ujian!BF191="","",IF(LEFT(Ujian!BF191,1)=SEKOR!BF$2,1,0))</f>
        <v/>
      </c>
      <c r="BG184" s="125" t="str">
        <f>IF(Ujian!BG191="","",IF(LEFT(Ujian!BG191,1)=SEKOR!BG$2,1,0))</f>
        <v/>
      </c>
      <c r="BH184" s="125" t="str">
        <f>IF(Ujian!BH191="","",IF(LEFT(Ujian!BH191,1)=SEKOR!BH$2,1,0))</f>
        <v/>
      </c>
      <c r="BI184" s="125" t="str">
        <f>IF(Ujian!BI191="","",IF(LEFT(Ujian!BI191,1)=SEKOR!BI$2,1,0))</f>
        <v/>
      </c>
      <c r="BJ184" s="125" t="str">
        <f>IF(Ujian!BJ191="","",IF(LEFT(Ujian!BJ191,1)=SEKOR!BJ$2,1,0))</f>
        <v/>
      </c>
      <c r="BK184" s="125" t="str">
        <f>IF(Ujian!BK191="","",IF(LEFT(Ujian!BK191,1)=SEKOR!BK$2,1,0))</f>
        <v/>
      </c>
      <c r="BL184" s="18">
        <f t="shared" si="4"/>
        <v>0</v>
      </c>
      <c r="BM184" s="18">
        <f>COUNTIF($D184:$BK184,"")+DATA!$F$14-DATA!$F$12</f>
        <v>60</v>
      </c>
      <c r="BN184" s="17">
        <f>IF(COUNTIF($D184:$BK184,1)&gt;DATA!$F$14,DATA!$F$14,COUNTIF($D184:$BK184,1))</f>
        <v>0</v>
      </c>
      <c r="BO184" s="17">
        <f>IF((BN184+COUNTIF($D184:$BK184,0))&lt;=DATA!$F$14,COUNTIF($D184:$BK184,0),DATA!$F$14-SEKOR!BN184)</f>
        <v>0</v>
      </c>
      <c r="BP184" s="4" t="str">
        <f>IF(BL184=0,"",BN184/DATA!$F$14*100)</f>
        <v/>
      </c>
      <c r="BQ184" s="121" t="str">
        <f t="shared" si="5"/>
        <v/>
      </c>
      <c r="BR184" s="2" t="str">
        <f>IF(Praktik!$E184=0,"",Praktik!$E184)</f>
        <v/>
      </c>
      <c r="BS184" s="2" t="str">
        <f>IF(BR184="","",(BP184*DATAINFO!$O$4)+(SEKOR!BR184*DATAINFO!$O$5)/(DATAINFO!$O$4+DATAINFO!$O$5))</f>
        <v/>
      </c>
      <c r="BT184" s="2" t="str">
        <f>IF(BL184=0,"",IF(DATA!$F$18="TIDAK",ROUNDUP((IF!$L$8*SEKOR!$BP184)+IF!$L$9,0),IF($BR184="","",ROUNDUP((IF!$L$20*$BS184)+IF!$L$21,0))))</f>
        <v/>
      </c>
      <c r="BU184" s="47" t="str">
        <f>IF(BP184="","",IF(SEKOR!BP184&gt;=DATA!$J$12,1,0))</f>
        <v/>
      </c>
      <c r="BV184" s="47" t="str">
        <f>IF(BQ184="","",IF(SEKOR!BQ184&gt;=DATA!$J$12,1,0))</f>
        <v/>
      </c>
      <c r="BW184" s="47" t="str">
        <f>IF(BR184="","",IF(SEKOR!BR184&gt;=DATA!$J$12,1,0))</f>
        <v/>
      </c>
      <c r="BX184" s="47" t="str">
        <f>IF(BT184="","",IF(DATA!$J$14="",IF(SEKOR!BT184&gt;=DATA!$J$12,1,0),IF(SEKOR!BT184&gt;=DATA!$J$14,1,0)))</f>
        <v/>
      </c>
    </row>
    <row r="185" spans="1:76" x14ac:dyDescent="0.25">
      <c r="A185" s="20" t="s">
        <v>212</v>
      </c>
      <c r="B185" s="21" t="str">
        <f>IF(Ujian!B192="","",Ujian!B192)</f>
        <v/>
      </c>
      <c r="C185" s="57" t="str">
        <f>IF(Ujian!C192="","",Ujian!C192)</f>
        <v/>
      </c>
      <c r="D185" s="125" t="str">
        <f>IF(Ujian!D192="","",IF(LEFT(Ujian!D192,1)=SEKOR!D$2,1,0))</f>
        <v/>
      </c>
      <c r="E185" s="125" t="str">
        <f>IF(Ujian!E192="","",IF(LEFT(Ujian!E192,1)=SEKOR!E$2,1,0))</f>
        <v/>
      </c>
      <c r="F185" s="125" t="str">
        <f>IF(Ujian!F192="","",IF(LEFT(Ujian!F192,1)=SEKOR!F$2,1,0))</f>
        <v/>
      </c>
      <c r="G185" s="125" t="str">
        <f>IF(Ujian!G192="","",IF(LEFT(Ujian!G192,1)=SEKOR!G$2,1,0))</f>
        <v/>
      </c>
      <c r="H185" s="125" t="str">
        <f>IF(Ujian!H192="","",IF(LEFT(Ujian!H192,1)=SEKOR!H$2,1,0))</f>
        <v/>
      </c>
      <c r="I185" s="125" t="str">
        <f>IF(Ujian!I192="","",IF(LEFT(Ujian!I192,1)=SEKOR!I$2,1,0))</f>
        <v/>
      </c>
      <c r="J185" s="125" t="str">
        <f>IF(Ujian!J192="","",IF(LEFT(Ujian!J192,1)=SEKOR!J$2,1,0))</f>
        <v/>
      </c>
      <c r="K185" s="125" t="str">
        <f>IF(Ujian!K192="","",IF(LEFT(Ujian!K192,1)=SEKOR!K$2,1,0))</f>
        <v/>
      </c>
      <c r="L185" s="125" t="str">
        <f>IF(Ujian!L192="","",IF(LEFT(Ujian!L192,1)=SEKOR!L$2,1,0))</f>
        <v/>
      </c>
      <c r="M185" s="125" t="str">
        <f>IF(Ujian!M192="","",IF(LEFT(Ujian!M192,1)=SEKOR!M$2,1,0))</f>
        <v/>
      </c>
      <c r="N185" s="125" t="str">
        <f>IF(Ujian!N192="","",IF(LEFT(Ujian!N192,1)=SEKOR!N$2,1,0))</f>
        <v/>
      </c>
      <c r="O185" s="125" t="str">
        <f>IF(Ujian!O192="","",IF(LEFT(Ujian!O192,1)=SEKOR!O$2,1,0))</f>
        <v/>
      </c>
      <c r="P185" s="125" t="str">
        <f>IF(Ujian!P192="","",IF(LEFT(Ujian!P192,1)=SEKOR!P$2,1,0))</f>
        <v/>
      </c>
      <c r="Q185" s="125" t="str">
        <f>IF(Ujian!Q192="","",IF(LEFT(Ujian!Q192,1)=SEKOR!Q$2,1,0))</f>
        <v/>
      </c>
      <c r="R185" s="125" t="str">
        <f>IF(Ujian!R192="","",IF(LEFT(Ujian!R192,1)=SEKOR!R$2,1,0))</f>
        <v/>
      </c>
      <c r="S185" s="125" t="str">
        <f>IF(Ujian!S192="","",IF(LEFT(Ujian!S192,1)=SEKOR!S$2,1,0))</f>
        <v/>
      </c>
      <c r="T185" s="125" t="str">
        <f>IF(Ujian!T192="","",IF(LEFT(Ujian!T192,1)=SEKOR!T$2,1,0))</f>
        <v/>
      </c>
      <c r="U185" s="125" t="str">
        <f>IF(Ujian!U192="","",IF(LEFT(Ujian!U192,1)=SEKOR!U$2,1,0))</f>
        <v/>
      </c>
      <c r="V185" s="125" t="str">
        <f>IF(Ujian!V192="","",IF(LEFT(Ujian!V192,1)=SEKOR!V$2,1,0))</f>
        <v/>
      </c>
      <c r="W185" s="125" t="str">
        <f>IF(Ujian!W192="","",IF(LEFT(Ujian!W192,1)=SEKOR!W$2,1,0))</f>
        <v/>
      </c>
      <c r="X185" s="125" t="str">
        <f>IF(Ujian!X192="","",IF(LEFT(Ujian!X192,1)=SEKOR!X$2,1,0))</f>
        <v/>
      </c>
      <c r="Y185" s="125" t="str">
        <f>IF(Ujian!Y192="","",IF(LEFT(Ujian!Y192,1)=SEKOR!Y$2,1,0))</f>
        <v/>
      </c>
      <c r="Z185" s="125" t="str">
        <f>IF(Ujian!Z192="","",IF(LEFT(Ujian!Z192,1)=SEKOR!Z$2,1,0))</f>
        <v/>
      </c>
      <c r="AA185" s="125" t="str">
        <f>IF(Ujian!AA192="","",IF(LEFT(Ujian!AA192,1)=SEKOR!AA$2,1,0))</f>
        <v/>
      </c>
      <c r="AB185" s="125" t="str">
        <f>IF(Ujian!AB192="","",IF(LEFT(Ujian!AB192,1)=SEKOR!AB$2,1,0))</f>
        <v/>
      </c>
      <c r="AC185" s="125" t="str">
        <f>IF(Ujian!AC192="","",IF(LEFT(Ujian!AC192,1)=SEKOR!AC$2,1,0))</f>
        <v/>
      </c>
      <c r="AD185" s="125" t="str">
        <f>IF(Ujian!AD192="","",IF(LEFT(Ujian!AD192,1)=SEKOR!AD$2,1,0))</f>
        <v/>
      </c>
      <c r="AE185" s="125" t="str">
        <f>IF(Ujian!AE192="","",IF(LEFT(Ujian!AE192,1)=SEKOR!AE$2,1,0))</f>
        <v/>
      </c>
      <c r="AF185" s="125" t="str">
        <f>IF(Ujian!AF192="","",IF(LEFT(Ujian!AF192,1)=SEKOR!AF$2,1,0))</f>
        <v/>
      </c>
      <c r="AG185" s="125" t="str">
        <f>IF(Ujian!AG192="","",IF(LEFT(Ujian!AG192,1)=SEKOR!AG$2,1,0))</f>
        <v/>
      </c>
      <c r="AH185" s="125" t="str">
        <f>IF(Ujian!AH192="","",IF(LEFT(Ujian!AH192,1)=SEKOR!AH$2,1,0))</f>
        <v/>
      </c>
      <c r="AI185" s="125" t="str">
        <f>IF(Ujian!AI192="","",IF(LEFT(Ujian!AI192,1)=SEKOR!AI$2,1,0))</f>
        <v/>
      </c>
      <c r="AJ185" s="125" t="str">
        <f>IF(Ujian!AJ192="","",IF(LEFT(Ujian!AJ192,1)=SEKOR!AJ$2,1,0))</f>
        <v/>
      </c>
      <c r="AK185" s="125" t="str">
        <f>IF(Ujian!AK192="","",IF(LEFT(Ujian!AK192,1)=SEKOR!AK$2,1,0))</f>
        <v/>
      </c>
      <c r="AL185" s="125" t="str">
        <f>IF(Ujian!AL192="","",IF(LEFT(Ujian!AL192,1)=SEKOR!AL$2,1,0))</f>
        <v/>
      </c>
      <c r="AM185" s="125" t="str">
        <f>IF(Ujian!AM192="","",IF(LEFT(Ujian!AM192,1)=SEKOR!AM$2,1,0))</f>
        <v/>
      </c>
      <c r="AN185" s="125" t="str">
        <f>IF(Ujian!AN192="","",IF(LEFT(Ujian!AN192,1)=SEKOR!AN$2,1,0))</f>
        <v/>
      </c>
      <c r="AO185" s="125" t="str">
        <f>IF(Ujian!AO192="","",IF(LEFT(Ujian!AO192,1)=SEKOR!AO$2,1,0))</f>
        <v/>
      </c>
      <c r="AP185" s="125" t="str">
        <f>IF(Ujian!AP192="","",IF(LEFT(Ujian!AP192,1)=SEKOR!AP$2,1,0))</f>
        <v/>
      </c>
      <c r="AQ185" s="125" t="str">
        <f>IF(Ujian!AQ192="","",IF(LEFT(Ujian!AQ192,1)=SEKOR!AQ$2,1,0))</f>
        <v/>
      </c>
      <c r="AR185" s="125" t="str">
        <f>IF(Ujian!AR192="","",IF(LEFT(Ujian!AR192,1)=SEKOR!AR$2,1,0))</f>
        <v/>
      </c>
      <c r="AS185" s="125" t="str">
        <f>IF(Ujian!AS192="","",IF(LEFT(Ujian!AS192,1)=SEKOR!AS$2,1,0))</f>
        <v/>
      </c>
      <c r="AT185" s="125" t="str">
        <f>IF(Ujian!AT192="","",IF(LEFT(Ujian!AT192,1)=SEKOR!AT$2,1,0))</f>
        <v/>
      </c>
      <c r="AU185" s="125" t="str">
        <f>IF(Ujian!AU192="","",IF(LEFT(Ujian!AU192,1)=SEKOR!AU$2,1,0))</f>
        <v/>
      </c>
      <c r="AV185" s="125" t="str">
        <f>IF(Ujian!AV192="","",IF(LEFT(Ujian!AV192,1)=SEKOR!AV$2,1,0))</f>
        <v/>
      </c>
      <c r="AW185" s="125" t="str">
        <f>IF(Ujian!AW192="","",IF(LEFT(Ujian!AW192,1)=SEKOR!AW$2,1,0))</f>
        <v/>
      </c>
      <c r="AX185" s="125" t="str">
        <f>IF(Ujian!AX192="","",IF(LEFT(Ujian!AX192,1)=SEKOR!AX$2,1,0))</f>
        <v/>
      </c>
      <c r="AY185" s="125" t="str">
        <f>IF(Ujian!AY192="","",IF(LEFT(Ujian!AY192,1)=SEKOR!AY$2,1,0))</f>
        <v/>
      </c>
      <c r="AZ185" s="125" t="str">
        <f>IF(Ujian!AZ192="","",IF(LEFT(Ujian!AZ192,1)=SEKOR!AZ$2,1,0))</f>
        <v/>
      </c>
      <c r="BA185" s="125" t="str">
        <f>IF(Ujian!BA192="","",IF(LEFT(Ujian!BA192,1)=SEKOR!BA$2,1,0))</f>
        <v/>
      </c>
      <c r="BB185" s="125" t="str">
        <f>IF(Ujian!BB192="","",IF(LEFT(Ujian!BB192,1)=SEKOR!BB$2,1,0))</f>
        <v/>
      </c>
      <c r="BC185" s="125" t="str">
        <f>IF(Ujian!BC192="","",IF(LEFT(Ujian!BC192,1)=SEKOR!BC$2,1,0))</f>
        <v/>
      </c>
      <c r="BD185" s="125" t="str">
        <f>IF(Ujian!BD192="","",IF(LEFT(Ujian!BD192,1)=SEKOR!BD$2,1,0))</f>
        <v/>
      </c>
      <c r="BE185" s="125" t="str">
        <f>IF(Ujian!BE192="","",IF(LEFT(Ujian!BE192,1)=SEKOR!BE$2,1,0))</f>
        <v/>
      </c>
      <c r="BF185" s="125" t="str">
        <f>IF(Ujian!BF192="","",IF(LEFT(Ujian!BF192,1)=SEKOR!BF$2,1,0))</f>
        <v/>
      </c>
      <c r="BG185" s="125" t="str">
        <f>IF(Ujian!BG192="","",IF(LEFT(Ujian!BG192,1)=SEKOR!BG$2,1,0))</f>
        <v/>
      </c>
      <c r="BH185" s="125" t="str">
        <f>IF(Ujian!BH192="","",IF(LEFT(Ujian!BH192,1)=SEKOR!BH$2,1,0))</f>
        <v/>
      </c>
      <c r="BI185" s="125" t="str">
        <f>IF(Ujian!BI192="","",IF(LEFT(Ujian!BI192,1)=SEKOR!BI$2,1,0))</f>
        <v/>
      </c>
      <c r="BJ185" s="125" t="str">
        <f>IF(Ujian!BJ192="","",IF(LEFT(Ujian!BJ192,1)=SEKOR!BJ$2,1,0))</f>
        <v/>
      </c>
      <c r="BK185" s="125" t="str">
        <f>IF(Ujian!BK192="","",IF(LEFT(Ujian!BK192,1)=SEKOR!BK$2,1,0))</f>
        <v/>
      </c>
      <c r="BL185" s="18">
        <f t="shared" si="4"/>
        <v>0</v>
      </c>
      <c r="BM185" s="18">
        <f>COUNTIF($D185:$BK185,"")+DATA!$F$14-DATA!$F$12</f>
        <v>60</v>
      </c>
      <c r="BN185" s="17">
        <f>IF(COUNTIF($D185:$BK185,1)&gt;DATA!$F$14,DATA!$F$14,COUNTIF($D185:$BK185,1))</f>
        <v>0</v>
      </c>
      <c r="BO185" s="17">
        <f>IF((BN185+COUNTIF($D185:$BK185,0))&lt;=DATA!$F$14,COUNTIF($D185:$BK185,0),DATA!$F$14-SEKOR!BN185)</f>
        <v>0</v>
      </c>
      <c r="BP185" s="4" t="str">
        <f>IF(BL185=0,"",BN185/DATA!$F$14*100)</f>
        <v/>
      </c>
      <c r="BQ185" s="121" t="str">
        <f t="shared" si="5"/>
        <v/>
      </c>
      <c r="BR185" s="2" t="str">
        <f>IF(Praktik!$E185=0,"",Praktik!$E185)</f>
        <v/>
      </c>
      <c r="BS185" s="2" t="str">
        <f>IF(BR185="","",(BP185*DATAINFO!$O$4)+(SEKOR!BR185*DATAINFO!$O$5)/(DATAINFO!$O$4+DATAINFO!$O$5))</f>
        <v/>
      </c>
      <c r="BT185" s="2" t="str">
        <f>IF(BL185=0,"",IF(DATA!$F$18="TIDAK",ROUNDUP((IF!$L$8*SEKOR!$BP185)+IF!$L$9,0),IF($BR185="","",ROUNDUP((IF!$L$20*$BS185)+IF!$L$21,0))))</f>
        <v/>
      </c>
      <c r="BU185" s="47" t="str">
        <f>IF(BP185="","",IF(SEKOR!BP185&gt;=DATA!$J$12,1,0))</f>
        <v/>
      </c>
      <c r="BV185" s="47" t="str">
        <f>IF(BQ185="","",IF(SEKOR!BQ185&gt;=DATA!$J$12,1,0))</f>
        <v/>
      </c>
      <c r="BW185" s="47" t="str">
        <f>IF(BR185="","",IF(SEKOR!BR185&gt;=DATA!$J$12,1,0))</f>
        <v/>
      </c>
      <c r="BX185" s="47" t="str">
        <f>IF(BT185="","",IF(DATA!$J$14="",IF(SEKOR!BT185&gt;=DATA!$J$12,1,0),IF(SEKOR!BT185&gt;=DATA!$J$14,1,0)))</f>
        <v/>
      </c>
    </row>
    <row r="186" spans="1:76" x14ac:dyDescent="0.25">
      <c r="A186" s="20" t="s">
        <v>213</v>
      </c>
      <c r="B186" s="21" t="str">
        <f>IF(Ujian!B193="","",Ujian!B193)</f>
        <v/>
      </c>
      <c r="C186" s="57" t="str">
        <f>IF(Ujian!C193="","",Ujian!C193)</f>
        <v/>
      </c>
      <c r="D186" s="125" t="str">
        <f>IF(Ujian!D193="","",IF(LEFT(Ujian!D193,1)=SEKOR!D$2,1,0))</f>
        <v/>
      </c>
      <c r="E186" s="125" t="str">
        <f>IF(Ujian!E193="","",IF(LEFT(Ujian!E193,1)=SEKOR!E$2,1,0))</f>
        <v/>
      </c>
      <c r="F186" s="125" t="str">
        <f>IF(Ujian!F193="","",IF(LEFT(Ujian!F193,1)=SEKOR!F$2,1,0))</f>
        <v/>
      </c>
      <c r="G186" s="125" t="str">
        <f>IF(Ujian!G193="","",IF(LEFT(Ujian!G193,1)=SEKOR!G$2,1,0))</f>
        <v/>
      </c>
      <c r="H186" s="125" t="str">
        <f>IF(Ujian!H193="","",IF(LEFT(Ujian!H193,1)=SEKOR!H$2,1,0))</f>
        <v/>
      </c>
      <c r="I186" s="125" t="str">
        <f>IF(Ujian!I193="","",IF(LEFT(Ujian!I193,1)=SEKOR!I$2,1,0))</f>
        <v/>
      </c>
      <c r="J186" s="125" t="str">
        <f>IF(Ujian!J193="","",IF(LEFT(Ujian!J193,1)=SEKOR!J$2,1,0))</f>
        <v/>
      </c>
      <c r="K186" s="125" t="str">
        <f>IF(Ujian!K193="","",IF(LEFT(Ujian!K193,1)=SEKOR!K$2,1,0))</f>
        <v/>
      </c>
      <c r="L186" s="125" t="str">
        <f>IF(Ujian!L193="","",IF(LEFT(Ujian!L193,1)=SEKOR!L$2,1,0))</f>
        <v/>
      </c>
      <c r="M186" s="125" t="str">
        <f>IF(Ujian!M193="","",IF(LEFT(Ujian!M193,1)=SEKOR!M$2,1,0))</f>
        <v/>
      </c>
      <c r="N186" s="125" t="str">
        <f>IF(Ujian!N193="","",IF(LEFT(Ujian!N193,1)=SEKOR!N$2,1,0))</f>
        <v/>
      </c>
      <c r="O186" s="125" t="str">
        <f>IF(Ujian!O193="","",IF(LEFT(Ujian!O193,1)=SEKOR!O$2,1,0))</f>
        <v/>
      </c>
      <c r="P186" s="125" t="str">
        <f>IF(Ujian!P193="","",IF(LEFT(Ujian!P193,1)=SEKOR!P$2,1,0))</f>
        <v/>
      </c>
      <c r="Q186" s="125" t="str">
        <f>IF(Ujian!Q193="","",IF(LEFT(Ujian!Q193,1)=SEKOR!Q$2,1,0))</f>
        <v/>
      </c>
      <c r="R186" s="125" t="str">
        <f>IF(Ujian!R193="","",IF(LEFT(Ujian!R193,1)=SEKOR!R$2,1,0))</f>
        <v/>
      </c>
      <c r="S186" s="125" t="str">
        <f>IF(Ujian!S193="","",IF(LEFT(Ujian!S193,1)=SEKOR!S$2,1,0))</f>
        <v/>
      </c>
      <c r="T186" s="125" t="str">
        <f>IF(Ujian!T193="","",IF(LEFT(Ujian!T193,1)=SEKOR!T$2,1,0))</f>
        <v/>
      </c>
      <c r="U186" s="125" t="str">
        <f>IF(Ujian!U193="","",IF(LEFT(Ujian!U193,1)=SEKOR!U$2,1,0))</f>
        <v/>
      </c>
      <c r="V186" s="125" t="str">
        <f>IF(Ujian!V193="","",IF(LEFT(Ujian!V193,1)=SEKOR!V$2,1,0))</f>
        <v/>
      </c>
      <c r="W186" s="125" t="str">
        <f>IF(Ujian!W193="","",IF(LEFT(Ujian!W193,1)=SEKOR!W$2,1,0))</f>
        <v/>
      </c>
      <c r="X186" s="125" t="str">
        <f>IF(Ujian!X193="","",IF(LEFT(Ujian!X193,1)=SEKOR!X$2,1,0))</f>
        <v/>
      </c>
      <c r="Y186" s="125" t="str">
        <f>IF(Ujian!Y193="","",IF(LEFT(Ujian!Y193,1)=SEKOR!Y$2,1,0))</f>
        <v/>
      </c>
      <c r="Z186" s="125" t="str">
        <f>IF(Ujian!Z193="","",IF(LEFT(Ujian!Z193,1)=SEKOR!Z$2,1,0))</f>
        <v/>
      </c>
      <c r="AA186" s="125" t="str">
        <f>IF(Ujian!AA193="","",IF(LEFT(Ujian!AA193,1)=SEKOR!AA$2,1,0))</f>
        <v/>
      </c>
      <c r="AB186" s="125" t="str">
        <f>IF(Ujian!AB193="","",IF(LEFT(Ujian!AB193,1)=SEKOR!AB$2,1,0))</f>
        <v/>
      </c>
      <c r="AC186" s="125" t="str">
        <f>IF(Ujian!AC193="","",IF(LEFT(Ujian!AC193,1)=SEKOR!AC$2,1,0))</f>
        <v/>
      </c>
      <c r="AD186" s="125" t="str">
        <f>IF(Ujian!AD193="","",IF(LEFT(Ujian!AD193,1)=SEKOR!AD$2,1,0))</f>
        <v/>
      </c>
      <c r="AE186" s="125" t="str">
        <f>IF(Ujian!AE193="","",IF(LEFT(Ujian!AE193,1)=SEKOR!AE$2,1,0))</f>
        <v/>
      </c>
      <c r="AF186" s="125" t="str">
        <f>IF(Ujian!AF193="","",IF(LEFT(Ujian!AF193,1)=SEKOR!AF$2,1,0))</f>
        <v/>
      </c>
      <c r="AG186" s="125" t="str">
        <f>IF(Ujian!AG193="","",IF(LEFT(Ujian!AG193,1)=SEKOR!AG$2,1,0))</f>
        <v/>
      </c>
      <c r="AH186" s="125" t="str">
        <f>IF(Ujian!AH193="","",IF(LEFT(Ujian!AH193,1)=SEKOR!AH$2,1,0))</f>
        <v/>
      </c>
      <c r="AI186" s="125" t="str">
        <f>IF(Ujian!AI193="","",IF(LEFT(Ujian!AI193,1)=SEKOR!AI$2,1,0))</f>
        <v/>
      </c>
      <c r="AJ186" s="125" t="str">
        <f>IF(Ujian!AJ193="","",IF(LEFT(Ujian!AJ193,1)=SEKOR!AJ$2,1,0))</f>
        <v/>
      </c>
      <c r="AK186" s="125" t="str">
        <f>IF(Ujian!AK193="","",IF(LEFT(Ujian!AK193,1)=SEKOR!AK$2,1,0))</f>
        <v/>
      </c>
      <c r="AL186" s="125" t="str">
        <f>IF(Ujian!AL193="","",IF(LEFT(Ujian!AL193,1)=SEKOR!AL$2,1,0))</f>
        <v/>
      </c>
      <c r="AM186" s="125" t="str">
        <f>IF(Ujian!AM193="","",IF(LEFT(Ujian!AM193,1)=SEKOR!AM$2,1,0))</f>
        <v/>
      </c>
      <c r="AN186" s="125" t="str">
        <f>IF(Ujian!AN193="","",IF(LEFT(Ujian!AN193,1)=SEKOR!AN$2,1,0))</f>
        <v/>
      </c>
      <c r="AO186" s="125" t="str">
        <f>IF(Ujian!AO193="","",IF(LEFT(Ujian!AO193,1)=SEKOR!AO$2,1,0))</f>
        <v/>
      </c>
      <c r="AP186" s="125" t="str">
        <f>IF(Ujian!AP193="","",IF(LEFT(Ujian!AP193,1)=SEKOR!AP$2,1,0))</f>
        <v/>
      </c>
      <c r="AQ186" s="125" t="str">
        <f>IF(Ujian!AQ193="","",IF(LEFT(Ujian!AQ193,1)=SEKOR!AQ$2,1,0))</f>
        <v/>
      </c>
      <c r="AR186" s="125" t="str">
        <f>IF(Ujian!AR193="","",IF(LEFT(Ujian!AR193,1)=SEKOR!AR$2,1,0))</f>
        <v/>
      </c>
      <c r="AS186" s="125" t="str">
        <f>IF(Ujian!AS193="","",IF(LEFT(Ujian!AS193,1)=SEKOR!AS$2,1,0))</f>
        <v/>
      </c>
      <c r="AT186" s="125" t="str">
        <f>IF(Ujian!AT193="","",IF(LEFT(Ujian!AT193,1)=SEKOR!AT$2,1,0))</f>
        <v/>
      </c>
      <c r="AU186" s="125" t="str">
        <f>IF(Ujian!AU193="","",IF(LEFT(Ujian!AU193,1)=SEKOR!AU$2,1,0))</f>
        <v/>
      </c>
      <c r="AV186" s="125" t="str">
        <f>IF(Ujian!AV193="","",IF(LEFT(Ujian!AV193,1)=SEKOR!AV$2,1,0))</f>
        <v/>
      </c>
      <c r="AW186" s="125" t="str">
        <f>IF(Ujian!AW193="","",IF(LEFT(Ujian!AW193,1)=SEKOR!AW$2,1,0))</f>
        <v/>
      </c>
      <c r="AX186" s="125" t="str">
        <f>IF(Ujian!AX193="","",IF(LEFT(Ujian!AX193,1)=SEKOR!AX$2,1,0))</f>
        <v/>
      </c>
      <c r="AY186" s="125" t="str">
        <f>IF(Ujian!AY193="","",IF(LEFT(Ujian!AY193,1)=SEKOR!AY$2,1,0))</f>
        <v/>
      </c>
      <c r="AZ186" s="125" t="str">
        <f>IF(Ujian!AZ193="","",IF(LEFT(Ujian!AZ193,1)=SEKOR!AZ$2,1,0))</f>
        <v/>
      </c>
      <c r="BA186" s="125" t="str">
        <f>IF(Ujian!BA193="","",IF(LEFT(Ujian!BA193,1)=SEKOR!BA$2,1,0))</f>
        <v/>
      </c>
      <c r="BB186" s="125" t="str">
        <f>IF(Ujian!BB193="","",IF(LEFT(Ujian!BB193,1)=SEKOR!BB$2,1,0))</f>
        <v/>
      </c>
      <c r="BC186" s="125" t="str">
        <f>IF(Ujian!BC193="","",IF(LEFT(Ujian!BC193,1)=SEKOR!BC$2,1,0))</f>
        <v/>
      </c>
      <c r="BD186" s="125" t="str">
        <f>IF(Ujian!BD193="","",IF(LEFT(Ujian!BD193,1)=SEKOR!BD$2,1,0))</f>
        <v/>
      </c>
      <c r="BE186" s="125" t="str">
        <f>IF(Ujian!BE193="","",IF(LEFT(Ujian!BE193,1)=SEKOR!BE$2,1,0))</f>
        <v/>
      </c>
      <c r="BF186" s="125" t="str">
        <f>IF(Ujian!BF193="","",IF(LEFT(Ujian!BF193,1)=SEKOR!BF$2,1,0))</f>
        <v/>
      </c>
      <c r="BG186" s="125" t="str">
        <f>IF(Ujian!BG193="","",IF(LEFT(Ujian!BG193,1)=SEKOR!BG$2,1,0))</f>
        <v/>
      </c>
      <c r="BH186" s="125" t="str">
        <f>IF(Ujian!BH193="","",IF(LEFT(Ujian!BH193,1)=SEKOR!BH$2,1,0))</f>
        <v/>
      </c>
      <c r="BI186" s="125" t="str">
        <f>IF(Ujian!BI193="","",IF(LEFT(Ujian!BI193,1)=SEKOR!BI$2,1,0))</f>
        <v/>
      </c>
      <c r="BJ186" s="125" t="str">
        <f>IF(Ujian!BJ193="","",IF(LEFT(Ujian!BJ193,1)=SEKOR!BJ$2,1,0))</f>
        <v/>
      </c>
      <c r="BK186" s="125" t="str">
        <f>IF(Ujian!BK193="","",IF(LEFT(Ujian!BK193,1)=SEKOR!BK$2,1,0))</f>
        <v/>
      </c>
      <c r="BL186" s="18">
        <f t="shared" si="4"/>
        <v>0</v>
      </c>
      <c r="BM186" s="18">
        <f>COUNTIF($D186:$BK186,"")+DATA!$F$14-DATA!$F$12</f>
        <v>60</v>
      </c>
      <c r="BN186" s="17">
        <f>IF(COUNTIF($D186:$BK186,1)&gt;DATA!$F$14,DATA!$F$14,COUNTIF($D186:$BK186,1))</f>
        <v>0</v>
      </c>
      <c r="BO186" s="17">
        <f>IF((BN186+COUNTIF($D186:$BK186,0))&lt;=DATA!$F$14,COUNTIF($D186:$BK186,0),DATA!$F$14-SEKOR!BN186)</f>
        <v>0</v>
      </c>
      <c r="BP186" s="4" t="str">
        <f>IF(BL186=0,"",BN186/DATA!$F$14*100)</f>
        <v/>
      </c>
      <c r="BQ186" s="121" t="str">
        <f t="shared" si="5"/>
        <v/>
      </c>
      <c r="BR186" s="2" t="str">
        <f>IF(Praktik!$E186=0,"",Praktik!$E186)</f>
        <v/>
      </c>
      <c r="BS186" s="2" t="str">
        <f>IF(BR186="","",(BP186*DATAINFO!$O$4)+(SEKOR!BR186*DATAINFO!$O$5)/(DATAINFO!$O$4+DATAINFO!$O$5))</f>
        <v/>
      </c>
      <c r="BT186" s="2" t="str">
        <f>IF(BL186=0,"",IF(DATA!$F$18="TIDAK",ROUNDUP((IF!$L$8*SEKOR!$BP186)+IF!$L$9,0),IF($BR186="","",ROUNDUP((IF!$L$20*$BS186)+IF!$L$21,0))))</f>
        <v/>
      </c>
      <c r="BU186" s="47" t="str">
        <f>IF(BP186="","",IF(SEKOR!BP186&gt;=DATA!$J$12,1,0))</f>
        <v/>
      </c>
      <c r="BV186" s="47" t="str">
        <f>IF(BQ186="","",IF(SEKOR!BQ186&gt;=DATA!$J$12,1,0))</f>
        <v/>
      </c>
      <c r="BW186" s="47" t="str">
        <f>IF(BR186="","",IF(SEKOR!BR186&gt;=DATA!$J$12,1,0))</f>
        <v/>
      </c>
      <c r="BX186" s="47" t="str">
        <f>IF(BT186="","",IF(DATA!$J$14="",IF(SEKOR!BT186&gt;=DATA!$J$12,1,0),IF(SEKOR!BT186&gt;=DATA!$J$14,1,0)))</f>
        <v/>
      </c>
    </row>
    <row r="187" spans="1:76" x14ac:dyDescent="0.25">
      <c r="A187" s="20" t="s">
        <v>214</v>
      </c>
      <c r="B187" s="21" t="str">
        <f>IF(Ujian!B194="","",Ujian!B194)</f>
        <v/>
      </c>
      <c r="C187" s="57" t="str">
        <f>IF(Ujian!C194="","",Ujian!C194)</f>
        <v/>
      </c>
      <c r="D187" s="125" t="str">
        <f>IF(Ujian!D194="","",IF(LEFT(Ujian!D194,1)=SEKOR!D$2,1,0))</f>
        <v/>
      </c>
      <c r="E187" s="125" t="str">
        <f>IF(Ujian!E194="","",IF(LEFT(Ujian!E194,1)=SEKOR!E$2,1,0))</f>
        <v/>
      </c>
      <c r="F187" s="125" t="str">
        <f>IF(Ujian!F194="","",IF(LEFT(Ujian!F194,1)=SEKOR!F$2,1,0))</f>
        <v/>
      </c>
      <c r="G187" s="125" t="str">
        <f>IF(Ujian!G194="","",IF(LEFT(Ujian!G194,1)=SEKOR!G$2,1,0))</f>
        <v/>
      </c>
      <c r="H187" s="125" t="str">
        <f>IF(Ujian!H194="","",IF(LEFT(Ujian!H194,1)=SEKOR!H$2,1,0))</f>
        <v/>
      </c>
      <c r="I187" s="125" t="str">
        <f>IF(Ujian!I194="","",IF(LEFT(Ujian!I194,1)=SEKOR!I$2,1,0))</f>
        <v/>
      </c>
      <c r="J187" s="125" t="str">
        <f>IF(Ujian!J194="","",IF(LEFT(Ujian!J194,1)=SEKOR!J$2,1,0))</f>
        <v/>
      </c>
      <c r="K187" s="125" t="str">
        <f>IF(Ujian!K194="","",IF(LEFT(Ujian!K194,1)=SEKOR!K$2,1,0))</f>
        <v/>
      </c>
      <c r="L187" s="125" t="str">
        <f>IF(Ujian!L194="","",IF(LEFT(Ujian!L194,1)=SEKOR!L$2,1,0))</f>
        <v/>
      </c>
      <c r="M187" s="125" t="str">
        <f>IF(Ujian!M194="","",IF(LEFT(Ujian!M194,1)=SEKOR!M$2,1,0))</f>
        <v/>
      </c>
      <c r="N187" s="125" t="str">
        <f>IF(Ujian!N194="","",IF(LEFT(Ujian!N194,1)=SEKOR!N$2,1,0))</f>
        <v/>
      </c>
      <c r="O187" s="125" t="str">
        <f>IF(Ujian!O194="","",IF(LEFT(Ujian!O194,1)=SEKOR!O$2,1,0))</f>
        <v/>
      </c>
      <c r="P187" s="125" t="str">
        <f>IF(Ujian!P194="","",IF(LEFT(Ujian!P194,1)=SEKOR!P$2,1,0))</f>
        <v/>
      </c>
      <c r="Q187" s="125" t="str">
        <f>IF(Ujian!Q194="","",IF(LEFT(Ujian!Q194,1)=SEKOR!Q$2,1,0))</f>
        <v/>
      </c>
      <c r="R187" s="125" t="str">
        <f>IF(Ujian!R194="","",IF(LEFT(Ujian!R194,1)=SEKOR!R$2,1,0))</f>
        <v/>
      </c>
      <c r="S187" s="125" t="str">
        <f>IF(Ujian!S194="","",IF(LEFT(Ujian!S194,1)=SEKOR!S$2,1,0))</f>
        <v/>
      </c>
      <c r="T187" s="125" t="str">
        <f>IF(Ujian!T194="","",IF(LEFT(Ujian!T194,1)=SEKOR!T$2,1,0))</f>
        <v/>
      </c>
      <c r="U187" s="125" t="str">
        <f>IF(Ujian!U194="","",IF(LEFT(Ujian!U194,1)=SEKOR!U$2,1,0))</f>
        <v/>
      </c>
      <c r="V187" s="125" t="str">
        <f>IF(Ujian!V194="","",IF(LEFT(Ujian!V194,1)=SEKOR!V$2,1,0))</f>
        <v/>
      </c>
      <c r="W187" s="125" t="str">
        <f>IF(Ujian!W194="","",IF(LEFT(Ujian!W194,1)=SEKOR!W$2,1,0))</f>
        <v/>
      </c>
      <c r="X187" s="125" t="str">
        <f>IF(Ujian!X194="","",IF(LEFT(Ujian!X194,1)=SEKOR!X$2,1,0))</f>
        <v/>
      </c>
      <c r="Y187" s="125" t="str">
        <f>IF(Ujian!Y194="","",IF(LEFT(Ujian!Y194,1)=SEKOR!Y$2,1,0))</f>
        <v/>
      </c>
      <c r="Z187" s="125" t="str">
        <f>IF(Ujian!Z194="","",IF(LEFT(Ujian!Z194,1)=SEKOR!Z$2,1,0))</f>
        <v/>
      </c>
      <c r="AA187" s="125" t="str">
        <f>IF(Ujian!AA194="","",IF(LEFT(Ujian!AA194,1)=SEKOR!AA$2,1,0))</f>
        <v/>
      </c>
      <c r="AB187" s="125" t="str">
        <f>IF(Ujian!AB194="","",IF(LEFT(Ujian!AB194,1)=SEKOR!AB$2,1,0))</f>
        <v/>
      </c>
      <c r="AC187" s="125" t="str">
        <f>IF(Ujian!AC194="","",IF(LEFT(Ujian!AC194,1)=SEKOR!AC$2,1,0))</f>
        <v/>
      </c>
      <c r="AD187" s="125" t="str">
        <f>IF(Ujian!AD194="","",IF(LEFT(Ujian!AD194,1)=SEKOR!AD$2,1,0))</f>
        <v/>
      </c>
      <c r="AE187" s="125" t="str">
        <f>IF(Ujian!AE194="","",IF(LEFT(Ujian!AE194,1)=SEKOR!AE$2,1,0))</f>
        <v/>
      </c>
      <c r="AF187" s="125" t="str">
        <f>IF(Ujian!AF194="","",IF(LEFT(Ujian!AF194,1)=SEKOR!AF$2,1,0))</f>
        <v/>
      </c>
      <c r="AG187" s="125" t="str">
        <f>IF(Ujian!AG194="","",IF(LEFT(Ujian!AG194,1)=SEKOR!AG$2,1,0))</f>
        <v/>
      </c>
      <c r="AH187" s="125" t="str">
        <f>IF(Ujian!AH194="","",IF(LEFT(Ujian!AH194,1)=SEKOR!AH$2,1,0))</f>
        <v/>
      </c>
      <c r="AI187" s="125" t="str">
        <f>IF(Ujian!AI194="","",IF(LEFT(Ujian!AI194,1)=SEKOR!AI$2,1,0))</f>
        <v/>
      </c>
      <c r="AJ187" s="125" t="str">
        <f>IF(Ujian!AJ194="","",IF(LEFT(Ujian!AJ194,1)=SEKOR!AJ$2,1,0))</f>
        <v/>
      </c>
      <c r="AK187" s="125" t="str">
        <f>IF(Ujian!AK194="","",IF(LEFT(Ujian!AK194,1)=SEKOR!AK$2,1,0))</f>
        <v/>
      </c>
      <c r="AL187" s="125" t="str">
        <f>IF(Ujian!AL194="","",IF(LEFT(Ujian!AL194,1)=SEKOR!AL$2,1,0))</f>
        <v/>
      </c>
      <c r="AM187" s="125" t="str">
        <f>IF(Ujian!AM194="","",IF(LEFT(Ujian!AM194,1)=SEKOR!AM$2,1,0))</f>
        <v/>
      </c>
      <c r="AN187" s="125" t="str">
        <f>IF(Ujian!AN194="","",IF(LEFT(Ujian!AN194,1)=SEKOR!AN$2,1,0))</f>
        <v/>
      </c>
      <c r="AO187" s="125" t="str">
        <f>IF(Ujian!AO194="","",IF(LEFT(Ujian!AO194,1)=SEKOR!AO$2,1,0))</f>
        <v/>
      </c>
      <c r="AP187" s="125" t="str">
        <f>IF(Ujian!AP194="","",IF(LEFT(Ujian!AP194,1)=SEKOR!AP$2,1,0))</f>
        <v/>
      </c>
      <c r="AQ187" s="125" t="str">
        <f>IF(Ujian!AQ194="","",IF(LEFT(Ujian!AQ194,1)=SEKOR!AQ$2,1,0))</f>
        <v/>
      </c>
      <c r="AR187" s="125" t="str">
        <f>IF(Ujian!AR194="","",IF(LEFT(Ujian!AR194,1)=SEKOR!AR$2,1,0))</f>
        <v/>
      </c>
      <c r="AS187" s="125" t="str">
        <f>IF(Ujian!AS194="","",IF(LEFT(Ujian!AS194,1)=SEKOR!AS$2,1,0))</f>
        <v/>
      </c>
      <c r="AT187" s="125" t="str">
        <f>IF(Ujian!AT194="","",IF(LEFT(Ujian!AT194,1)=SEKOR!AT$2,1,0))</f>
        <v/>
      </c>
      <c r="AU187" s="125" t="str">
        <f>IF(Ujian!AU194="","",IF(LEFT(Ujian!AU194,1)=SEKOR!AU$2,1,0))</f>
        <v/>
      </c>
      <c r="AV187" s="125" t="str">
        <f>IF(Ujian!AV194="","",IF(LEFT(Ujian!AV194,1)=SEKOR!AV$2,1,0))</f>
        <v/>
      </c>
      <c r="AW187" s="125" t="str">
        <f>IF(Ujian!AW194="","",IF(LEFT(Ujian!AW194,1)=SEKOR!AW$2,1,0))</f>
        <v/>
      </c>
      <c r="AX187" s="125" t="str">
        <f>IF(Ujian!AX194="","",IF(LEFT(Ujian!AX194,1)=SEKOR!AX$2,1,0))</f>
        <v/>
      </c>
      <c r="AY187" s="125" t="str">
        <f>IF(Ujian!AY194="","",IF(LEFT(Ujian!AY194,1)=SEKOR!AY$2,1,0))</f>
        <v/>
      </c>
      <c r="AZ187" s="125" t="str">
        <f>IF(Ujian!AZ194="","",IF(LEFT(Ujian!AZ194,1)=SEKOR!AZ$2,1,0))</f>
        <v/>
      </c>
      <c r="BA187" s="125" t="str">
        <f>IF(Ujian!BA194="","",IF(LEFT(Ujian!BA194,1)=SEKOR!BA$2,1,0))</f>
        <v/>
      </c>
      <c r="BB187" s="125" t="str">
        <f>IF(Ujian!BB194="","",IF(LEFT(Ujian!BB194,1)=SEKOR!BB$2,1,0))</f>
        <v/>
      </c>
      <c r="BC187" s="125" t="str">
        <f>IF(Ujian!BC194="","",IF(LEFT(Ujian!BC194,1)=SEKOR!BC$2,1,0))</f>
        <v/>
      </c>
      <c r="BD187" s="125" t="str">
        <f>IF(Ujian!BD194="","",IF(LEFT(Ujian!BD194,1)=SEKOR!BD$2,1,0))</f>
        <v/>
      </c>
      <c r="BE187" s="125" t="str">
        <f>IF(Ujian!BE194="","",IF(LEFT(Ujian!BE194,1)=SEKOR!BE$2,1,0))</f>
        <v/>
      </c>
      <c r="BF187" s="125" t="str">
        <f>IF(Ujian!BF194="","",IF(LEFT(Ujian!BF194,1)=SEKOR!BF$2,1,0))</f>
        <v/>
      </c>
      <c r="BG187" s="125" t="str">
        <f>IF(Ujian!BG194="","",IF(LEFT(Ujian!BG194,1)=SEKOR!BG$2,1,0))</f>
        <v/>
      </c>
      <c r="BH187" s="125" t="str">
        <f>IF(Ujian!BH194="","",IF(LEFT(Ujian!BH194,1)=SEKOR!BH$2,1,0))</f>
        <v/>
      </c>
      <c r="BI187" s="125" t="str">
        <f>IF(Ujian!BI194="","",IF(LEFT(Ujian!BI194,1)=SEKOR!BI$2,1,0))</f>
        <v/>
      </c>
      <c r="BJ187" s="125" t="str">
        <f>IF(Ujian!BJ194="","",IF(LEFT(Ujian!BJ194,1)=SEKOR!BJ$2,1,0))</f>
        <v/>
      </c>
      <c r="BK187" s="125" t="str">
        <f>IF(Ujian!BK194="","",IF(LEFT(Ujian!BK194,1)=SEKOR!BK$2,1,0))</f>
        <v/>
      </c>
      <c r="BL187" s="18">
        <f t="shared" si="4"/>
        <v>0</v>
      </c>
      <c r="BM187" s="18">
        <f>COUNTIF($D187:$BK187,"")+DATA!$F$14-DATA!$F$12</f>
        <v>60</v>
      </c>
      <c r="BN187" s="17">
        <f>IF(COUNTIF($D187:$BK187,1)&gt;DATA!$F$14,DATA!$F$14,COUNTIF($D187:$BK187,1))</f>
        <v>0</v>
      </c>
      <c r="BO187" s="17">
        <f>IF((BN187+COUNTIF($D187:$BK187,0))&lt;=DATA!$F$14,COUNTIF($D187:$BK187,0),DATA!$F$14-SEKOR!BN187)</f>
        <v>0</v>
      </c>
      <c r="BP187" s="4" t="str">
        <f>IF(BL187=0,"",BN187/DATA!$F$14*100)</f>
        <v/>
      </c>
      <c r="BQ187" s="121" t="str">
        <f t="shared" si="5"/>
        <v/>
      </c>
      <c r="BR187" s="2" t="str">
        <f>IF(Praktik!$E187=0,"",Praktik!$E187)</f>
        <v/>
      </c>
      <c r="BS187" s="2" t="str">
        <f>IF(BR187="","",(BP187*DATAINFO!$O$4)+(SEKOR!BR187*DATAINFO!$O$5)/(DATAINFO!$O$4+DATAINFO!$O$5))</f>
        <v/>
      </c>
      <c r="BT187" s="2" t="str">
        <f>IF(BL187=0,"",IF(DATA!$F$18="TIDAK",ROUNDUP((IF!$L$8*SEKOR!$BP187)+IF!$L$9,0),IF($BR187="","",ROUNDUP((IF!$L$20*$BS187)+IF!$L$21,0))))</f>
        <v/>
      </c>
      <c r="BU187" s="47" t="str">
        <f>IF(BP187="","",IF(SEKOR!BP187&gt;=DATA!$J$12,1,0))</f>
        <v/>
      </c>
      <c r="BV187" s="47" t="str">
        <f>IF(BQ187="","",IF(SEKOR!BQ187&gt;=DATA!$J$12,1,0))</f>
        <v/>
      </c>
      <c r="BW187" s="47" t="str">
        <f>IF(BR187="","",IF(SEKOR!BR187&gt;=DATA!$J$12,1,0))</f>
        <v/>
      </c>
      <c r="BX187" s="47" t="str">
        <f>IF(BT187="","",IF(DATA!$J$14="",IF(SEKOR!BT187&gt;=DATA!$J$12,1,0),IF(SEKOR!BT187&gt;=DATA!$J$14,1,0)))</f>
        <v/>
      </c>
    </row>
    <row r="188" spans="1:76" x14ac:dyDescent="0.25">
      <c r="A188" s="20" t="s">
        <v>215</v>
      </c>
      <c r="B188" s="21" t="str">
        <f>IF(Ujian!B195="","",Ujian!B195)</f>
        <v/>
      </c>
      <c r="C188" s="57" t="str">
        <f>IF(Ujian!C195="","",Ujian!C195)</f>
        <v/>
      </c>
      <c r="D188" s="125" t="str">
        <f>IF(Ujian!D195="","",IF(LEFT(Ujian!D195,1)=SEKOR!D$2,1,0))</f>
        <v/>
      </c>
      <c r="E188" s="125" t="str">
        <f>IF(Ujian!E195="","",IF(LEFT(Ujian!E195,1)=SEKOR!E$2,1,0))</f>
        <v/>
      </c>
      <c r="F188" s="125" t="str">
        <f>IF(Ujian!F195="","",IF(LEFT(Ujian!F195,1)=SEKOR!F$2,1,0))</f>
        <v/>
      </c>
      <c r="G188" s="125" t="str">
        <f>IF(Ujian!G195="","",IF(LEFT(Ujian!G195,1)=SEKOR!G$2,1,0))</f>
        <v/>
      </c>
      <c r="H188" s="125" t="str">
        <f>IF(Ujian!H195="","",IF(LEFT(Ujian!H195,1)=SEKOR!H$2,1,0))</f>
        <v/>
      </c>
      <c r="I188" s="125" t="str">
        <f>IF(Ujian!I195="","",IF(LEFT(Ujian!I195,1)=SEKOR!I$2,1,0))</f>
        <v/>
      </c>
      <c r="J188" s="125" t="str">
        <f>IF(Ujian!J195="","",IF(LEFT(Ujian!J195,1)=SEKOR!J$2,1,0))</f>
        <v/>
      </c>
      <c r="K188" s="125" t="str">
        <f>IF(Ujian!K195="","",IF(LEFT(Ujian!K195,1)=SEKOR!K$2,1,0))</f>
        <v/>
      </c>
      <c r="L188" s="125" t="str">
        <f>IF(Ujian!L195="","",IF(LEFT(Ujian!L195,1)=SEKOR!L$2,1,0))</f>
        <v/>
      </c>
      <c r="M188" s="125" t="str">
        <f>IF(Ujian!M195="","",IF(LEFT(Ujian!M195,1)=SEKOR!M$2,1,0))</f>
        <v/>
      </c>
      <c r="N188" s="125" t="str">
        <f>IF(Ujian!N195="","",IF(LEFT(Ujian!N195,1)=SEKOR!N$2,1,0))</f>
        <v/>
      </c>
      <c r="O188" s="125" t="str">
        <f>IF(Ujian!O195="","",IF(LEFT(Ujian!O195,1)=SEKOR!O$2,1,0))</f>
        <v/>
      </c>
      <c r="P188" s="125" t="str">
        <f>IF(Ujian!P195="","",IF(LEFT(Ujian!P195,1)=SEKOR!P$2,1,0))</f>
        <v/>
      </c>
      <c r="Q188" s="125" t="str">
        <f>IF(Ujian!Q195="","",IF(LEFT(Ujian!Q195,1)=SEKOR!Q$2,1,0))</f>
        <v/>
      </c>
      <c r="R188" s="125" t="str">
        <f>IF(Ujian!R195="","",IF(LEFT(Ujian!R195,1)=SEKOR!R$2,1,0))</f>
        <v/>
      </c>
      <c r="S188" s="125" t="str">
        <f>IF(Ujian!S195="","",IF(LEFT(Ujian!S195,1)=SEKOR!S$2,1,0))</f>
        <v/>
      </c>
      <c r="T188" s="125" t="str">
        <f>IF(Ujian!T195="","",IF(LEFT(Ujian!T195,1)=SEKOR!T$2,1,0))</f>
        <v/>
      </c>
      <c r="U188" s="125" t="str">
        <f>IF(Ujian!U195="","",IF(LEFT(Ujian!U195,1)=SEKOR!U$2,1,0))</f>
        <v/>
      </c>
      <c r="V188" s="125" t="str">
        <f>IF(Ujian!V195="","",IF(LEFT(Ujian!V195,1)=SEKOR!V$2,1,0))</f>
        <v/>
      </c>
      <c r="W188" s="125" t="str">
        <f>IF(Ujian!W195="","",IF(LEFT(Ujian!W195,1)=SEKOR!W$2,1,0))</f>
        <v/>
      </c>
      <c r="X188" s="125" t="str">
        <f>IF(Ujian!X195="","",IF(LEFT(Ujian!X195,1)=SEKOR!X$2,1,0))</f>
        <v/>
      </c>
      <c r="Y188" s="125" t="str">
        <f>IF(Ujian!Y195="","",IF(LEFT(Ujian!Y195,1)=SEKOR!Y$2,1,0))</f>
        <v/>
      </c>
      <c r="Z188" s="125" t="str">
        <f>IF(Ujian!Z195="","",IF(LEFT(Ujian!Z195,1)=SEKOR!Z$2,1,0))</f>
        <v/>
      </c>
      <c r="AA188" s="125" t="str">
        <f>IF(Ujian!AA195="","",IF(LEFT(Ujian!AA195,1)=SEKOR!AA$2,1,0))</f>
        <v/>
      </c>
      <c r="AB188" s="125" t="str">
        <f>IF(Ujian!AB195="","",IF(LEFT(Ujian!AB195,1)=SEKOR!AB$2,1,0))</f>
        <v/>
      </c>
      <c r="AC188" s="125" t="str">
        <f>IF(Ujian!AC195="","",IF(LEFT(Ujian!AC195,1)=SEKOR!AC$2,1,0))</f>
        <v/>
      </c>
      <c r="AD188" s="125" t="str">
        <f>IF(Ujian!AD195="","",IF(LEFT(Ujian!AD195,1)=SEKOR!AD$2,1,0))</f>
        <v/>
      </c>
      <c r="AE188" s="125" t="str">
        <f>IF(Ujian!AE195="","",IF(LEFT(Ujian!AE195,1)=SEKOR!AE$2,1,0))</f>
        <v/>
      </c>
      <c r="AF188" s="125" t="str">
        <f>IF(Ujian!AF195="","",IF(LEFT(Ujian!AF195,1)=SEKOR!AF$2,1,0))</f>
        <v/>
      </c>
      <c r="AG188" s="125" t="str">
        <f>IF(Ujian!AG195="","",IF(LEFT(Ujian!AG195,1)=SEKOR!AG$2,1,0))</f>
        <v/>
      </c>
      <c r="AH188" s="125" t="str">
        <f>IF(Ujian!AH195="","",IF(LEFT(Ujian!AH195,1)=SEKOR!AH$2,1,0))</f>
        <v/>
      </c>
      <c r="AI188" s="125" t="str">
        <f>IF(Ujian!AI195="","",IF(LEFT(Ujian!AI195,1)=SEKOR!AI$2,1,0))</f>
        <v/>
      </c>
      <c r="AJ188" s="125" t="str">
        <f>IF(Ujian!AJ195="","",IF(LEFT(Ujian!AJ195,1)=SEKOR!AJ$2,1,0))</f>
        <v/>
      </c>
      <c r="AK188" s="125" t="str">
        <f>IF(Ujian!AK195="","",IF(LEFT(Ujian!AK195,1)=SEKOR!AK$2,1,0))</f>
        <v/>
      </c>
      <c r="AL188" s="125" t="str">
        <f>IF(Ujian!AL195="","",IF(LEFT(Ujian!AL195,1)=SEKOR!AL$2,1,0))</f>
        <v/>
      </c>
      <c r="AM188" s="125" t="str">
        <f>IF(Ujian!AM195="","",IF(LEFT(Ujian!AM195,1)=SEKOR!AM$2,1,0))</f>
        <v/>
      </c>
      <c r="AN188" s="125" t="str">
        <f>IF(Ujian!AN195="","",IF(LEFT(Ujian!AN195,1)=SEKOR!AN$2,1,0))</f>
        <v/>
      </c>
      <c r="AO188" s="125" t="str">
        <f>IF(Ujian!AO195="","",IF(LEFT(Ujian!AO195,1)=SEKOR!AO$2,1,0))</f>
        <v/>
      </c>
      <c r="AP188" s="125" t="str">
        <f>IF(Ujian!AP195="","",IF(LEFT(Ujian!AP195,1)=SEKOR!AP$2,1,0))</f>
        <v/>
      </c>
      <c r="AQ188" s="125" t="str">
        <f>IF(Ujian!AQ195="","",IF(LEFT(Ujian!AQ195,1)=SEKOR!AQ$2,1,0))</f>
        <v/>
      </c>
      <c r="AR188" s="125" t="str">
        <f>IF(Ujian!AR195="","",IF(LEFT(Ujian!AR195,1)=SEKOR!AR$2,1,0))</f>
        <v/>
      </c>
      <c r="AS188" s="125" t="str">
        <f>IF(Ujian!AS195="","",IF(LEFT(Ujian!AS195,1)=SEKOR!AS$2,1,0))</f>
        <v/>
      </c>
      <c r="AT188" s="125" t="str">
        <f>IF(Ujian!AT195="","",IF(LEFT(Ujian!AT195,1)=SEKOR!AT$2,1,0))</f>
        <v/>
      </c>
      <c r="AU188" s="125" t="str">
        <f>IF(Ujian!AU195="","",IF(LEFT(Ujian!AU195,1)=SEKOR!AU$2,1,0))</f>
        <v/>
      </c>
      <c r="AV188" s="125" t="str">
        <f>IF(Ujian!AV195="","",IF(LEFT(Ujian!AV195,1)=SEKOR!AV$2,1,0))</f>
        <v/>
      </c>
      <c r="AW188" s="125" t="str">
        <f>IF(Ujian!AW195="","",IF(LEFT(Ujian!AW195,1)=SEKOR!AW$2,1,0))</f>
        <v/>
      </c>
      <c r="AX188" s="125" t="str">
        <f>IF(Ujian!AX195="","",IF(LEFT(Ujian!AX195,1)=SEKOR!AX$2,1,0))</f>
        <v/>
      </c>
      <c r="AY188" s="125" t="str">
        <f>IF(Ujian!AY195="","",IF(LEFT(Ujian!AY195,1)=SEKOR!AY$2,1,0))</f>
        <v/>
      </c>
      <c r="AZ188" s="125" t="str">
        <f>IF(Ujian!AZ195="","",IF(LEFT(Ujian!AZ195,1)=SEKOR!AZ$2,1,0))</f>
        <v/>
      </c>
      <c r="BA188" s="125" t="str">
        <f>IF(Ujian!BA195="","",IF(LEFT(Ujian!BA195,1)=SEKOR!BA$2,1,0))</f>
        <v/>
      </c>
      <c r="BB188" s="125" t="str">
        <f>IF(Ujian!BB195="","",IF(LEFT(Ujian!BB195,1)=SEKOR!BB$2,1,0))</f>
        <v/>
      </c>
      <c r="BC188" s="125" t="str">
        <f>IF(Ujian!BC195="","",IF(LEFT(Ujian!BC195,1)=SEKOR!BC$2,1,0))</f>
        <v/>
      </c>
      <c r="BD188" s="125" t="str">
        <f>IF(Ujian!BD195="","",IF(LEFT(Ujian!BD195,1)=SEKOR!BD$2,1,0))</f>
        <v/>
      </c>
      <c r="BE188" s="125" t="str">
        <f>IF(Ujian!BE195="","",IF(LEFT(Ujian!BE195,1)=SEKOR!BE$2,1,0))</f>
        <v/>
      </c>
      <c r="BF188" s="125" t="str">
        <f>IF(Ujian!BF195="","",IF(LEFT(Ujian!BF195,1)=SEKOR!BF$2,1,0))</f>
        <v/>
      </c>
      <c r="BG188" s="125" t="str">
        <f>IF(Ujian!BG195="","",IF(LEFT(Ujian!BG195,1)=SEKOR!BG$2,1,0))</f>
        <v/>
      </c>
      <c r="BH188" s="125" t="str">
        <f>IF(Ujian!BH195="","",IF(LEFT(Ujian!BH195,1)=SEKOR!BH$2,1,0))</f>
        <v/>
      </c>
      <c r="BI188" s="125" t="str">
        <f>IF(Ujian!BI195="","",IF(LEFT(Ujian!BI195,1)=SEKOR!BI$2,1,0))</f>
        <v/>
      </c>
      <c r="BJ188" s="125" t="str">
        <f>IF(Ujian!BJ195="","",IF(LEFT(Ujian!BJ195,1)=SEKOR!BJ$2,1,0))</f>
        <v/>
      </c>
      <c r="BK188" s="125" t="str">
        <f>IF(Ujian!BK195="","",IF(LEFT(Ujian!BK195,1)=SEKOR!BK$2,1,0))</f>
        <v/>
      </c>
      <c r="BL188" s="18">
        <f t="shared" si="4"/>
        <v>0</v>
      </c>
      <c r="BM188" s="18">
        <f>COUNTIF($D188:$BK188,"")+DATA!$F$14-DATA!$F$12</f>
        <v>60</v>
      </c>
      <c r="BN188" s="17">
        <f>IF(COUNTIF($D188:$BK188,1)&gt;DATA!$F$14,DATA!$F$14,COUNTIF($D188:$BK188,1))</f>
        <v>0</v>
      </c>
      <c r="BO188" s="17">
        <f>IF((BN188+COUNTIF($D188:$BK188,0))&lt;=DATA!$F$14,COUNTIF($D188:$BK188,0),DATA!$F$14-SEKOR!BN188)</f>
        <v>0</v>
      </c>
      <c r="BP188" s="4" t="str">
        <f>IF(BL188=0,"",BN188/DATA!$F$14*100)</f>
        <v/>
      </c>
      <c r="BQ188" s="121" t="str">
        <f t="shared" si="5"/>
        <v/>
      </c>
      <c r="BR188" s="2" t="str">
        <f>IF(Praktik!$E188=0,"",Praktik!$E188)</f>
        <v/>
      </c>
      <c r="BS188" s="2" t="str">
        <f>IF(BR188="","",(BP188*DATAINFO!$O$4)+(SEKOR!BR188*DATAINFO!$O$5)/(DATAINFO!$O$4+DATAINFO!$O$5))</f>
        <v/>
      </c>
      <c r="BT188" s="2" t="str">
        <f>IF(BL188=0,"",IF(DATA!$F$18="TIDAK",ROUNDUP((IF!$L$8*SEKOR!$BP188)+IF!$L$9,0),IF($BR188="","",ROUNDUP((IF!$L$20*$BS188)+IF!$L$21,0))))</f>
        <v/>
      </c>
      <c r="BU188" s="47" t="str">
        <f>IF(BP188="","",IF(SEKOR!BP188&gt;=DATA!$J$12,1,0))</f>
        <v/>
      </c>
      <c r="BV188" s="47" t="str">
        <f>IF(BQ188="","",IF(SEKOR!BQ188&gt;=DATA!$J$12,1,0))</f>
        <v/>
      </c>
      <c r="BW188" s="47" t="str">
        <f>IF(BR188="","",IF(SEKOR!BR188&gt;=DATA!$J$12,1,0))</f>
        <v/>
      </c>
      <c r="BX188" s="47" t="str">
        <f>IF(BT188="","",IF(DATA!$J$14="",IF(SEKOR!BT188&gt;=DATA!$J$12,1,0),IF(SEKOR!BT188&gt;=DATA!$J$14,1,0)))</f>
        <v/>
      </c>
    </row>
    <row r="189" spans="1:76" x14ac:dyDescent="0.25">
      <c r="A189" s="20" t="s">
        <v>216</v>
      </c>
      <c r="B189" s="21" t="str">
        <f>IF(Ujian!B196="","",Ujian!B196)</f>
        <v/>
      </c>
      <c r="C189" s="57" t="str">
        <f>IF(Ujian!C196="","",Ujian!C196)</f>
        <v/>
      </c>
      <c r="D189" s="125" t="str">
        <f>IF(Ujian!D196="","",IF(LEFT(Ujian!D196,1)=SEKOR!D$2,1,0))</f>
        <v/>
      </c>
      <c r="E189" s="125" t="str">
        <f>IF(Ujian!E196="","",IF(LEFT(Ujian!E196,1)=SEKOR!E$2,1,0))</f>
        <v/>
      </c>
      <c r="F189" s="125" t="str">
        <f>IF(Ujian!F196="","",IF(LEFT(Ujian!F196,1)=SEKOR!F$2,1,0))</f>
        <v/>
      </c>
      <c r="G189" s="125" t="str">
        <f>IF(Ujian!G196="","",IF(LEFT(Ujian!G196,1)=SEKOR!G$2,1,0))</f>
        <v/>
      </c>
      <c r="H189" s="125" t="str">
        <f>IF(Ujian!H196="","",IF(LEFT(Ujian!H196,1)=SEKOR!H$2,1,0))</f>
        <v/>
      </c>
      <c r="I189" s="125" t="str">
        <f>IF(Ujian!I196="","",IF(LEFT(Ujian!I196,1)=SEKOR!I$2,1,0))</f>
        <v/>
      </c>
      <c r="J189" s="125" t="str">
        <f>IF(Ujian!J196="","",IF(LEFT(Ujian!J196,1)=SEKOR!J$2,1,0))</f>
        <v/>
      </c>
      <c r="K189" s="125" t="str">
        <f>IF(Ujian!K196="","",IF(LEFT(Ujian!K196,1)=SEKOR!K$2,1,0))</f>
        <v/>
      </c>
      <c r="L189" s="125" t="str">
        <f>IF(Ujian!L196="","",IF(LEFT(Ujian!L196,1)=SEKOR!L$2,1,0))</f>
        <v/>
      </c>
      <c r="M189" s="125" t="str">
        <f>IF(Ujian!M196="","",IF(LEFT(Ujian!M196,1)=SEKOR!M$2,1,0))</f>
        <v/>
      </c>
      <c r="N189" s="125" t="str">
        <f>IF(Ujian!N196="","",IF(LEFT(Ujian!N196,1)=SEKOR!N$2,1,0))</f>
        <v/>
      </c>
      <c r="O189" s="125" t="str">
        <f>IF(Ujian!O196="","",IF(LEFT(Ujian!O196,1)=SEKOR!O$2,1,0))</f>
        <v/>
      </c>
      <c r="P189" s="125" t="str">
        <f>IF(Ujian!P196="","",IF(LEFT(Ujian!P196,1)=SEKOR!P$2,1,0))</f>
        <v/>
      </c>
      <c r="Q189" s="125" t="str">
        <f>IF(Ujian!Q196="","",IF(LEFT(Ujian!Q196,1)=SEKOR!Q$2,1,0))</f>
        <v/>
      </c>
      <c r="R189" s="125" t="str">
        <f>IF(Ujian!R196="","",IF(LEFT(Ujian!R196,1)=SEKOR!R$2,1,0))</f>
        <v/>
      </c>
      <c r="S189" s="125" t="str">
        <f>IF(Ujian!S196="","",IF(LEFT(Ujian!S196,1)=SEKOR!S$2,1,0))</f>
        <v/>
      </c>
      <c r="T189" s="125" t="str">
        <f>IF(Ujian!T196="","",IF(LEFT(Ujian!T196,1)=SEKOR!T$2,1,0))</f>
        <v/>
      </c>
      <c r="U189" s="125" t="str">
        <f>IF(Ujian!U196="","",IF(LEFT(Ujian!U196,1)=SEKOR!U$2,1,0))</f>
        <v/>
      </c>
      <c r="V189" s="125" t="str">
        <f>IF(Ujian!V196="","",IF(LEFT(Ujian!V196,1)=SEKOR!V$2,1,0))</f>
        <v/>
      </c>
      <c r="W189" s="125" t="str">
        <f>IF(Ujian!W196="","",IF(LEFT(Ujian!W196,1)=SEKOR!W$2,1,0))</f>
        <v/>
      </c>
      <c r="X189" s="125" t="str">
        <f>IF(Ujian!X196="","",IF(LEFT(Ujian!X196,1)=SEKOR!X$2,1,0))</f>
        <v/>
      </c>
      <c r="Y189" s="125" t="str">
        <f>IF(Ujian!Y196="","",IF(LEFT(Ujian!Y196,1)=SEKOR!Y$2,1,0))</f>
        <v/>
      </c>
      <c r="Z189" s="125" t="str">
        <f>IF(Ujian!Z196="","",IF(LEFT(Ujian!Z196,1)=SEKOR!Z$2,1,0))</f>
        <v/>
      </c>
      <c r="AA189" s="125" t="str">
        <f>IF(Ujian!AA196="","",IF(LEFT(Ujian!AA196,1)=SEKOR!AA$2,1,0))</f>
        <v/>
      </c>
      <c r="AB189" s="125" t="str">
        <f>IF(Ujian!AB196="","",IF(LEFT(Ujian!AB196,1)=SEKOR!AB$2,1,0))</f>
        <v/>
      </c>
      <c r="AC189" s="125" t="str">
        <f>IF(Ujian!AC196="","",IF(LEFT(Ujian!AC196,1)=SEKOR!AC$2,1,0))</f>
        <v/>
      </c>
      <c r="AD189" s="125" t="str">
        <f>IF(Ujian!AD196="","",IF(LEFT(Ujian!AD196,1)=SEKOR!AD$2,1,0))</f>
        <v/>
      </c>
      <c r="AE189" s="125" t="str">
        <f>IF(Ujian!AE196="","",IF(LEFT(Ujian!AE196,1)=SEKOR!AE$2,1,0))</f>
        <v/>
      </c>
      <c r="AF189" s="125" t="str">
        <f>IF(Ujian!AF196="","",IF(LEFT(Ujian!AF196,1)=SEKOR!AF$2,1,0))</f>
        <v/>
      </c>
      <c r="AG189" s="125" t="str">
        <f>IF(Ujian!AG196="","",IF(LEFT(Ujian!AG196,1)=SEKOR!AG$2,1,0))</f>
        <v/>
      </c>
      <c r="AH189" s="125" t="str">
        <f>IF(Ujian!AH196="","",IF(LEFT(Ujian!AH196,1)=SEKOR!AH$2,1,0))</f>
        <v/>
      </c>
      <c r="AI189" s="125" t="str">
        <f>IF(Ujian!AI196="","",IF(LEFT(Ujian!AI196,1)=SEKOR!AI$2,1,0))</f>
        <v/>
      </c>
      <c r="AJ189" s="125" t="str">
        <f>IF(Ujian!AJ196="","",IF(LEFT(Ujian!AJ196,1)=SEKOR!AJ$2,1,0))</f>
        <v/>
      </c>
      <c r="AK189" s="125" t="str">
        <f>IF(Ujian!AK196="","",IF(LEFT(Ujian!AK196,1)=SEKOR!AK$2,1,0))</f>
        <v/>
      </c>
      <c r="AL189" s="125" t="str">
        <f>IF(Ujian!AL196="","",IF(LEFT(Ujian!AL196,1)=SEKOR!AL$2,1,0))</f>
        <v/>
      </c>
      <c r="AM189" s="125" t="str">
        <f>IF(Ujian!AM196="","",IF(LEFT(Ujian!AM196,1)=SEKOR!AM$2,1,0))</f>
        <v/>
      </c>
      <c r="AN189" s="125" t="str">
        <f>IF(Ujian!AN196="","",IF(LEFT(Ujian!AN196,1)=SEKOR!AN$2,1,0))</f>
        <v/>
      </c>
      <c r="AO189" s="125" t="str">
        <f>IF(Ujian!AO196="","",IF(LEFT(Ujian!AO196,1)=SEKOR!AO$2,1,0))</f>
        <v/>
      </c>
      <c r="AP189" s="125" t="str">
        <f>IF(Ujian!AP196="","",IF(LEFT(Ujian!AP196,1)=SEKOR!AP$2,1,0))</f>
        <v/>
      </c>
      <c r="AQ189" s="125" t="str">
        <f>IF(Ujian!AQ196="","",IF(LEFT(Ujian!AQ196,1)=SEKOR!AQ$2,1,0))</f>
        <v/>
      </c>
      <c r="AR189" s="125" t="str">
        <f>IF(Ujian!AR196="","",IF(LEFT(Ujian!AR196,1)=SEKOR!AR$2,1,0))</f>
        <v/>
      </c>
      <c r="AS189" s="125" t="str">
        <f>IF(Ujian!AS196="","",IF(LEFT(Ujian!AS196,1)=SEKOR!AS$2,1,0))</f>
        <v/>
      </c>
      <c r="AT189" s="125" t="str">
        <f>IF(Ujian!AT196="","",IF(LEFT(Ujian!AT196,1)=SEKOR!AT$2,1,0))</f>
        <v/>
      </c>
      <c r="AU189" s="125" t="str">
        <f>IF(Ujian!AU196="","",IF(LEFT(Ujian!AU196,1)=SEKOR!AU$2,1,0))</f>
        <v/>
      </c>
      <c r="AV189" s="125" t="str">
        <f>IF(Ujian!AV196="","",IF(LEFT(Ujian!AV196,1)=SEKOR!AV$2,1,0))</f>
        <v/>
      </c>
      <c r="AW189" s="125" t="str">
        <f>IF(Ujian!AW196="","",IF(LEFT(Ujian!AW196,1)=SEKOR!AW$2,1,0))</f>
        <v/>
      </c>
      <c r="AX189" s="125" t="str">
        <f>IF(Ujian!AX196="","",IF(LEFT(Ujian!AX196,1)=SEKOR!AX$2,1,0))</f>
        <v/>
      </c>
      <c r="AY189" s="125" t="str">
        <f>IF(Ujian!AY196="","",IF(LEFT(Ujian!AY196,1)=SEKOR!AY$2,1,0))</f>
        <v/>
      </c>
      <c r="AZ189" s="125" t="str">
        <f>IF(Ujian!AZ196="","",IF(LEFT(Ujian!AZ196,1)=SEKOR!AZ$2,1,0))</f>
        <v/>
      </c>
      <c r="BA189" s="125" t="str">
        <f>IF(Ujian!BA196="","",IF(LEFT(Ujian!BA196,1)=SEKOR!BA$2,1,0))</f>
        <v/>
      </c>
      <c r="BB189" s="125" t="str">
        <f>IF(Ujian!BB196="","",IF(LEFT(Ujian!BB196,1)=SEKOR!BB$2,1,0))</f>
        <v/>
      </c>
      <c r="BC189" s="125" t="str">
        <f>IF(Ujian!BC196="","",IF(LEFT(Ujian!BC196,1)=SEKOR!BC$2,1,0))</f>
        <v/>
      </c>
      <c r="BD189" s="125" t="str">
        <f>IF(Ujian!BD196="","",IF(LEFT(Ujian!BD196,1)=SEKOR!BD$2,1,0))</f>
        <v/>
      </c>
      <c r="BE189" s="125" t="str">
        <f>IF(Ujian!BE196="","",IF(LEFT(Ujian!BE196,1)=SEKOR!BE$2,1,0))</f>
        <v/>
      </c>
      <c r="BF189" s="125" t="str">
        <f>IF(Ujian!BF196="","",IF(LEFT(Ujian!BF196,1)=SEKOR!BF$2,1,0))</f>
        <v/>
      </c>
      <c r="BG189" s="125" t="str">
        <f>IF(Ujian!BG196="","",IF(LEFT(Ujian!BG196,1)=SEKOR!BG$2,1,0))</f>
        <v/>
      </c>
      <c r="BH189" s="125" t="str">
        <f>IF(Ujian!BH196="","",IF(LEFT(Ujian!BH196,1)=SEKOR!BH$2,1,0))</f>
        <v/>
      </c>
      <c r="BI189" s="125" t="str">
        <f>IF(Ujian!BI196="","",IF(LEFT(Ujian!BI196,1)=SEKOR!BI$2,1,0))</f>
        <v/>
      </c>
      <c r="BJ189" s="125" t="str">
        <f>IF(Ujian!BJ196="","",IF(LEFT(Ujian!BJ196,1)=SEKOR!BJ$2,1,0))</f>
        <v/>
      </c>
      <c r="BK189" s="125" t="str">
        <f>IF(Ujian!BK196="","",IF(LEFT(Ujian!BK196,1)=SEKOR!BK$2,1,0))</f>
        <v/>
      </c>
      <c r="BL189" s="18">
        <f t="shared" si="4"/>
        <v>0</v>
      </c>
      <c r="BM189" s="18">
        <f>COUNTIF($D189:$BK189,"")+DATA!$F$14-DATA!$F$12</f>
        <v>60</v>
      </c>
      <c r="BN189" s="17">
        <f>IF(COUNTIF($D189:$BK189,1)&gt;DATA!$F$14,DATA!$F$14,COUNTIF($D189:$BK189,1))</f>
        <v>0</v>
      </c>
      <c r="BO189" s="17">
        <f>IF((BN189+COUNTIF($D189:$BK189,0))&lt;=DATA!$F$14,COUNTIF($D189:$BK189,0),DATA!$F$14-SEKOR!BN189)</f>
        <v>0</v>
      </c>
      <c r="BP189" s="4" t="str">
        <f>IF(BL189=0,"",BN189/DATA!$F$14*100)</f>
        <v/>
      </c>
      <c r="BQ189" s="121" t="str">
        <f t="shared" si="5"/>
        <v/>
      </c>
      <c r="BR189" s="2" t="str">
        <f>IF(Praktik!$E189=0,"",Praktik!$E189)</f>
        <v/>
      </c>
      <c r="BS189" s="2" t="str">
        <f>IF(BR189="","",(BP189*DATAINFO!$O$4)+(SEKOR!BR189*DATAINFO!$O$5)/(DATAINFO!$O$4+DATAINFO!$O$5))</f>
        <v/>
      </c>
      <c r="BT189" s="2" t="str">
        <f>IF(BL189=0,"",IF(DATA!$F$18="TIDAK",ROUNDUP((IF!$L$8*SEKOR!$BP189)+IF!$L$9,0),IF($BR189="","",ROUNDUP((IF!$L$20*$BS189)+IF!$L$21,0))))</f>
        <v/>
      </c>
      <c r="BU189" s="47" t="str">
        <f>IF(BP189="","",IF(SEKOR!BP189&gt;=DATA!$J$12,1,0))</f>
        <v/>
      </c>
      <c r="BV189" s="47" t="str">
        <f>IF(BQ189="","",IF(SEKOR!BQ189&gt;=DATA!$J$12,1,0))</f>
        <v/>
      </c>
      <c r="BW189" s="47" t="str">
        <f>IF(BR189="","",IF(SEKOR!BR189&gt;=DATA!$J$12,1,0))</f>
        <v/>
      </c>
      <c r="BX189" s="47" t="str">
        <f>IF(BT189="","",IF(DATA!$J$14="",IF(SEKOR!BT189&gt;=DATA!$J$12,1,0),IF(SEKOR!BT189&gt;=DATA!$J$14,1,0)))</f>
        <v/>
      </c>
    </row>
    <row r="190" spans="1:76" x14ac:dyDescent="0.25">
      <c r="A190" s="20" t="s">
        <v>217</v>
      </c>
      <c r="B190" s="21" t="str">
        <f>IF(Ujian!B197="","",Ujian!B197)</f>
        <v/>
      </c>
      <c r="C190" s="57" t="str">
        <f>IF(Ujian!C197="","",Ujian!C197)</f>
        <v/>
      </c>
      <c r="D190" s="125" t="str">
        <f>IF(Ujian!D197="","",IF(LEFT(Ujian!D197,1)=SEKOR!D$2,1,0))</f>
        <v/>
      </c>
      <c r="E190" s="125" t="str">
        <f>IF(Ujian!E197="","",IF(LEFT(Ujian!E197,1)=SEKOR!E$2,1,0))</f>
        <v/>
      </c>
      <c r="F190" s="125" t="str">
        <f>IF(Ujian!F197="","",IF(LEFT(Ujian!F197,1)=SEKOR!F$2,1,0))</f>
        <v/>
      </c>
      <c r="G190" s="125" t="str">
        <f>IF(Ujian!G197="","",IF(LEFT(Ujian!G197,1)=SEKOR!G$2,1,0))</f>
        <v/>
      </c>
      <c r="H190" s="125" t="str">
        <f>IF(Ujian!H197="","",IF(LEFT(Ujian!H197,1)=SEKOR!H$2,1,0))</f>
        <v/>
      </c>
      <c r="I190" s="125" t="str">
        <f>IF(Ujian!I197="","",IF(LEFT(Ujian!I197,1)=SEKOR!I$2,1,0))</f>
        <v/>
      </c>
      <c r="J190" s="125" t="str">
        <f>IF(Ujian!J197="","",IF(LEFT(Ujian!J197,1)=SEKOR!J$2,1,0))</f>
        <v/>
      </c>
      <c r="K190" s="125" t="str">
        <f>IF(Ujian!K197="","",IF(LEFT(Ujian!K197,1)=SEKOR!K$2,1,0))</f>
        <v/>
      </c>
      <c r="L190" s="125" t="str">
        <f>IF(Ujian!L197="","",IF(LEFT(Ujian!L197,1)=SEKOR!L$2,1,0))</f>
        <v/>
      </c>
      <c r="M190" s="125" t="str">
        <f>IF(Ujian!M197="","",IF(LEFT(Ujian!M197,1)=SEKOR!M$2,1,0))</f>
        <v/>
      </c>
      <c r="N190" s="125" t="str">
        <f>IF(Ujian!N197="","",IF(LEFT(Ujian!N197,1)=SEKOR!N$2,1,0))</f>
        <v/>
      </c>
      <c r="O190" s="125" t="str">
        <f>IF(Ujian!O197="","",IF(LEFT(Ujian!O197,1)=SEKOR!O$2,1,0))</f>
        <v/>
      </c>
      <c r="P190" s="125" t="str">
        <f>IF(Ujian!P197="","",IF(LEFT(Ujian!P197,1)=SEKOR!P$2,1,0))</f>
        <v/>
      </c>
      <c r="Q190" s="125" t="str">
        <f>IF(Ujian!Q197="","",IF(LEFT(Ujian!Q197,1)=SEKOR!Q$2,1,0))</f>
        <v/>
      </c>
      <c r="R190" s="125" t="str">
        <f>IF(Ujian!R197="","",IF(LEFT(Ujian!R197,1)=SEKOR!R$2,1,0))</f>
        <v/>
      </c>
      <c r="S190" s="125" t="str">
        <f>IF(Ujian!S197="","",IF(LEFT(Ujian!S197,1)=SEKOR!S$2,1,0))</f>
        <v/>
      </c>
      <c r="T190" s="125" t="str">
        <f>IF(Ujian!T197="","",IF(LEFT(Ujian!T197,1)=SEKOR!T$2,1,0))</f>
        <v/>
      </c>
      <c r="U190" s="125" t="str">
        <f>IF(Ujian!U197="","",IF(LEFT(Ujian!U197,1)=SEKOR!U$2,1,0))</f>
        <v/>
      </c>
      <c r="V190" s="125" t="str">
        <f>IF(Ujian!V197="","",IF(LEFT(Ujian!V197,1)=SEKOR!V$2,1,0))</f>
        <v/>
      </c>
      <c r="W190" s="125" t="str">
        <f>IF(Ujian!W197="","",IF(LEFT(Ujian!W197,1)=SEKOR!W$2,1,0))</f>
        <v/>
      </c>
      <c r="X190" s="125" t="str">
        <f>IF(Ujian!X197="","",IF(LEFT(Ujian!X197,1)=SEKOR!X$2,1,0))</f>
        <v/>
      </c>
      <c r="Y190" s="125" t="str">
        <f>IF(Ujian!Y197="","",IF(LEFT(Ujian!Y197,1)=SEKOR!Y$2,1,0))</f>
        <v/>
      </c>
      <c r="Z190" s="125" t="str">
        <f>IF(Ujian!Z197="","",IF(LEFT(Ujian!Z197,1)=SEKOR!Z$2,1,0))</f>
        <v/>
      </c>
      <c r="AA190" s="125" t="str">
        <f>IF(Ujian!AA197="","",IF(LEFT(Ujian!AA197,1)=SEKOR!AA$2,1,0))</f>
        <v/>
      </c>
      <c r="AB190" s="125" t="str">
        <f>IF(Ujian!AB197="","",IF(LEFT(Ujian!AB197,1)=SEKOR!AB$2,1,0))</f>
        <v/>
      </c>
      <c r="AC190" s="125" t="str">
        <f>IF(Ujian!AC197="","",IF(LEFT(Ujian!AC197,1)=SEKOR!AC$2,1,0))</f>
        <v/>
      </c>
      <c r="AD190" s="125" t="str">
        <f>IF(Ujian!AD197="","",IF(LEFT(Ujian!AD197,1)=SEKOR!AD$2,1,0))</f>
        <v/>
      </c>
      <c r="AE190" s="125" t="str">
        <f>IF(Ujian!AE197="","",IF(LEFT(Ujian!AE197,1)=SEKOR!AE$2,1,0))</f>
        <v/>
      </c>
      <c r="AF190" s="125" t="str">
        <f>IF(Ujian!AF197="","",IF(LEFT(Ujian!AF197,1)=SEKOR!AF$2,1,0))</f>
        <v/>
      </c>
      <c r="AG190" s="125" t="str">
        <f>IF(Ujian!AG197="","",IF(LEFT(Ujian!AG197,1)=SEKOR!AG$2,1,0))</f>
        <v/>
      </c>
      <c r="AH190" s="125" t="str">
        <f>IF(Ujian!AH197="","",IF(LEFT(Ujian!AH197,1)=SEKOR!AH$2,1,0))</f>
        <v/>
      </c>
      <c r="AI190" s="125" t="str">
        <f>IF(Ujian!AI197="","",IF(LEFT(Ujian!AI197,1)=SEKOR!AI$2,1,0))</f>
        <v/>
      </c>
      <c r="AJ190" s="125" t="str">
        <f>IF(Ujian!AJ197="","",IF(LEFT(Ujian!AJ197,1)=SEKOR!AJ$2,1,0))</f>
        <v/>
      </c>
      <c r="AK190" s="125" t="str">
        <f>IF(Ujian!AK197="","",IF(LEFT(Ujian!AK197,1)=SEKOR!AK$2,1,0))</f>
        <v/>
      </c>
      <c r="AL190" s="125" t="str">
        <f>IF(Ujian!AL197="","",IF(LEFT(Ujian!AL197,1)=SEKOR!AL$2,1,0))</f>
        <v/>
      </c>
      <c r="AM190" s="125" t="str">
        <f>IF(Ujian!AM197="","",IF(LEFT(Ujian!AM197,1)=SEKOR!AM$2,1,0))</f>
        <v/>
      </c>
      <c r="AN190" s="125" t="str">
        <f>IF(Ujian!AN197="","",IF(LEFT(Ujian!AN197,1)=SEKOR!AN$2,1,0))</f>
        <v/>
      </c>
      <c r="AO190" s="125" t="str">
        <f>IF(Ujian!AO197="","",IF(LEFT(Ujian!AO197,1)=SEKOR!AO$2,1,0))</f>
        <v/>
      </c>
      <c r="AP190" s="125" t="str">
        <f>IF(Ujian!AP197="","",IF(LEFT(Ujian!AP197,1)=SEKOR!AP$2,1,0))</f>
        <v/>
      </c>
      <c r="AQ190" s="125" t="str">
        <f>IF(Ujian!AQ197="","",IF(LEFT(Ujian!AQ197,1)=SEKOR!AQ$2,1,0))</f>
        <v/>
      </c>
      <c r="AR190" s="125" t="str">
        <f>IF(Ujian!AR197="","",IF(LEFT(Ujian!AR197,1)=SEKOR!AR$2,1,0))</f>
        <v/>
      </c>
      <c r="AS190" s="125" t="str">
        <f>IF(Ujian!AS197="","",IF(LEFT(Ujian!AS197,1)=SEKOR!AS$2,1,0))</f>
        <v/>
      </c>
      <c r="AT190" s="125" t="str">
        <f>IF(Ujian!AT197="","",IF(LEFT(Ujian!AT197,1)=SEKOR!AT$2,1,0))</f>
        <v/>
      </c>
      <c r="AU190" s="125" t="str">
        <f>IF(Ujian!AU197="","",IF(LEFT(Ujian!AU197,1)=SEKOR!AU$2,1,0))</f>
        <v/>
      </c>
      <c r="AV190" s="125" t="str">
        <f>IF(Ujian!AV197="","",IF(LEFT(Ujian!AV197,1)=SEKOR!AV$2,1,0))</f>
        <v/>
      </c>
      <c r="AW190" s="125" t="str">
        <f>IF(Ujian!AW197="","",IF(LEFT(Ujian!AW197,1)=SEKOR!AW$2,1,0))</f>
        <v/>
      </c>
      <c r="AX190" s="125" t="str">
        <f>IF(Ujian!AX197="","",IF(LEFT(Ujian!AX197,1)=SEKOR!AX$2,1,0))</f>
        <v/>
      </c>
      <c r="AY190" s="125" t="str">
        <f>IF(Ujian!AY197="","",IF(LEFT(Ujian!AY197,1)=SEKOR!AY$2,1,0))</f>
        <v/>
      </c>
      <c r="AZ190" s="125" t="str">
        <f>IF(Ujian!AZ197="","",IF(LEFT(Ujian!AZ197,1)=SEKOR!AZ$2,1,0))</f>
        <v/>
      </c>
      <c r="BA190" s="125" t="str">
        <f>IF(Ujian!BA197="","",IF(LEFT(Ujian!BA197,1)=SEKOR!BA$2,1,0))</f>
        <v/>
      </c>
      <c r="BB190" s="125" t="str">
        <f>IF(Ujian!BB197="","",IF(LEFT(Ujian!BB197,1)=SEKOR!BB$2,1,0))</f>
        <v/>
      </c>
      <c r="BC190" s="125" t="str">
        <f>IF(Ujian!BC197="","",IF(LEFT(Ujian!BC197,1)=SEKOR!BC$2,1,0))</f>
        <v/>
      </c>
      <c r="BD190" s="125" t="str">
        <f>IF(Ujian!BD197="","",IF(LEFT(Ujian!BD197,1)=SEKOR!BD$2,1,0))</f>
        <v/>
      </c>
      <c r="BE190" s="125" t="str">
        <f>IF(Ujian!BE197="","",IF(LEFT(Ujian!BE197,1)=SEKOR!BE$2,1,0))</f>
        <v/>
      </c>
      <c r="BF190" s="125" t="str">
        <f>IF(Ujian!BF197="","",IF(LEFT(Ujian!BF197,1)=SEKOR!BF$2,1,0))</f>
        <v/>
      </c>
      <c r="BG190" s="125" t="str">
        <f>IF(Ujian!BG197="","",IF(LEFT(Ujian!BG197,1)=SEKOR!BG$2,1,0))</f>
        <v/>
      </c>
      <c r="BH190" s="125" t="str">
        <f>IF(Ujian!BH197="","",IF(LEFT(Ujian!BH197,1)=SEKOR!BH$2,1,0))</f>
        <v/>
      </c>
      <c r="BI190" s="125" t="str">
        <f>IF(Ujian!BI197="","",IF(LEFT(Ujian!BI197,1)=SEKOR!BI$2,1,0))</f>
        <v/>
      </c>
      <c r="BJ190" s="125" t="str">
        <f>IF(Ujian!BJ197="","",IF(LEFT(Ujian!BJ197,1)=SEKOR!BJ$2,1,0))</f>
        <v/>
      </c>
      <c r="BK190" s="125" t="str">
        <f>IF(Ujian!BK197="","",IF(LEFT(Ujian!BK197,1)=SEKOR!BK$2,1,0))</f>
        <v/>
      </c>
      <c r="BL190" s="18">
        <f t="shared" si="4"/>
        <v>0</v>
      </c>
      <c r="BM190" s="18">
        <f>COUNTIF($D190:$BK190,"")+DATA!$F$14-DATA!$F$12</f>
        <v>60</v>
      </c>
      <c r="BN190" s="17">
        <f>IF(COUNTIF($D190:$BK190,1)&gt;DATA!$F$14,DATA!$F$14,COUNTIF($D190:$BK190,1))</f>
        <v>0</v>
      </c>
      <c r="BO190" s="17">
        <f>IF((BN190+COUNTIF($D190:$BK190,0))&lt;=DATA!$F$14,COUNTIF($D190:$BK190,0),DATA!$F$14-SEKOR!BN190)</f>
        <v>0</v>
      </c>
      <c r="BP190" s="4" t="str">
        <f>IF(BL190=0,"",BN190/DATA!$F$14*100)</f>
        <v/>
      </c>
      <c r="BQ190" s="121" t="str">
        <f t="shared" si="5"/>
        <v/>
      </c>
      <c r="BR190" s="2" t="str">
        <f>IF(Praktik!$E190=0,"",Praktik!$E190)</f>
        <v/>
      </c>
      <c r="BS190" s="2" t="str">
        <f>IF(BR190="","",(BP190*DATAINFO!$O$4)+(SEKOR!BR190*DATAINFO!$O$5)/(DATAINFO!$O$4+DATAINFO!$O$5))</f>
        <v/>
      </c>
      <c r="BT190" s="2" t="str">
        <f>IF(BL190=0,"",IF(DATA!$F$18="TIDAK",ROUNDUP((IF!$L$8*SEKOR!$BP190)+IF!$L$9,0),IF($BR190="","",ROUNDUP((IF!$L$20*$BS190)+IF!$L$21,0))))</f>
        <v/>
      </c>
      <c r="BU190" s="47" t="str">
        <f>IF(BP190="","",IF(SEKOR!BP190&gt;=DATA!$J$12,1,0))</f>
        <v/>
      </c>
      <c r="BV190" s="47" t="str">
        <f>IF(BQ190="","",IF(SEKOR!BQ190&gt;=DATA!$J$12,1,0))</f>
        <v/>
      </c>
      <c r="BW190" s="47" t="str">
        <f>IF(BR190="","",IF(SEKOR!BR190&gt;=DATA!$J$12,1,0))</f>
        <v/>
      </c>
      <c r="BX190" s="47" t="str">
        <f>IF(BT190="","",IF(DATA!$J$14="",IF(SEKOR!BT190&gt;=DATA!$J$12,1,0),IF(SEKOR!BT190&gt;=DATA!$J$14,1,0)))</f>
        <v/>
      </c>
    </row>
    <row r="191" spans="1:76" x14ac:dyDescent="0.25">
      <c r="A191" s="20" t="s">
        <v>218</v>
      </c>
      <c r="B191" s="21" t="str">
        <f>IF(Ujian!B198="","",Ujian!B198)</f>
        <v/>
      </c>
      <c r="C191" s="57" t="str">
        <f>IF(Ujian!C198="","",Ujian!C198)</f>
        <v/>
      </c>
      <c r="D191" s="125" t="str">
        <f>IF(Ujian!D198="","",IF(LEFT(Ujian!D198,1)=SEKOR!D$2,1,0))</f>
        <v/>
      </c>
      <c r="E191" s="125" t="str">
        <f>IF(Ujian!E198="","",IF(LEFT(Ujian!E198,1)=SEKOR!E$2,1,0))</f>
        <v/>
      </c>
      <c r="F191" s="125" t="str">
        <f>IF(Ujian!F198="","",IF(LEFT(Ujian!F198,1)=SEKOR!F$2,1,0))</f>
        <v/>
      </c>
      <c r="G191" s="125" t="str">
        <f>IF(Ujian!G198="","",IF(LEFT(Ujian!G198,1)=SEKOR!G$2,1,0))</f>
        <v/>
      </c>
      <c r="H191" s="125" t="str">
        <f>IF(Ujian!H198="","",IF(LEFT(Ujian!H198,1)=SEKOR!H$2,1,0))</f>
        <v/>
      </c>
      <c r="I191" s="125" t="str">
        <f>IF(Ujian!I198="","",IF(LEFT(Ujian!I198,1)=SEKOR!I$2,1,0))</f>
        <v/>
      </c>
      <c r="J191" s="125" t="str">
        <f>IF(Ujian!J198="","",IF(LEFT(Ujian!J198,1)=SEKOR!J$2,1,0))</f>
        <v/>
      </c>
      <c r="K191" s="125" t="str">
        <f>IF(Ujian!K198="","",IF(LEFT(Ujian!K198,1)=SEKOR!K$2,1,0))</f>
        <v/>
      </c>
      <c r="L191" s="125" t="str">
        <f>IF(Ujian!L198="","",IF(LEFT(Ujian!L198,1)=SEKOR!L$2,1,0))</f>
        <v/>
      </c>
      <c r="M191" s="125" t="str">
        <f>IF(Ujian!M198="","",IF(LEFT(Ujian!M198,1)=SEKOR!M$2,1,0))</f>
        <v/>
      </c>
      <c r="N191" s="125" t="str">
        <f>IF(Ujian!N198="","",IF(LEFT(Ujian!N198,1)=SEKOR!N$2,1,0))</f>
        <v/>
      </c>
      <c r="O191" s="125" t="str">
        <f>IF(Ujian!O198="","",IF(LEFT(Ujian!O198,1)=SEKOR!O$2,1,0))</f>
        <v/>
      </c>
      <c r="P191" s="125" t="str">
        <f>IF(Ujian!P198="","",IF(LEFT(Ujian!P198,1)=SEKOR!P$2,1,0))</f>
        <v/>
      </c>
      <c r="Q191" s="125" t="str">
        <f>IF(Ujian!Q198="","",IF(LEFT(Ujian!Q198,1)=SEKOR!Q$2,1,0))</f>
        <v/>
      </c>
      <c r="R191" s="125" t="str">
        <f>IF(Ujian!R198="","",IF(LEFT(Ujian!R198,1)=SEKOR!R$2,1,0))</f>
        <v/>
      </c>
      <c r="S191" s="125" t="str">
        <f>IF(Ujian!S198="","",IF(LEFT(Ujian!S198,1)=SEKOR!S$2,1,0))</f>
        <v/>
      </c>
      <c r="T191" s="125" t="str">
        <f>IF(Ujian!T198="","",IF(LEFT(Ujian!T198,1)=SEKOR!T$2,1,0))</f>
        <v/>
      </c>
      <c r="U191" s="125" t="str">
        <f>IF(Ujian!U198="","",IF(LEFT(Ujian!U198,1)=SEKOR!U$2,1,0))</f>
        <v/>
      </c>
      <c r="V191" s="125" t="str">
        <f>IF(Ujian!V198="","",IF(LEFT(Ujian!V198,1)=SEKOR!V$2,1,0))</f>
        <v/>
      </c>
      <c r="W191" s="125" t="str">
        <f>IF(Ujian!W198="","",IF(LEFT(Ujian!W198,1)=SEKOR!W$2,1,0))</f>
        <v/>
      </c>
      <c r="X191" s="125" t="str">
        <f>IF(Ujian!X198="","",IF(LEFT(Ujian!X198,1)=SEKOR!X$2,1,0))</f>
        <v/>
      </c>
      <c r="Y191" s="125" t="str">
        <f>IF(Ujian!Y198="","",IF(LEFT(Ujian!Y198,1)=SEKOR!Y$2,1,0))</f>
        <v/>
      </c>
      <c r="Z191" s="125" t="str">
        <f>IF(Ujian!Z198="","",IF(LEFT(Ujian!Z198,1)=SEKOR!Z$2,1,0))</f>
        <v/>
      </c>
      <c r="AA191" s="125" t="str">
        <f>IF(Ujian!AA198="","",IF(LEFT(Ujian!AA198,1)=SEKOR!AA$2,1,0))</f>
        <v/>
      </c>
      <c r="AB191" s="125" t="str">
        <f>IF(Ujian!AB198="","",IF(LEFT(Ujian!AB198,1)=SEKOR!AB$2,1,0))</f>
        <v/>
      </c>
      <c r="AC191" s="125" t="str">
        <f>IF(Ujian!AC198="","",IF(LEFT(Ujian!AC198,1)=SEKOR!AC$2,1,0))</f>
        <v/>
      </c>
      <c r="AD191" s="125" t="str">
        <f>IF(Ujian!AD198="","",IF(LEFT(Ujian!AD198,1)=SEKOR!AD$2,1,0))</f>
        <v/>
      </c>
      <c r="AE191" s="125" t="str">
        <f>IF(Ujian!AE198="","",IF(LEFT(Ujian!AE198,1)=SEKOR!AE$2,1,0))</f>
        <v/>
      </c>
      <c r="AF191" s="125" t="str">
        <f>IF(Ujian!AF198="","",IF(LEFT(Ujian!AF198,1)=SEKOR!AF$2,1,0))</f>
        <v/>
      </c>
      <c r="AG191" s="125" t="str">
        <f>IF(Ujian!AG198="","",IF(LEFT(Ujian!AG198,1)=SEKOR!AG$2,1,0))</f>
        <v/>
      </c>
      <c r="AH191" s="125" t="str">
        <f>IF(Ujian!AH198="","",IF(LEFT(Ujian!AH198,1)=SEKOR!AH$2,1,0))</f>
        <v/>
      </c>
      <c r="AI191" s="125" t="str">
        <f>IF(Ujian!AI198="","",IF(LEFT(Ujian!AI198,1)=SEKOR!AI$2,1,0))</f>
        <v/>
      </c>
      <c r="AJ191" s="125" t="str">
        <f>IF(Ujian!AJ198="","",IF(LEFT(Ujian!AJ198,1)=SEKOR!AJ$2,1,0))</f>
        <v/>
      </c>
      <c r="AK191" s="125" t="str">
        <f>IF(Ujian!AK198="","",IF(LEFT(Ujian!AK198,1)=SEKOR!AK$2,1,0))</f>
        <v/>
      </c>
      <c r="AL191" s="125" t="str">
        <f>IF(Ujian!AL198="","",IF(LEFT(Ujian!AL198,1)=SEKOR!AL$2,1,0))</f>
        <v/>
      </c>
      <c r="AM191" s="125" t="str">
        <f>IF(Ujian!AM198="","",IF(LEFT(Ujian!AM198,1)=SEKOR!AM$2,1,0))</f>
        <v/>
      </c>
      <c r="AN191" s="125" t="str">
        <f>IF(Ujian!AN198="","",IF(LEFT(Ujian!AN198,1)=SEKOR!AN$2,1,0))</f>
        <v/>
      </c>
      <c r="AO191" s="125" t="str">
        <f>IF(Ujian!AO198="","",IF(LEFT(Ujian!AO198,1)=SEKOR!AO$2,1,0))</f>
        <v/>
      </c>
      <c r="AP191" s="125" t="str">
        <f>IF(Ujian!AP198="","",IF(LEFT(Ujian!AP198,1)=SEKOR!AP$2,1,0))</f>
        <v/>
      </c>
      <c r="AQ191" s="125" t="str">
        <f>IF(Ujian!AQ198="","",IF(LEFT(Ujian!AQ198,1)=SEKOR!AQ$2,1,0))</f>
        <v/>
      </c>
      <c r="AR191" s="125" t="str">
        <f>IF(Ujian!AR198="","",IF(LEFT(Ujian!AR198,1)=SEKOR!AR$2,1,0))</f>
        <v/>
      </c>
      <c r="AS191" s="125" t="str">
        <f>IF(Ujian!AS198="","",IF(LEFT(Ujian!AS198,1)=SEKOR!AS$2,1,0))</f>
        <v/>
      </c>
      <c r="AT191" s="125" t="str">
        <f>IF(Ujian!AT198="","",IF(LEFT(Ujian!AT198,1)=SEKOR!AT$2,1,0))</f>
        <v/>
      </c>
      <c r="AU191" s="125" t="str">
        <f>IF(Ujian!AU198="","",IF(LEFT(Ujian!AU198,1)=SEKOR!AU$2,1,0))</f>
        <v/>
      </c>
      <c r="AV191" s="125" t="str">
        <f>IF(Ujian!AV198="","",IF(LEFT(Ujian!AV198,1)=SEKOR!AV$2,1,0))</f>
        <v/>
      </c>
      <c r="AW191" s="125" t="str">
        <f>IF(Ujian!AW198="","",IF(LEFT(Ujian!AW198,1)=SEKOR!AW$2,1,0))</f>
        <v/>
      </c>
      <c r="AX191" s="125" t="str">
        <f>IF(Ujian!AX198="","",IF(LEFT(Ujian!AX198,1)=SEKOR!AX$2,1,0))</f>
        <v/>
      </c>
      <c r="AY191" s="125" t="str">
        <f>IF(Ujian!AY198="","",IF(LEFT(Ujian!AY198,1)=SEKOR!AY$2,1,0))</f>
        <v/>
      </c>
      <c r="AZ191" s="125" t="str">
        <f>IF(Ujian!AZ198="","",IF(LEFT(Ujian!AZ198,1)=SEKOR!AZ$2,1,0))</f>
        <v/>
      </c>
      <c r="BA191" s="125" t="str">
        <f>IF(Ujian!BA198="","",IF(LEFT(Ujian!BA198,1)=SEKOR!BA$2,1,0))</f>
        <v/>
      </c>
      <c r="BB191" s="125" t="str">
        <f>IF(Ujian!BB198="","",IF(LEFT(Ujian!BB198,1)=SEKOR!BB$2,1,0))</f>
        <v/>
      </c>
      <c r="BC191" s="125" t="str">
        <f>IF(Ujian!BC198="","",IF(LEFT(Ujian!BC198,1)=SEKOR!BC$2,1,0))</f>
        <v/>
      </c>
      <c r="BD191" s="125" t="str">
        <f>IF(Ujian!BD198="","",IF(LEFT(Ujian!BD198,1)=SEKOR!BD$2,1,0))</f>
        <v/>
      </c>
      <c r="BE191" s="125" t="str">
        <f>IF(Ujian!BE198="","",IF(LEFT(Ujian!BE198,1)=SEKOR!BE$2,1,0))</f>
        <v/>
      </c>
      <c r="BF191" s="125" t="str">
        <f>IF(Ujian!BF198="","",IF(LEFT(Ujian!BF198,1)=SEKOR!BF$2,1,0))</f>
        <v/>
      </c>
      <c r="BG191" s="125" t="str">
        <f>IF(Ujian!BG198="","",IF(LEFT(Ujian!BG198,1)=SEKOR!BG$2,1,0))</f>
        <v/>
      </c>
      <c r="BH191" s="125" t="str">
        <f>IF(Ujian!BH198="","",IF(LEFT(Ujian!BH198,1)=SEKOR!BH$2,1,0))</f>
        <v/>
      </c>
      <c r="BI191" s="125" t="str">
        <f>IF(Ujian!BI198="","",IF(LEFT(Ujian!BI198,1)=SEKOR!BI$2,1,0))</f>
        <v/>
      </c>
      <c r="BJ191" s="125" t="str">
        <f>IF(Ujian!BJ198="","",IF(LEFT(Ujian!BJ198,1)=SEKOR!BJ$2,1,0))</f>
        <v/>
      </c>
      <c r="BK191" s="125" t="str">
        <f>IF(Ujian!BK198="","",IF(LEFT(Ujian!BK198,1)=SEKOR!BK$2,1,0))</f>
        <v/>
      </c>
      <c r="BL191" s="18">
        <f t="shared" si="4"/>
        <v>0</v>
      </c>
      <c r="BM191" s="18">
        <f>COUNTIF($D191:$BK191,"")+DATA!$F$14-DATA!$F$12</f>
        <v>60</v>
      </c>
      <c r="BN191" s="17">
        <f>IF(COUNTIF($D191:$BK191,1)&gt;DATA!$F$14,DATA!$F$14,COUNTIF($D191:$BK191,1))</f>
        <v>0</v>
      </c>
      <c r="BO191" s="17">
        <f>IF((BN191+COUNTIF($D191:$BK191,0))&lt;=DATA!$F$14,COUNTIF($D191:$BK191,0),DATA!$F$14-SEKOR!BN191)</f>
        <v>0</v>
      </c>
      <c r="BP191" s="4" t="str">
        <f>IF(BL191=0,"",BN191/DATA!$F$14*100)</f>
        <v/>
      </c>
      <c r="BQ191" s="121" t="str">
        <f t="shared" si="5"/>
        <v/>
      </c>
      <c r="BR191" s="2" t="str">
        <f>IF(Praktik!$E191=0,"",Praktik!$E191)</f>
        <v/>
      </c>
      <c r="BS191" s="2" t="str">
        <f>IF(BR191="","",(BP191*DATAINFO!$O$4)+(SEKOR!BR191*DATAINFO!$O$5)/(DATAINFO!$O$4+DATAINFO!$O$5))</f>
        <v/>
      </c>
      <c r="BT191" s="2" t="str">
        <f>IF(BL191=0,"",IF(DATA!$F$18="TIDAK",ROUNDUP((IF!$L$8*SEKOR!$BP191)+IF!$L$9,0),IF($BR191="","",ROUNDUP((IF!$L$20*$BS191)+IF!$L$21,0))))</f>
        <v/>
      </c>
      <c r="BU191" s="47" t="str">
        <f>IF(BP191="","",IF(SEKOR!BP191&gt;=DATA!$J$12,1,0))</f>
        <v/>
      </c>
      <c r="BV191" s="47" t="str">
        <f>IF(BQ191="","",IF(SEKOR!BQ191&gt;=DATA!$J$12,1,0))</f>
        <v/>
      </c>
      <c r="BW191" s="47" t="str">
        <f>IF(BR191="","",IF(SEKOR!BR191&gt;=DATA!$J$12,1,0))</f>
        <v/>
      </c>
      <c r="BX191" s="47" t="str">
        <f>IF(BT191="","",IF(DATA!$J$14="",IF(SEKOR!BT191&gt;=DATA!$J$12,1,0),IF(SEKOR!BT191&gt;=DATA!$J$14,1,0)))</f>
        <v/>
      </c>
    </row>
    <row r="192" spans="1:76" x14ac:dyDescent="0.25">
      <c r="A192" s="20" t="s">
        <v>219</v>
      </c>
      <c r="B192" s="21" t="str">
        <f>IF(Ujian!B199="","",Ujian!B199)</f>
        <v/>
      </c>
      <c r="C192" s="57" t="str">
        <f>IF(Ujian!C199="","",Ujian!C199)</f>
        <v/>
      </c>
      <c r="D192" s="125" t="str">
        <f>IF(Ujian!D199="","",IF(LEFT(Ujian!D199,1)=SEKOR!D$2,1,0))</f>
        <v/>
      </c>
      <c r="E192" s="125" t="str">
        <f>IF(Ujian!E199="","",IF(LEFT(Ujian!E199,1)=SEKOR!E$2,1,0))</f>
        <v/>
      </c>
      <c r="F192" s="125" t="str">
        <f>IF(Ujian!F199="","",IF(LEFT(Ujian!F199,1)=SEKOR!F$2,1,0))</f>
        <v/>
      </c>
      <c r="G192" s="125" t="str">
        <f>IF(Ujian!G199="","",IF(LEFT(Ujian!G199,1)=SEKOR!G$2,1,0))</f>
        <v/>
      </c>
      <c r="H192" s="125" t="str">
        <f>IF(Ujian!H199="","",IF(LEFT(Ujian!H199,1)=SEKOR!H$2,1,0))</f>
        <v/>
      </c>
      <c r="I192" s="125" t="str">
        <f>IF(Ujian!I199="","",IF(LEFT(Ujian!I199,1)=SEKOR!I$2,1,0))</f>
        <v/>
      </c>
      <c r="J192" s="125" t="str">
        <f>IF(Ujian!J199="","",IF(LEFT(Ujian!J199,1)=SEKOR!J$2,1,0))</f>
        <v/>
      </c>
      <c r="K192" s="125" t="str">
        <f>IF(Ujian!K199="","",IF(LEFT(Ujian!K199,1)=SEKOR!K$2,1,0))</f>
        <v/>
      </c>
      <c r="L192" s="125" t="str">
        <f>IF(Ujian!L199="","",IF(LEFT(Ujian!L199,1)=SEKOR!L$2,1,0))</f>
        <v/>
      </c>
      <c r="M192" s="125" t="str">
        <f>IF(Ujian!M199="","",IF(LEFT(Ujian!M199,1)=SEKOR!M$2,1,0))</f>
        <v/>
      </c>
      <c r="N192" s="125" t="str">
        <f>IF(Ujian!N199="","",IF(LEFT(Ujian!N199,1)=SEKOR!N$2,1,0))</f>
        <v/>
      </c>
      <c r="O192" s="125" t="str">
        <f>IF(Ujian!O199="","",IF(LEFT(Ujian!O199,1)=SEKOR!O$2,1,0))</f>
        <v/>
      </c>
      <c r="P192" s="125" t="str">
        <f>IF(Ujian!P199="","",IF(LEFT(Ujian!P199,1)=SEKOR!P$2,1,0))</f>
        <v/>
      </c>
      <c r="Q192" s="125" t="str">
        <f>IF(Ujian!Q199="","",IF(LEFT(Ujian!Q199,1)=SEKOR!Q$2,1,0))</f>
        <v/>
      </c>
      <c r="R192" s="125" t="str">
        <f>IF(Ujian!R199="","",IF(LEFT(Ujian!R199,1)=SEKOR!R$2,1,0))</f>
        <v/>
      </c>
      <c r="S192" s="125" t="str">
        <f>IF(Ujian!S199="","",IF(LEFT(Ujian!S199,1)=SEKOR!S$2,1,0))</f>
        <v/>
      </c>
      <c r="T192" s="125" t="str">
        <f>IF(Ujian!T199="","",IF(LEFT(Ujian!T199,1)=SEKOR!T$2,1,0))</f>
        <v/>
      </c>
      <c r="U192" s="125" t="str">
        <f>IF(Ujian!U199="","",IF(LEFT(Ujian!U199,1)=SEKOR!U$2,1,0))</f>
        <v/>
      </c>
      <c r="V192" s="125" t="str">
        <f>IF(Ujian!V199="","",IF(LEFT(Ujian!V199,1)=SEKOR!V$2,1,0))</f>
        <v/>
      </c>
      <c r="W192" s="125" t="str">
        <f>IF(Ujian!W199="","",IF(LEFT(Ujian!W199,1)=SEKOR!W$2,1,0))</f>
        <v/>
      </c>
      <c r="X192" s="125" t="str">
        <f>IF(Ujian!X199="","",IF(LEFT(Ujian!X199,1)=SEKOR!X$2,1,0))</f>
        <v/>
      </c>
      <c r="Y192" s="125" t="str">
        <f>IF(Ujian!Y199="","",IF(LEFT(Ujian!Y199,1)=SEKOR!Y$2,1,0))</f>
        <v/>
      </c>
      <c r="Z192" s="125" t="str">
        <f>IF(Ujian!Z199="","",IF(LEFT(Ujian!Z199,1)=SEKOR!Z$2,1,0))</f>
        <v/>
      </c>
      <c r="AA192" s="125" t="str">
        <f>IF(Ujian!AA199="","",IF(LEFT(Ujian!AA199,1)=SEKOR!AA$2,1,0))</f>
        <v/>
      </c>
      <c r="AB192" s="125" t="str">
        <f>IF(Ujian!AB199="","",IF(LEFT(Ujian!AB199,1)=SEKOR!AB$2,1,0))</f>
        <v/>
      </c>
      <c r="AC192" s="125" t="str">
        <f>IF(Ujian!AC199="","",IF(LEFT(Ujian!AC199,1)=SEKOR!AC$2,1,0))</f>
        <v/>
      </c>
      <c r="AD192" s="125" t="str">
        <f>IF(Ujian!AD199="","",IF(LEFT(Ujian!AD199,1)=SEKOR!AD$2,1,0))</f>
        <v/>
      </c>
      <c r="AE192" s="125" t="str">
        <f>IF(Ujian!AE199="","",IF(LEFT(Ujian!AE199,1)=SEKOR!AE$2,1,0))</f>
        <v/>
      </c>
      <c r="AF192" s="125" t="str">
        <f>IF(Ujian!AF199="","",IF(LEFT(Ujian!AF199,1)=SEKOR!AF$2,1,0))</f>
        <v/>
      </c>
      <c r="AG192" s="125" t="str">
        <f>IF(Ujian!AG199="","",IF(LEFT(Ujian!AG199,1)=SEKOR!AG$2,1,0))</f>
        <v/>
      </c>
      <c r="AH192" s="125" t="str">
        <f>IF(Ujian!AH199="","",IF(LEFT(Ujian!AH199,1)=SEKOR!AH$2,1,0))</f>
        <v/>
      </c>
      <c r="AI192" s="125" t="str">
        <f>IF(Ujian!AI199="","",IF(LEFT(Ujian!AI199,1)=SEKOR!AI$2,1,0))</f>
        <v/>
      </c>
      <c r="AJ192" s="125" t="str">
        <f>IF(Ujian!AJ199="","",IF(LEFT(Ujian!AJ199,1)=SEKOR!AJ$2,1,0))</f>
        <v/>
      </c>
      <c r="AK192" s="125" t="str">
        <f>IF(Ujian!AK199="","",IF(LEFT(Ujian!AK199,1)=SEKOR!AK$2,1,0))</f>
        <v/>
      </c>
      <c r="AL192" s="125" t="str">
        <f>IF(Ujian!AL199="","",IF(LEFT(Ujian!AL199,1)=SEKOR!AL$2,1,0))</f>
        <v/>
      </c>
      <c r="AM192" s="125" t="str">
        <f>IF(Ujian!AM199="","",IF(LEFT(Ujian!AM199,1)=SEKOR!AM$2,1,0))</f>
        <v/>
      </c>
      <c r="AN192" s="125" t="str">
        <f>IF(Ujian!AN199="","",IF(LEFT(Ujian!AN199,1)=SEKOR!AN$2,1,0))</f>
        <v/>
      </c>
      <c r="AO192" s="125" t="str">
        <f>IF(Ujian!AO199="","",IF(LEFT(Ujian!AO199,1)=SEKOR!AO$2,1,0))</f>
        <v/>
      </c>
      <c r="AP192" s="125" t="str">
        <f>IF(Ujian!AP199="","",IF(LEFT(Ujian!AP199,1)=SEKOR!AP$2,1,0))</f>
        <v/>
      </c>
      <c r="AQ192" s="125" t="str">
        <f>IF(Ujian!AQ199="","",IF(LEFT(Ujian!AQ199,1)=SEKOR!AQ$2,1,0))</f>
        <v/>
      </c>
      <c r="AR192" s="125" t="str">
        <f>IF(Ujian!AR199="","",IF(LEFT(Ujian!AR199,1)=SEKOR!AR$2,1,0))</f>
        <v/>
      </c>
      <c r="AS192" s="125" t="str">
        <f>IF(Ujian!AS199="","",IF(LEFT(Ujian!AS199,1)=SEKOR!AS$2,1,0))</f>
        <v/>
      </c>
      <c r="AT192" s="125" t="str">
        <f>IF(Ujian!AT199="","",IF(LEFT(Ujian!AT199,1)=SEKOR!AT$2,1,0))</f>
        <v/>
      </c>
      <c r="AU192" s="125" t="str">
        <f>IF(Ujian!AU199="","",IF(LEFT(Ujian!AU199,1)=SEKOR!AU$2,1,0))</f>
        <v/>
      </c>
      <c r="AV192" s="125" t="str">
        <f>IF(Ujian!AV199="","",IF(LEFT(Ujian!AV199,1)=SEKOR!AV$2,1,0))</f>
        <v/>
      </c>
      <c r="AW192" s="125" t="str">
        <f>IF(Ujian!AW199="","",IF(LEFT(Ujian!AW199,1)=SEKOR!AW$2,1,0))</f>
        <v/>
      </c>
      <c r="AX192" s="125" t="str">
        <f>IF(Ujian!AX199="","",IF(LEFT(Ujian!AX199,1)=SEKOR!AX$2,1,0))</f>
        <v/>
      </c>
      <c r="AY192" s="125" t="str">
        <f>IF(Ujian!AY199="","",IF(LEFT(Ujian!AY199,1)=SEKOR!AY$2,1,0))</f>
        <v/>
      </c>
      <c r="AZ192" s="125" t="str">
        <f>IF(Ujian!AZ199="","",IF(LEFT(Ujian!AZ199,1)=SEKOR!AZ$2,1,0))</f>
        <v/>
      </c>
      <c r="BA192" s="125" t="str">
        <f>IF(Ujian!BA199="","",IF(LEFT(Ujian!BA199,1)=SEKOR!BA$2,1,0))</f>
        <v/>
      </c>
      <c r="BB192" s="125" t="str">
        <f>IF(Ujian!BB199="","",IF(LEFT(Ujian!BB199,1)=SEKOR!BB$2,1,0))</f>
        <v/>
      </c>
      <c r="BC192" s="125" t="str">
        <f>IF(Ujian!BC199="","",IF(LEFT(Ujian!BC199,1)=SEKOR!BC$2,1,0))</f>
        <v/>
      </c>
      <c r="BD192" s="125" t="str">
        <f>IF(Ujian!BD199="","",IF(LEFT(Ujian!BD199,1)=SEKOR!BD$2,1,0))</f>
        <v/>
      </c>
      <c r="BE192" s="125" t="str">
        <f>IF(Ujian!BE199="","",IF(LEFT(Ujian!BE199,1)=SEKOR!BE$2,1,0))</f>
        <v/>
      </c>
      <c r="BF192" s="125" t="str">
        <f>IF(Ujian!BF199="","",IF(LEFT(Ujian!BF199,1)=SEKOR!BF$2,1,0))</f>
        <v/>
      </c>
      <c r="BG192" s="125" t="str">
        <f>IF(Ujian!BG199="","",IF(LEFT(Ujian!BG199,1)=SEKOR!BG$2,1,0))</f>
        <v/>
      </c>
      <c r="BH192" s="125" t="str">
        <f>IF(Ujian!BH199="","",IF(LEFT(Ujian!BH199,1)=SEKOR!BH$2,1,0))</f>
        <v/>
      </c>
      <c r="BI192" s="125" t="str">
        <f>IF(Ujian!BI199="","",IF(LEFT(Ujian!BI199,1)=SEKOR!BI$2,1,0))</f>
        <v/>
      </c>
      <c r="BJ192" s="125" t="str">
        <f>IF(Ujian!BJ199="","",IF(LEFT(Ujian!BJ199,1)=SEKOR!BJ$2,1,0))</f>
        <v/>
      </c>
      <c r="BK192" s="125" t="str">
        <f>IF(Ujian!BK199="","",IF(LEFT(Ujian!BK199,1)=SEKOR!BK$2,1,0))</f>
        <v/>
      </c>
      <c r="BL192" s="18">
        <f t="shared" si="4"/>
        <v>0</v>
      </c>
      <c r="BM192" s="18">
        <f>COUNTIF($D192:$BK192,"")+DATA!$F$14-DATA!$F$12</f>
        <v>60</v>
      </c>
      <c r="BN192" s="17">
        <f>IF(COUNTIF($D192:$BK192,1)&gt;DATA!$F$14,DATA!$F$14,COUNTIF($D192:$BK192,1))</f>
        <v>0</v>
      </c>
      <c r="BO192" s="17">
        <f>IF((BN192+COUNTIF($D192:$BK192,0))&lt;=DATA!$F$14,COUNTIF($D192:$BK192,0),DATA!$F$14-SEKOR!BN192)</f>
        <v>0</v>
      </c>
      <c r="BP192" s="4" t="str">
        <f>IF(BL192=0,"",BN192/DATA!$F$14*100)</f>
        <v/>
      </c>
      <c r="BQ192" s="121" t="str">
        <f t="shared" si="5"/>
        <v/>
      </c>
      <c r="BR192" s="2" t="str">
        <f>IF(Praktik!$E192=0,"",Praktik!$E192)</f>
        <v/>
      </c>
      <c r="BS192" s="2" t="str">
        <f>IF(BR192="","",(BP192*DATAINFO!$O$4)+(SEKOR!BR192*DATAINFO!$O$5)/(DATAINFO!$O$4+DATAINFO!$O$5))</f>
        <v/>
      </c>
      <c r="BT192" s="2" t="str">
        <f>IF(BL192=0,"",IF(DATA!$F$18="TIDAK",ROUNDUP((IF!$L$8*SEKOR!$BP192)+IF!$L$9,0),IF($BR192="","",ROUNDUP((IF!$L$20*$BS192)+IF!$L$21,0))))</f>
        <v/>
      </c>
      <c r="BU192" s="47" t="str">
        <f>IF(BP192="","",IF(SEKOR!BP192&gt;=DATA!$J$12,1,0))</f>
        <v/>
      </c>
      <c r="BV192" s="47" t="str">
        <f>IF(BQ192="","",IF(SEKOR!BQ192&gt;=DATA!$J$12,1,0))</f>
        <v/>
      </c>
      <c r="BW192" s="47" t="str">
        <f>IF(BR192="","",IF(SEKOR!BR192&gt;=DATA!$J$12,1,0))</f>
        <v/>
      </c>
      <c r="BX192" s="47" t="str">
        <f>IF(BT192="","",IF(DATA!$J$14="",IF(SEKOR!BT192&gt;=DATA!$J$12,1,0),IF(SEKOR!BT192&gt;=DATA!$J$14,1,0)))</f>
        <v/>
      </c>
    </row>
    <row r="193" spans="1:76" x14ac:dyDescent="0.25">
      <c r="A193" s="20" t="s">
        <v>220</v>
      </c>
      <c r="B193" s="21" t="str">
        <f>IF(Ujian!B200="","",Ujian!B200)</f>
        <v/>
      </c>
      <c r="C193" s="57" t="str">
        <f>IF(Ujian!C200="","",Ujian!C200)</f>
        <v/>
      </c>
      <c r="D193" s="125" t="str">
        <f>IF(Ujian!D200="","",IF(LEFT(Ujian!D200,1)=SEKOR!D$2,1,0))</f>
        <v/>
      </c>
      <c r="E193" s="125" t="str">
        <f>IF(Ujian!E200="","",IF(LEFT(Ujian!E200,1)=SEKOR!E$2,1,0))</f>
        <v/>
      </c>
      <c r="F193" s="125" t="str">
        <f>IF(Ujian!F200="","",IF(LEFT(Ujian!F200,1)=SEKOR!F$2,1,0))</f>
        <v/>
      </c>
      <c r="G193" s="125" t="str">
        <f>IF(Ujian!G200="","",IF(LEFT(Ujian!G200,1)=SEKOR!G$2,1,0))</f>
        <v/>
      </c>
      <c r="H193" s="125" t="str">
        <f>IF(Ujian!H200="","",IF(LEFT(Ujian!H200,1)=SEKOR!H$2,1,0))</f>
        <v/>
      </c>
      <c r="I193" s="125" t="str">
        <f>IF(Ujian!I200="","",IF(LEFT(Ujian!I200,1)=SEKOR!I$2,1,0))</f>
        <v/>
      </c>
      <c r="J193" s="125" t="str">
        <f>IF(Ujian!J200="","",IF(LEFT(Ujian!J200,1)=SEKOR!J$2,1,0))</f>
        <v/>
      </c>
      <c r="K193" s="125" t="str">
        <f>IF(Ujian!K200="","",IF(LEFT(Ujian!K200,1)=SEKOR!K$2,1,0))</f>
        <v/>
      </c>
      <c r="L193" s="125" t="str">
        <f>IF(Ujian!L200="","",IF(LEFT(Ujian!L200,1)=SEKOR!L$2,1,0))</f>
        <v/>
      </c>
      <c r="M193" s="125" t="str">
        <f>IF(Ujian!M200="","",IF(LEFT(Ujian!M200,1)=SEKOR!M$2,1,0))</f>
        <v/>
      </c>
      <c r="N193" s="125" t="str">
        <f>IF(Ujian!N200="","",IF(LEFT(Ujian!N200,1)=SEKOR!N$2,1,0))</f>
        <v/>
      </c>
      <c r="O193" s="125" t="str">
        <f>IF(Ujian!O200="","",IF(LEFT(Ujian!O200,1)=SEKOR!O$2,1,0))</f>
        <v/>
      </c>
      <c r="P193" s="125" t="str">
        <f>IF(Ujian!P200="","",IF(LEFT(Ujian!P200,1)=SEKOR!P$2,1,0))</f>
        <v/>
      </c>
      <c r="Q193" s="125" t="str">
        <f>IF(Ujian!Q200="","",IF(LEFT(Ujian!Q200,1)=SEKOR!Q$2,1,0))</f>
        <v/>
      </c>
      <c r="R193" s="125" t="str">
        <f>IF(Ujian!R200="","",IF(LEFT(Ujian!R200,1)=SEKOR!R$2,1,0))</f>
        <v/>
      </c>
      <c r="S193" s="125" t="str">
        <f>IF(Ujian!S200="","",IF(LEFT(Ujian!S200,1)=SEKOR!S$2,1,0))</f>
        <v/>
      </c>
      <c r="T193" s="125" t="str">
        <f>IF(Ujian!T200="","",IF(LEFT(Ujian!T200,1)=SEKOR!T$2,1,0))</f>
        <v/>
      </c>
      <c r="U193" s="125" t="str">
        <f>IF(Ujian!U200="","",IF(LEFT(Ujian!U200,1)=SEKOR!U$2,1,0))</f>
        <v/>
      </c>
      <c r="V193" s="125" t="str">
        <f>IF(Ujian!V200="","",IF(LEFT(Ujian!V200,1)=SEKOR!V$2,1,0))</f>
        <v/>
      </c>
      <c r="W193" s="125" t="str">
        <f>IF(Ujian!W200="","",IF(LEFT(Ujian!W200,1)=SEKOR!W$2,1,0))</f>
        <v/>
      </c>
      <c r="X193" s="125" t="str">
        <f>IF(Ujian!X200="","",IF(LEFT(Ujian!X200,1)=SEKOR!X$2,1,0))</f>
        <v/>
      </c>
      <c r="Y193" s="125" t="str">
        <f>IF(Ujian!Y200="","",IF(LEFT(Ujian!Y200,1)=SEKOR!Y$2,1,0))</f>
        <v/>
      </c>
      <c r="Z193" s="125" t="str">
        <f>IF(Ujian!Z200="","",IF(LEFT(Ujian!Z200,1)=SEKOR!Z$2,1,0))</f>
        <v/>
      </c>
      <c r="AA193" s="125" t="str">
        <f>IF(Ujian!AA200="","",IF(LEFT(Ujian!AA200,1)=SEKOR!AA$2,1,0))</f>
        <v/>
      </c>
      <c r="AB193" s="125" t="str">
        <f>IF(Ujian!AB200="","",IF(LEFT(Ujian!AB200,1)=SEKOR!AB$2,1,0))</f>
        <v/>
      </c>
      <c r="AC193" s="125" t="str">
        <f>IF(Ujian!AC200="","",IF(LEFT(Ujian!AC200,1)=SEKOR!AC$2,1,0))</f>
        <v/>
      </c>
      <c r="AD193" s="125" t="str">
        <f>IF(Ujian!AD200="","",IF(LEFT(Ujian!AD200,1)=SEKOR!AD$2,1,0))</f>
        <v/>
      </c>
      <c r="AE193" s="125" t="str">
        <f>IF(Ujian!AE200="","",IF(LEFT(Ujian!AE200,1)=SEKOR!AE$2,1,0))</f>
        <v/>
      </c>
      <c r="AF193" s="125" t="str">
        <f>IF(Ujian!AF200="","",IF(LEFT(Ujian!AF200,1)=SEKOR!AF$2,1,0))</f>
        <v/>
      </c>
      <c r="AG193" s="125" t="str">
        <f>IF(Ujian!AG200="","",IF(LEFT(Ujian!AG200,1)=SEKOR!AG$2,1,0))</f>
        <v/>
      </c>
      <c r="AH193" s="125" t="str">
        <f>IF(Ujian!AH200="","",IF(LEFT(Ujian!AH200,1)=SEKOR!AH$2,1,0))</f>
        <v/>
      </c>
      <c r="AI193" s="125" t="str">
        <f>IF(Ujian!AI200="","",IF(LEFT(Ujian!AI200,1)=SEKOR!AI$2,1,0))</f>
        <v/>
      </c>
      <c r="AJ193" s="125" t="str">
        <f>IF(Ujian!AJ200="","",IF(LEFT(Ujian!AJ200,1)=SEKOR!AJ$2,1,0))</f>
        <v/>
      </c>
      <c r="AK193" s="125" t="str">
        <f>IF(Ujian!AK200="","",IF(LEFT(Ujian!AK200,1)=SEKOR!AK$2,1,0))</f>
        <v/>
      </c>
      <c r="AL193" s="125" t="str">
        <f>IF(Ujian!AL200="","",IF(LEFT(Ujian!AL200,1)=SEKOR!AL$2,1,0))</f>
        <v/>
      </c>
      <c r="AM193" s="125" t="str">
        <f>IF(Ujian!AM200="","",IF(LEFT(Ujian!AM200,1)=SEKOR!AM$2,1,0))</f>
        <v/>
      </c>
      <c r="AN193" s="125" t="str">
        <f>IF(Ujian!AN200="","",IF(LEFT(Ujian!AN200,1)=SEKOR!AN$2,1,0))</f>
        <v/>
      </c>
      <c r="AO193" s="125" t="str">
        <f>IF(Ujian!AO200="","",IF(LEFT(Ujian!AO200,1)=SEKOR!AO$2,1,0))</f>
        <v/>
      </c>
      <c r="AP193" s="125" t="str">
        <f>IF(Ujian!AP200="","",IF(LEFT(Ujian!AP200,1)=SEKOR!AP$2,1,0))</f>
        <v/>
      </c>
      <c r="AQ193" s="125" t="str">
        <f>IF(Ujian!AQ200="","",IF(LEFT(Ujian!AQ200,1)=SEKOR!AQ$2,1,0))</f>
        <v/>
      </c>
      <c r="AR193" s="125" t="str">
        <f>IF(Ujian!AR200="","",IF(LEFT(Ujian!AR200,1)=SEKOR!AR$2,1,0))</f>
        <v/>
      </c>
      <c r="AS193" s="125" t="str">
        <f>IF(Ujian!AS200="","",IF(LEFT(Ujian!AS200,1)=SEKOR!AS$2,1,0))</f>
        <v/>
      </c>
      <c r="AT193" s="125" t="str">
        <f>IF(Ujian!AT200="","",IF(LEFT(Ujian!AT200,1)=SEKOR!AT$2,1,0))</f>
        <v/>
      </c>
      <c r="AU193" s="125" t="str">
        <f>IF(Ujian!AU200="","",IF(LEFT(Ujian!AU200,1)=SEKOR!AU$2,1,0))</f>
        <v/>
      </c>
      <c r="AV193" s="125" t="str">
        <f>IF(Ujian!AV200="","",IF(LEFT(Ujian!AV200,1)=SEKOR!AV$2,1,0))</f>
        <v/>
      </c>
      <c r="AW193" s="125" t="str">
        <f>IF(Ujian!AW200="","",IF(LEFT(Ujian!AW200,1)=SEKOR!AW$2,1,0))</f>
        <v/>
      </c>
      <c r="AX193" s="125" t="str">
        <f>IF(Ujian!AX200="","",IF(LEFT(Ujian!AX200,1)=SEKOR!AX$2,1,0))</f>
        <v/>
      </c>
      <c r="AY193" s="125" t="str">
        <f>IF(Ujian!AY200="","",IF(LEFT(Ujian!AY200,1)=SEKOR!AY$2,1,0))</f>
        <v/>
      </c>
      <c r="AZ193" s="125" t="str">
        <f>IF(Ujian!AZ200="","",IF(LEFT(Ujian!AZ200,1)=SEKOR!AZ$2,1,0))</f>
        <v/>
      </c>
      <c r="BA193" s="125" t="str">
        <f>IF(Ujian!BA200="","",IF(LEFT(Ujian!BA200,1)=SEKOR!BA$2,1,0))</f>
        <v/>
      </c>
      <c r="BB193" s="125" t="str">
        <f>IF(Ujian!BB200="","",IF(LEFT(Ujian!BB200,1)=SEKOR!BB$2,1,0))</f>
        <v/>
      </c>
      <c r="BC193" s="125" t="str">
        <f>IF(Ujian!BC200="","",IF(LEFT(Ujian!BC200,1)=SEKOR!BC$2,1,0))</f>
        <v/>
      </c>
      <c r="BD193" s="125" t="str">
        <f>IF(Ujian!BD200="","",IF(LEFT(Ujian!BD200,1)=SEKOR!BD$2,1,0))</f>
        <v/>
      </c>
      <c r="BE193" s="125" t="str">
        <f>IF(Ujian!BE200="","",IF(LEFT(Ujian!BE200,1)=SEKOR!BE$2,1,0))</f>
        <v/>
      </c>
      <c r="BF193" s="125" t="str">
        <f>IF(Ujian!BF200="","",IF(LEFT(Ujian!BF200,1)=SEKOR!BF$2,1,0))</f>
        <v/>
      </c>
      <c r="BG193" s="125" t="str">
        <f>IF(Ujian!BG200="","",IF(LEFT(Ujian!BG200,1)=SEKOR!BG$2,1,0))</f>
        <v/>
      </c>
      <c r="BH193" s="125" t="str">
        <f>IF(Ujian!BH200="","",IF(LEFT(Ujian!BH200,1)=SEKOR!BH$2,1,0))</f>
        <v/>
      </c>
      <c r="BI193" s="125" t="str">
        <f>IF(Ujian!BI200="","",IF(LEFT(Ujian!BI200,1)=SEKOR!BI$2,1,0))</f>
        <v/>
      </c>
      <c r="BJ193" s="125" t="str">
        <f>IF(Ujian!BJ200="","",IF(LEFT(Ujian!BJ200,1)=SEKOR!BJ$2,1,0))</f>
        <v/>
      </c>
      <c r="BK193" s="125" t="str">
        <f>IF(Ujian!BK200="","",IF(LEFT(Ujian!BK200,1)=SEKOR!BK$2,1,0))</f>
        <v/>
      </c>
      <c r="BL193" s="18">
        <f t="shared" si="4"/>
        <v>0</v>
      </c>
      <c r="BM193" s="18">
        <f>COUNTIF($D193:$BK193,"")+DATA!$F$14-DATA!$F$12</f>
        <v>60</v>
      </c>
      <c r="BN193" s="17">
        <f>IF(COUNTIF($D193:$BK193,1)&gt;DATA!$F$14,DATA!$F$14,COUNTIF($D193:$BK193,1))</f>
        <v>0</v>
      </c>
      <c r="BO193" s="17">
        <f>IF((BN193+COUNTIF($D193:$BK193,0))&lt;=DATA!$F$14,COUNTIF($D193:$BK193,0),DATA!$F$14-SEKOR!BN193)</f>
        <v>0</v>
      </c>
      <c r="BP193" s="4" t="str">
        <f>IF(BL193=0,"",BN193/DATA!$F$14*100)</f>
        <v/>
      </c>
      <c r="BQ193" s="121" t="str">
        <f t="shared" si="5"/>
        <v/>
      </c>
      <c r="BR193" s="2" t="str">
        <f>IF(Praktik!$E193=0,"",Praktik!$E193)</f>
        <v/>
      </c>
      <c r="BS193" s="2" t="str">
        <f>IF(BR193="","",(BP193*DATAINFO!$O$4)+(SEKOR!BR193*DATAINFO!$O$5)/(DATAINFO!$O$4+DATAINFO!$O$5))</f>
        <v/>
      </c>
      <c r="BT193" s="2" t="str">
        <f>IF(BL193=0,"",IF(DATA!$F$18="TIDAK",ROUNDUP((IF!$L$8*SEKOR!$BP193)+IF!$L$9,0),IF($BR193="","",ROUNDUP((IF!$L$20*$BS193)+IF!$L$21,0))))</f>
        <v/>
      </c>
      <c r="BU193" s="47" t="str">
        <f>IF(BP193="","",IF(SEKOR!BP193&gt;=DATA!$J$12,1,0))</f>
        <v/>
      </c>
      <c r="BV193" s="47" t="str">
        <f>IF(BQ193="","",IF(SEKOR!BQ193&gt;=DATA!$J$12,1,0))</f>
        <v/>
      </c>
      <c r="BW193" s="47" t="str">
        <f>IF(BR193="","",IF(SEKOR!BR193&gt;=DATA!$J$12,1,0))</f>
        <v/>
      </c>
      <c r="BX193" s="47" t="str">
        <f>IF(BT193="","",IF(DATA!$J$14="",IF(SEKOR!BT193&gt;=DATA!$J$12,1,0),IF(SEKOR!BT193&gt;=DATA!$J$14,1,0)))</f>
        <v/>
      </c>
    </row>
    <row r="194" spans="1:76" x14ac:dyDescent="0.25">
      <c r="A194" s="20" t="s">
        <v>221</v>
      </c>
      <c r="B194" s="21" t="str">
        <f>IF(Ujian!B201="","",Ujian!B201)</f>
        <v/>
      </c>
      <c r="C194" s="57" t="str">
        <f>IF(Ujian!C201="","",Ujian!C201)</f>
        <v/>
      </c>
      <c r="D194" s="125" t="str">
        <f>IF(Ujian!D201="","",IF(LEFT(Ujian!D201,1)=SEKOR!D$2,1,0))</f>
        <v/>
      </c>
      <c r="E194" s="125" t="str">
        <f>IF(Ujian!E201="","",IF(LEFT(Ujian!E201,1)=SEKOR!E$2,1,0))</f>
        <v/>
      </c>
      <c r="F194" s="125" t="str">
        <f>IF(Ujian!F201="","",IF(LEFT(Ujian!F201,1)=SEKOR!F$2,1,0))</f>
        <v/>
      </c>
      <c r="G194" s="125" t="str">
        <f>IF(Ujian!G201="","",IF(LEFT(Ujian!G201,1)=SEKOR!G$2,1,0))</f>
        <v/>
      </c>
      <c r="H194" s="125" t="str">
        <f>IF(Ujian!H201="","",IF(LEFT(Ujian!H201,1)=SEKOR!H$2,1,0))</f>
        <v/>
      </c>
      <c r="I194" s="125" t="str">
        <f>IF(Ujian!I201="","",IF(LEFT(Ujian!I201,1)=SEKOR!I$2,1,0))</f>
        <v/>
      </c>
      <c r="J194" s="125" t="str">
        <f>IF(Ujian!J201="","",IF(LEFT(Ujian!J201,1)=SEKOR!J$2,1,0))</f>
        <v/>
      </c>
      <c r="K194" s="125" t="str">
        <f>IF(Ujian!K201="","",IF(LEFT(Ujian!K201,1)=SEKOR!K$2,1,0))</f>
        <v/>
      </c>
      <c r="L194" s="125" t="str">
        <f>IF(Ujian!L201="","",IF(LEFT(Ujian!L201,1)=SEKOR!L$2,1,0))</f>
        <v/>
      </c>
      <c r="M194" s="125" t="str">
        <f>IF(Ujian!M201="","",IF(LEFT(Ujian!M201,1)=SEKOR!M$2,1,0))</f>
        <v/>
      </c>
      <c r="N194" s="125" t="str">
        <f>IF(Ujian!N201="","",IF(LEFT(Ujian!N201,1)=SEKOR!N$2,1,0))</f>
        <v/>
      </c>
      <c r="O194" s="125" t="str">
        <f>IF(Ujian!O201="","",IF(LEFT(Ujian!O201,1)=SEKOR!O$2,1,0))</f>
        <v/>
      </c>
      <c r="P194" s="125" t="str">
        <f>IF(Ujian!P201="","",IF(LEFT(Ujian!P201,1)=SEKOR!P$2,1,0))</f>
        <v/>
      </c>
      <c r="Q194" s="125" t="str">
        <f>IF(Ujian!Q201="","",IF(LEFT(Ujian!Q201,1)=SEKOR!Q$2,1,0))</f>
        <v/>
      </c>
      <c r="R194" s="125" t="str">
        <f>IF(Ujian!R201="","",IF(LEFT(Ujian!R201,1)=SEKOR!R$2,1,0))</f>
        <v/>
      </c>
      <c r="S194" s="125" t="str">
        <f>IF(Ujian!S201="","",IF(LEFT(Ujian!S201,1)=SEKOR!S$2,1,0))</f>
        <v/>
      </c>
      <c r="T194" s="125" t="str">
        <f>IF(Ujian!T201="","",IF(LEFT(Ujian!T201,1)=SEKOR!T$2,1,0))</f>
        <v/>
      </c>
      <c r="U194" s="125" t="str">
        <f>IF(Ujian!U201="","",IF(LEFT(Ujian!U201,1)=SEKOR!U$2,1,0))</f>
        <v/>
      </c>
      <c r="V194" s="125" t="str">
        <f>IF(Ujian!V201="","",IF(LEFT(Ujian!V201,1)=SEKOR!V$2,1,0))</f>
        <v/>
      </c>
      <c r="W194" s="125" t="str">
        <f>IF(Ujian!W201="","",IF(LEFT(Ujian!W201,1)=SEKOR!W$2,1,0))</f>
        <v/>
      </c>
      <c r="X194" s="125" t="str">
        <f>IF(Ujian!X201="","",IF(LEFT(Ujian!X201,1)=SEKOR!X$2,1,0))</f>
        <v/>
      </c>
      <c r="Y194" s="125" t="str">
        <f>IF(Ujian!Y201="","",IF(LEFT(Ujian!Y201,1)=SEKOR!Y$2,1,0))</f>
        <v/>
      </c>
      <c r="Z194" s="125" t="str">
        <f>IF(Ujian!Z201="","",IF(LEFT(Ujian!Z201,1)=SEKOR!Z$2,1,0))</f>
        <v/>
      </c>
      <c r="AA194" s="125" t="str">
        <f>IF(Ujian!AA201="","",IF(LEFT(Ujian!AA201,1)=SEKOR!AA$2,1,0))</f>
        <v/>
      </c>
      <c r="AB194" s="125" t="str">
        <f>IF(Ujian!AB201="","",IF(LEFT(Ujian!AB201,1)=SEKOR!AB$2,1,0))</f>
        <v/>
      </c>
      <c r="AC194" s="125" t="str">
        <f>IF(Ujian!AC201="","",IF(LEFT(Ujian!AC201,1)=SEKOR!AC$2,1,0))</f>
        <v/>
      </c>
      <c r="AD194" s="125" t="str">
        <f>IF(Ujian!AD201="","",IF(LEFT(Ujian!AD201,1)=SEKOR!AD$2,1,0))</f>
        <v/>
      </c>
      <c r="AE194" s="125" t="str">
        <f>IF(Ujian!AE201="","",IF(LEFT(Ujian!AE201,1)=SEKOR!AE$2,1,0))</f>
        <v/>
      </c>
      <c r="AF194" s="125" t="str">
        <f>IF(Ujian!AF201="","",IF(LEFT(Ujian!AF201,1)=SEKOR!AF$2,1,0))</f>
        <v/>
      </c>
      <c r="AG194" s="125" t="str">
        <f>IF(Ujian!AG201="","",IF(LEFT(Ujian!AG201,1)=SEKOR!AG$2,1,0))</f>
        <v/>
      </c>
      <c r="AH194" s="125" t="str">
        <f>IF(Ujian!AH201="","",IF(LEFT(Ujian!AH201,1)=SEKOR!AH$2,1,0))</f>
        <v/>
      </c>
      <c r="AI194" s="125" t="str">
        <f>IF(Ujian!AI201="","",IF(LEFT(Ujian!AI201,1)=SEKOR!AI$2,1,0))</f>
        <v/>
      </c>
      <c r="AJ194" s="125" t="str">
        <f>IF(Ujian!AJ201="","",IF(LEFT(Ujian!AJ201,1)=SEKOR!AJ$2,1,0))</f>
        <v/>
      </c>
      <c r="AK194" s="125" t="str">
        <f>IF(Ujian!AK201="","",IF(LEFT(Ujian!AK201,1)=SEKOR!AK$2,1,0))</f>
        <v/>
      </c>
      <c r="AL194" s="125" t="str">
        <f>IF(Ujian!AL201="","",IF(LEFT(Ujian!AL201,1)=SEKOR!AL$2,1,0))</f>
        <v/>
      </c>
      <c r="AM194" s="125" t="str">
        <f>IF(Ujian!AM201="","",IF(LEFT(Ujian!AM201,1)=SEKOR!AM$2,1,0))</f>
        <v/>
      </c>
      <c r="AN194" s="125" t="str">
        <f>IF(Ujian!AN201="","",IF(LEFT(Ujian!AN201,1)=SEKOR!AN$2,1,0))</f>
        <v/>
      </c>
      <c r="AO194" s="125" t="str">
        <f>IF(Ujian!AO201="","",IF(LEFT(Ujian!AO201,1)=SEKOR!AO$2,1,0))</f>
        <v/>
      </c>
      <c r="AP194" s="125" t="str">
        <f>IF(Ujian!AP201="","",IF(LEFT(Ujian!AP201,1)=SEKOR!AP$2,1,0))</f>
        <v/>
      </c>
      <c r="AQ194" s="125" t="str">
        <f>IF(Ujian!AQ201="","",IF(LEFT(Ujian!AQ201,1)=SEKOR!AQ$2,1,0))</f>
        <v/>
      </c>
      <c r="AR194" s="125" t="str">
        <f>IF(Ujian!AR201="","",IF(LEFT(Ujian!AR201,1)=SEKOR!AR$2,1,0))</f>
        <v/>
      </c>
      <c r="AS194" s="125" t="str">
        <f>IF(Ujian!AS201="","",IF(LEFT(Ujian!AS201,1)=SEKOR!AS$2,1,0))</f>
        <v/>
      </c>
      <c r="AT194" s="125" t="str">
        <f>IF(Ujian!AT201="","",IF(LEFT(Ujian!AT201,1)=SEKOR!AT$2,1,0))</f>
        <v/>
      </c>
      <c r="AU194" s="125" t="str">
        <f>IF(Ujian!AU201="","",IF(LEFT(Ujian!AU201,1)=SEKOR!AU$2,1,0))</f>
        <v/>
      </c>
      <c r="AV194" s="125" t="str">
        <f>IF(Ujian!AV201="","",IF(LEFT(Ujian!AV201,1)=SEKOR!AV$2,1,0))</f>
        <v/>
      </c>
      <c r="AW194" s="125" t="str">
        <f>IF(Ujian!AW201="","",IF(LEFT(Ujian!AW201,1)=SEKOR!AW$2,1,0))</f>
        <v/>
      </c>
      <c r="AX194" s="125" t="str">
        <f>IF(Ujian!AX201="","",IF(LEFT(Ujian!AX201,1)=SEKOR!AX$2,1,0))</f>
        <v/>
      </c>
      <c r="AY194" s="125" t="str">
        <f>IF(Ujian!AY201="","",IF(LEFT(Ujian!AY201,1)=SEKOR!AY$2,1,0))</f>
        <v/>
      </c>
      <c r="AZ194" s="125" t="str">
        <f>IF(Ujian!AZ201="","",IF(LEFT(Ujian!AZ201,1)=SEKOR!AZ$2,1,0))</f>
        <v/>
      </c>
      <c r="BA194" s="125" t="str">
        <f>IF(Ujian!BA201="","",IF(LEFT(Ujian!BA201,1)=SEKOR!BA$2,1,0))</f>
        <v/>
      </c>
      <c r="BB194" s="125" t="str">
        <f>IF(Ujian!BB201="","",IF(LEFT(Ujian!BB201,1)=SEKOR!BB$2,1,0))</f>
        <v/>
      </c>
      <c r="BC194" s="125" t="str">
        <f>IF(Ujian!BC201="","",IF(LEFT(Ujian!BC201,1)=SEKOR!BC$2,1,0))</f>
        <v/>
      </c>
      <c r="BD194" s="125" t="str">
        <f>IF(Ujian!BD201="","",IF(LEFT(Ujian!BD201,1)=SEKOR!BD$2,1,0))</f>
        <v/>
      </c>
      <c r="BE194" s="125" t="str">
        <f>IF(Ujian!BE201="","",IF(LEFT(Ujian!BE201,1)=SEKOR!BE$2,1,0))</f>
        <v/>
      </c>
      <c r="BF194" s="125" t="str">
        <f>IF(Ujian!BF201="","",IF(LEFT(Ujian!BF201,1)=SEKOR!BF$2,1,0))</f>
        <v/>
      </c>
      <c r="BG194" s="125" t="str">
        <f>IF(Ujian!BG201="","",IF(LEFT(Ujian!BG201,1)=SEKOR!BG$2,1,0))</f>
        <v/>
      </c>
      <c r="BH194" s="125" t="str">
        <f>IF(Ujian!BH201="","",IF(LEFT(Ujian!BH201,1)=SEKOR!BH$2,1,0))</f>
        <v/>
      </c>
      <c r="BI194" s="125" t="str">
        <f>IF(Ujian!BI201="","",IF(LEFT(Ujian!BI201,1)=SEKOR!BI$2,1,0))</f>
        <v/>
      </c>
      <c r="BJ194" s="125" t="str">
        <f>IF(Ujian!BJ201="","",IF(LEFT(Ujian!BJ201,1)=SEKOR!BJ$2,1,0))</f>
        <v/>
      </c>
      <c r="BK194" s="125" t="str">
        <f>IF(Ujian!BK201="","",IF(LEFT(Ujian!BK201,1)=SEKOR!BK$2,1,0))</f>
        <v/>
      </c>
      <c r="BL194" s="18">
        <f t="shared" si="4"/>
        <v>0</v>
      </c>
      <c r="BM194" s="18">
        <f>COUNTIF($D194:$BK194,"")+DATA!$F$14-DATA!$F$12</f>
        <v>60</v>
      </c>
      <c r="BN194" s="17">
        <f>IF(COUNTIF($D194:$BK194,1)&gt;DATA!$F$14,DATA!$F$14,COUNTIF($D194:$BK194,1))</f>
        <v>0</v>
      </c>
      <c r="BO194" s="17">
        <f>IF((BN194+COUNTIF($D194:$BK194,0))&lt;=DATA!$F$14,COUNTIF($D194:$BK194,0),DATA!$F$14-SEKOR!BN194)</f>
        <v>0</v>
      </c>
      <c r="BP194" s="4" t="str">
        <f>IF(BL194=0,"",BN194/DATA!$F$14*100)</f>
        <v/>
      </c>
      <c r="BQ194" s="121" t="str">
        <f t="shared" si="5"/>
        <v/>
      </c>
      <c r="BR194" s="2" t="str">
        <f>IF(Praktik!$E194=0,"",Praktik!$E194)</f>
        <v/>
      </c>
      <c r="BS194" s="2" t="str">
        <f>IF(BR194="","",(BP194*DATAINFO!$O$4)+(SEKOR!BR194*DATAINFO!$O$5)/(DATAINFO!$O$4+DATAINFO!$O$5))</f>
        <v/>
      </c>
      <c r="BT194" s="2" t="str">
        <f>IF(BL194=0,"",IF(DATA!$F$18="TIDAK",ROUNDUP((IF!$L$8*SEKOR!$BP194)+IF!$L$9,0),IF($BR194="","",ROUNDUP((IF!$L$20*$BS194)+IF!$L$21,0))))</f>
        <v/>
      </c>
      <c r="BU194" s="47" t="str">
        <f>IF(BP194="","",IF(SEKOR!BP194&gt;=DATA!$J$12,1,0))</f>
        <v/>
      </c>
      <c r="BV194" s="47" t="str">
        <f>IF(BQ194="","",IF(SEKOR!BQ194&gt;=DATA!$J$12,1,0))</f>
        <v/>
      </c>
      <c r="BW194" s="47" t="str">
        <f>IF(BR194="","",IF(SEKOR!BR194&gt;=DATA!$J$12,1,0))</f>
        <v/>
      </c>
      <c r="BX194" s="47" t="str">
        <f>IF(BT194="","",IF(DATA!$J$14="",IF(SEKOR!BT194&gt;=DATA!$J$12,1,0),IF(SEKOR!BT194&gt;=DATA!$J$14,1,0)))</f>
        <v/>
      </c>
    </row>
    <row r="195" spans="1:76" x14ac:dyDescent="0.25">
      <c r="A195" s="20" t="s">
        <v>222</v>
      </c>
      <c r="B195" s="21" t="str">
        <f>IF(Ujian!B202="","",Ujian!B202)</f>
        <v/>
      </c>
      <c r="C195" s="57" t="str">
        <f>IF(Ujian!C202="","",Ujian!C202)</f>
        <v/>
      </c>
      <c r="D195" s="125" t="str">
        <f>IF(Ujian!D202="","",IF(LEFT(Ujian!D202,1)=SEKOR!D$2,1,0))</f>
        <v/>
      </c>
      <c r="E195" s="125" t="str">
        <f>IF(Ujian!E202="","",IF(LEFT(Ujian!E202,1)=SEKOR!E$2,1,0))</f>
        <v/>
      </c>
      <c r="F195" s="125" t="str">
        <f>IF(Ujian!F202="","",IF(LEFT(Ujian!F202,1)=SEKOR!F$2,1,0))</f>
        <v/>
      </c>
      <c r="G195" s="125" t="str">
        <f>IF(Ujian!G202="","",IF(LEFT(Ujian!G202,1)=SEKOR!G$2,1,0))</f>
        <v/>
      </c>
      <c r="H195" s="125" t="str">
        <f>IF(Ujian!H202="","",IF(LEFT(Ujian!H202,1)=SEKOR!H$2,1,0))</f>
        <v/>
      </c>
      <c r="I195" s="125" t="str">
        <f>IF(Ujian!I202="","",IF(LEFT(Ujian!I202,1)=SEKOR!I$2,1,0))</f>
        <v/>
      </c>
      <c r="J195" s="125" t="str">
        <f>IF(Ujian!J202="","",IF(LEFT(Ujian!J202,1)=SEKOR!J$2,1,0))</f>
        <v/>
      </c>
      <c r="K195" s="125" t="str">
        <f>IF(Ujian!K202="","",IF(LEFT(Ujian!K202,1)=SEKOR!K$2,1,0))</f>
        <v/>
      </c>
      <c r="L195" s="125" t="str">
        <f>IF(Ujian!L202="","",IF(LEFT(Ujian!L202,1)=SEKOR!L$2,1,0))</f>
        <v/>
      </c>
      <c r="M195" s="125" t="str">
        <f>IF(Ujian!M202="","",IF(LEFT(Ujian!M202,1)=SEKOR!M$2,1,0))</f>
        <v/>
      </c>
      <c r="N195" s="125" t="str">
        <f>IF(Ujian!N202="","",IF(LEFT(Ujian!N202,1)=SEKOR!N$2,1,0))</f>
        <v/>
      </c>
      <c r="O195" s="125" t="str">
        <f>IF(Ujian!O202="","",IF(LEFT(Ujian!O202,1)=SEKOR!O$2,1,0))</f>
        <v/>
      </c>
      <c r="P195" s="125" t="str">
        <f>IF(Ujian!P202="","",IF(LEFT(Ujian!P202,1)=SEKOR!P$2,1,0))</f>
        <v/>
      </c>
      <c r="Q195" s="125" t="str">
        <f>IF(Ujian!Q202="","",IF(LEFT(Ujian!Q202,1)=SEKOR!Q$2,1,0))</f>
        <v/>
      </c>
      <c r="R195" s="125" t="str">
        <f>IF(Ujian!R202="","",IF(LEFT(Ujian!R202,1)=SEKOR!R$2,1,0))</f>
        <v/>
      </c>
      <c r="S195" s="125" t="str">
        <f>IF(Ujian!S202="","",IF(LEFT(Ujian!S202,1)=SEKOR!S$2,1,0))</f>
        <v/>
      </c>
      <c r="T195" s="125" t="str">
        <f>IF(Ujian!T202="","",IF(LEFT(Ujian!T202,1)=SEKOR!T$2,1,0))</f>
        <v/>
      </c>
      <c r="U195" s="125" t="str">
        <f>IF(Ujian!U202="","",IF(LEFT(Ujian!U202,1)=SEKOR!U$2,1,0))</f>
        <v/>
      </c>
      <c r="V195" s="125" t="str">
        <f>IF(Ujian!V202="","",IF(LEFT(Ujian!V202,1)=SEKOR!V$2,1,0))</f>
        <v/>
      </c>
      <c r="W195" s="125" t="str">
        <f>IF(Ujian!W202="","",IF(LEFT(Ujian!W202,1)=SEKOR!W$2,1,0))</f>
        <v/>
      </c>
      <c r="X195" s="125" t="str">
        <f>IF(Ujian!X202="","",IF(LEFT(Ujian!X202,1)=SEKOR!X$2,1,0))</f>
        <v/>
      </c>
      <c r="Y195" s="125" t="str">
        <f>IF(Ujian!Y202="","",IF(LEFT(Ujian!Y202,1)=SEKOR!Y$2,1,0))</f>
        <v/>
      </c>
      <c r="Z195" s="125" t="str">
        <f>IF(Ujian!Z202="","",IF(LEFT(Ujian!Z202,1)=SEKOR!Z$2,1,0))</f>
        <v/>
      </c>
      <c r="AA195" s="125" t="str">
        <f>IF(Ujian!AA202="","",IF(LEFT(Ujian!AA202,1)=SEKOR!AA$2,1,0))</f>
        <v/>
      </c>
      <c r="AB195" s="125" t="str">
        <f>IF(Ujian!AB202="","",IF(LEFT(Ujian!AB202,1)=SEKOR!AB$2,1,0))</f>
        <v/>
      </c>
      <c r="AC195" s="125" t="str">
        <f>IF(Ujian!AC202="","",IF(LEFT(Ujian!AC202,1)=SEKOR!AC$2,1,0))</f>
        <v/>
      </c>
      <c r="AD195" s="125" t="str">
        <f>IF(Ujian!AD202="","",IF(LEFT(Ujian!AD202,1)=SEKOR!AD$2,1,0))</f>
        <v/>
      </c>
      <c r="AE195" s="125" t="str">
        <f>IF(Ujian!AE202="","",IF(LEFT(Ujian!AE202,1)=SEKOR!AE$2,1,0))</f>
        <v/>
      </c>
      <c r="AF195" s="125" t="str">
        <f>IF(Ujian!AF202="","",IF(LEFT(Ujian!AF202,1)=SEKOR!AF$2,1,0))</f>
        <v/>
      </c>
      <c r="AG195" s="125" t="str">
        <f>IF(Ujian!AG202="","",IF(LEFT(Ujian!AG202,1)=SEKOR!AG$2,1,0))</f>
        <v/>
      </c>
      <c r="AH195" s="125" t="str">
        <f>IF(Ujian!AH202="","",IF(LEFT(Ujian!AH202,1)=SEKOR!AH$2,1,0))</f>
        <v/>
      </c>
      <c r="AI195" s="125" t="str">
        <f>IF(Ujian!AI202="","",IF(LEFT(Ujian!AI202,1)=SEKOR!AI$2,1,0))</f>
        <v/>
      </c>
      <c r="AJ195" s="125" t="str">
        <f>IF(Ujian!AJ202="","",IF(LEFT(Ujian!AJ202,1)=SEKOR!AJ$2,1,0))</f>
        <v/>
      </c>
      <c r="AK195" s="125" t="str">
        <f>IF(Ujian!AK202="","",IF(LEFT(Ujian!AK202,1)=SEKOR!AK$2,1,0))</f>
        <v/>
      </c>
      <c r="AL195" s="125" t="str">
        <f>IF(Ujian!AL202="","",IF(LEFT(Ujian!AL202,1)=SEKOR!AL$2,1,0))</f>
        <v/>
      </c>
      <c r="AM195" s="125" t="str">
        <f>IF(Ujian!AM202="","",IF(LEFT(Ujian!AM202,1)=SEKOR!AM$2,1,0))</f>
        <v/>
      </c>
      <c r="AN195" s="125" t="str">
        <f>IF(Ujian!AN202="","",IF(LEFT(Ujian!AN202,1)=SEKOR!AN$2,1,0))</f>
        <v/>
      </c>
      <c r="AO195" s="125" t="str">
        <f>IF(Ujian!AO202="","",IF(LEFT(Ujian!AO202,1)=SEKOR!AO$2,1,0))</f>
        <v/>
      </c>
      <c r="AP195" s="125" t="str">
        <f>IF(Ujian!AP202="","",IF(LEFT(Ujian!AP202,1)=SEKOR!AP$2,1,0))</f>
        <v/>
      </c>
      <c r="AQ195" s="125" t="str">
        <f>IF(Ujian!AQ202="","",IF(LEFT(Ujian!AQ202,1)=SEKOR!AQ$2,1,0))</f>
        <v/>
      </c>
      <c r="AR195" s="125" t="str">
        <f>IF(Ujian!AR202="","",IF(LEFT(Ujian!AR202,1)=SEKOR!AR$2,1,0))</f>
        <v/>
      </c>
      <c r="AS195" s="125" t="str">
        <f>IF(Ujian!AS202="","",IF(LEFT(Ujian!AS202,1)=SEKOR!AS$2,1,0))</f>
        <v/>
      </c>
      <c r="AT195" s="125" t="str">
        <f>IF(Ujian!AT202="","",IF(LEFT(Ujian!AT202,1)=SEKOR!AT$2,1,0))</f>
        <v/>
      </c>
      <c r="AU195" s="125" t="str">
        <f>IF(Ujian!AU202="","",IF(LEFT(Ujian!AU202,1)=SEKOR!AU$2,1,0))</f>
        <v/>
      </c>
      <c r="AV195" s="125" t="str">
        <f>IF(Ujian!AV202="","",IF(LEFT(Ujian!AV202,1)=SEKOR!AV$2,1,0))</f>
        <v/>
      </c>
      <c r="AW195" s="125" t="str">
        <f>IF(Ujian!AW202="","",IF(LEFT(Ujian!AW202,1)=SEKOR!AW$2,1,0))</f>
        <v/>
      </c>
      <c r="AX195" s="125" t="str">
        <f>IF(Ujian!AX202="","",IF(LEFT(Ujian!AX202,1)=SEKOR!AX$2,1,0))</f>
        <v/>
      </c>
      <c r="AY195" s="125" t="str">
        <f>IF(Ujian!AY202="","",IF(LEFT(Ujian!AY202,1)=SEKOR!AY$2,1,0))</f>
        <v/>
      </c>
      <c r="AZ195" s="125" t="str">
        <f>IF(Ujian!AZ202="","",IF(LEFT(Ujian!AZ202,1)=SEKOR!AZ$2,1,0))</f>
        <v/>
      </c>
      <c r="BA195" s="125" t="str">
        <f>IF(Ujian!BA202="","",IF(LEFT(Ujian!BA202,1)=SEKOR!BA$2,1,0))</f>
        <v/>
      </c>
      <c r="BB195" s="125" t="str">
        <f>IF(Ujian!BB202="","",IF(LEFT(Ujian!BB202,1)=SEKOR!BB$2,1,0))</f>
        <v/>
      </c>
      <c r="BC195" s="125" t="str">
        <f>IF(Ujian!BC202="","",IF(LEFT(Ujian!BC202,1)=SEKOR!BC$2,1,0))</f>
        <v/>
      </c>
      <c r="BD195" s="125" t="str">
        <f>IF(Ujian!BD202="","",IF(LEFT(Ujian!BD202,1)=SEKOR!BD$2,1,0))</f>
        <v/>
      </c>
      <c r="BE195" s="125" t="str">
        <f>IF(Ujian!BE202="","",IF(LEFT(Ujian!BE202,1)=SEKOR!BE$2,1,0))</f>
        <v/>
      </c>
      <c r="BF195" s="125" t="str">
        <f>IF(Ujian!BF202="","",IF(LEFT(Ujian!BF202,1)=SEKOR!BF$2,1,0))</f>
        <v/>
      </c>
      <c r="BG195" s="125" t="str">
        <f>IF(Ujian!BG202="","",IF(LEFT(Ujian!BG202,1)=SEKOR!BG$2,1,0))</f>
        <v/>
      </c>
      <c r="BH195" s="125" t="str">
        <f>IF(Ujian!BH202="","",IF(LEFT(Ujian!BH202,1)=SEKOR!BH$2,1,0))</f>
        <v/>
      </c>
      <c r="BI195" s="125" t="str">
        <f>IF(Ujian!BI202="","",IF(LEFT(Ujian!BI202,1)=SEKOR!BI$2,1,0))</f>
        <v/>
      </c>
      <c r="BJ195" s="125" t="str">
        <f>IF(Ujian!BJ202="","",IF(LEFT(Ujian!BJ202,1)=SEKOR!BJ$2,1,0))</f>
        <v/>
      </c>
      <c r="BK195" s="125" t="str">
        <f>IF(Ujian!BK202="","",IF(LEFT(Ujian!BK202,1)=SEKOR!BK$2,1,0))</f>
        <v/>
      </c>
      <c r="BL195" s="18">
        <f t="shared" si="4"/>
        <v>0</v>
      </c>
      <c r="BM195" s="18">
        <f>COUNTIF($D195:$BK195,"")+DATA!$F$14-DATA!$F$12</f>
        <v>60</v>
      </c>
      <c r="BN195" s="17">
        <f>IF(COUNTIF($D195:$BK195,1)&gt;DATA!$F$14,DATA!$F$14,COUNTIF($D195:$BK195,1))</f>
        <v>0</v>
      </c>
      <c r="BO195" s="17">
        <f>IF((BN195+COUNTIF($D195:$BK195,0))&lt;=DATA!$F$14,COUNTIF($D195:$BK195,0),DATA!$F$14-SEKOR!BN195)</f>
        <v>0</v>
      </c>
      <c r="BP195" s="4" t="str">
        <f>IF(BL195=0,"",BN195/DATA!$F$14*100)</f>
        <v/>
      </c>
      <c r="BQ195" s="121" t="str">
        <f t="shared" si="5"/>
        <v/>
      </c>
      <c r="BR195" s="2" t="str">
        <f>IF(Praktik!$E195=0,"",Praktik!$E195)</f>
        <v/>
      </c>
      <c r="BS195" s="2" t="str">
        <f>IF(BR195="","",(BP195*DATAINFO!$O$4)+(SEKOR!BR195*DATAINFO!$O$5)/(DATAINFO!$O$4+DATAINFO!$O$5))</f>
        <v/>
      </c>
      <c r="BT195" s="2" t="str">
        <f>IF(BL195=0,"",IF(DATA!$F$18="TIDAK",ROUNDUP((IF!$L$8*SEKOR!$BP195)+IF!$L$9,0),IF($BR195="","",ROUNDUP((IF!$L$20*$BS195)+IF!$L$21,0))))</f>
        <v/>
      </c>
      <c r="BU195" s="47" t="str">
        <f>IF(BP195="","",IF(SEKOR!BP195&gt;=DATA!$J$12,1,0))</f>
        <v/>
      </c>
      <c r="BV195" s="47" t="str">
        <f>IF(BQ195="","",IF(SEKOR!BQ195&gt;=DATA!$J$12,1,0))</f>
        <v/>
      </c>
      <c r="BW195" s="47" t="str">
        <f>IF(BR195="","",IF(SEKOR!BR195&gt;=DATA!$J$12,1,0))</f>
        <v/>
      </c>
      <c r="BX195" s="47" t="str">
        <f>IF(BT195="","",IF(DATA!$J$14="",IF(SEKOR!BT195&gt;=DATA!$J$12,1,0),IF(SEKOR!BT195&gt;=DATA!$J$14,1,0)))</f>
        <v/>
      </c>
    </row>
    <row r="196" spans="1:76" x14ac:dyDescent="0.25">
      <c r="A196" s="20" t="s">
        <v>223</v>
      </c>
      <c r="B196" s="21" t="str">
        <f>IF(Ujian!B203="","",Ujian!B203)</f>
        <v/>
      </c>
      <c r="C196" s="57" t="str">
        <f>IF(Ujian!C203="","",Ujian!C203)</f>
        <v/>
      </c>
      <c r="D196" s="125" t="str">
        <f>IF(Ujian!D203="","",IF(LEFT(Ujian!D203,1)=SEKOR!D$2,1,0))</f>
        <v/>
      </c>
      <c r="E196" s="125" t="str">
        <f>IF(Ujian!E203="","",IF(LEFT(Ujian!E203,1)=SEKOR!E$2,1,0))</f>
        <v/>
      </c>
      <c r="F196" s="125" t="str">
        <f>IF(Ujian!F203="","",IF(LEFT(Ujian!F203,1)=SEKOR!F$2,1,0))</f>
        <v/>
      </c>
      <c r="G196" s="125" t="str">
        <f>IF(Ujian!G203="","",IF(LEFT(Ujian!G203,1)=SEKOR!G$2,1,0))</f>
        <v/>
      </c>
      <c r="H196" s="125" t="str">
        <f>IF(Ujian!H203="","",IF(LEFT(Ujian!H203,1)=SEKOR!H$2,1,0))</f>
        <v/>
      </c>
      <c r="I196" s="125" t="str">
        <f>IF(Ujian!I203="","",IF(LEFT(Ujian!I203,1)=SEKOR!I$2,1,0))</f>
        <v/>
      </c>
      <c r="J196" s="125" t="str">
        <f>IF(Ujian!J203="","",IF(LEFT(Ujian!J203,1)=SEKOR!J$2,1,0))</f>
        <v/>
      </c>
      <c r="K196" s="125" t="str">
        <f>IF(Ujian!K203="","",IF(LEFT(Ujian!K203,1)=SEKOR!K$2,1,0))</f>
        <v/>
      </c>
      <c r="L196" s="125" t="str">
        <f>IF(Ujian!L203="","",IF(LEFT(Ujian!L203,1)=SEKOR!L$2,1,0))</f>
        <v/>
      </c>
      <c r="M196" s="125" t="str">
        <f>IF(Ujian!M203="","",IF(LEFT(Ujian!M203,1)=SEKOR!M$2,1,0))</f>
        <v/>
      </c>
      <c r="N196" s="125" t="str">
        <f>IF(Ujian!N203="","",IF(LEFT(Ujian!N203,1)=SEKOR!N$2,1,0))</f>
        <v/>
      </c>
      <c r="O196" s="125" t="str">
        <f>IF(Ujian!O203="","",IF(LEFT(Ujian!O203,1)=SEKOR!O$2,1,0))</f>
        <v/>
      </c>
      <c r="P196" s="125" t="str">
        <f>IF(Ujian!P203="","",IF(LEFT(Ujian!P203,1)=SEKOR!P$2,1,0))</f>
        <v/>
      </c>
      <c r="Q196" s="125" t="str">
        <f>IF(Ujian!Q203="","",IF(LEFT(Ujian!Q203,1)=SEKOR!Q$2,1,0))</f>
        <v/>
      </c>
      <c r="R196" s="125" t="str">
        <f>IF(Ujian!R203="","",IF(LEFT(Ujian!R203,1)=SEKOR!R$2,1,0))</f>
        <v/>
      </c>
      <c r="S196" s="125" t="str">
        <f>IF(Ujian!S203="","",IF(LEFT(Ujian!S203,1)=SEKOR!S$2,1,0))</f>
        <v/>
      </c>
      <c r="T196" s="125" t="str">
        <f>IF(Ujian!T203="","",IF(LEFT(Ujian!T203,1)=SEKOR!T$2,1,0))</f>
        <v/>
      </c>
      <c r="U196" s="125" t="str">
        <f>IF(Ujian!U203="","",IF(LEFT(Ujian!U203,1)=SEKOR!U$2,1,0))</f>
        <v/>
      </c>
      <c r="V196" s="125" t="str">
        <f>IF(Ujian!V203="","",IF(LEFT(Ujian!V203,1)=SEKOR!V$2,1,0))</f>
        <v/>
      </c>
      <c r="W196" s="125" t="str">
        <f>IF(Ujian!W203="","",IF(LEFT(Ujian!W203,1)=SEKOR!W$2,1,0))</f>
        <v/>
      </c>
      <c r="X196" s="125" t="str">
        <f>IF(Ujian!X203="","",IF(LEFT(Ujian!X203,1)=SEKOR!X$2,1,0))</f>
        <v/>
      </c>
      <c r="Y196" s="125" t="str">
        <f>IF(Ujian!Y203="","",IF(LEFT(Ujian!Y203,1)=SEKOR!Y$2,1,0))</f>
        <v/>
      </c>
      <c r="Z196" s="125" t="str">
        <f>IF(Ujian!Z203="","",IF(LEFT(Ujian!Z203,1)=SEKOR!Z$2,1,0))</f>
        <v/>
      </c>
      <c r="AA196" s="125" t="str">
        <f>IF(Ujian!AA203="","",IF(LEFT(Ujian!AA203,1)=SEKOR!AA$2,1,0))</f>
        <v/>
      </c>
      <c r="AB196" s="125" t="str">
        <f>IF(Ujian!AB203="","",IF(LEFT(Ujian!AB203,1)=SEKOR!AB$2,1,0))</f>
        <v/>
      </c>
      <c r="AC196" s="125" t="str">
        <f>IF(Ujian!AC203="","",IF(LEFT(Ujian!AC203,1)=SEKOR!AC$2,1,0))</f>
        <v/>
      </c>
      <c r="AD196" s="125" t="str">
        <f>IF(Ujian!AD203="","",IF(LEFT(Ujian!AD203,1)=SEKOR!AD$2,1,0))</f>
        <v/>
      </c>
      <c r="AE196" s="125" t="str">
        <f>IF(Ujian!AE203="","",IF(LEFT(Ujian!AE203,1)=SEKOR!AE$2,1,0))</f>
        <v/>
      </c>
      <c r="AF196" s="125" t="str">
        <f>IF(Ujian!AF203="","",IF(LEFT(Ujian!AF203,1)=SEKOR!AF$2,1,0))</f>
        <v/>
      </c>
      <c r="AG196" s="125" t="str">
        <f>IF(Ujian!AG203="","",IF(LEFT(Ujian!AG203,1)=SEKOR!AG$2,1,0))</f>
        <v/>
      </c>
      <c r="AH196" s="125" t="str">
        <f>IF(Ujian!AH203="","",IF(LEFT(Ujian!AH203,1)=SEKOR!AH$2,1,0))</f>
        <v/>
      </c>
      <c r="AI196" s="125" t="str">
        <f>IF(Ujian!AI203="","",IF(LEFT(Ujian!AI203,1)=SEKOR!AI$2,1,0))</f>
        <v/>
      </c>
      <c r="AJ196" s="125" t="str">
        <f>IF(Ujian!AJ203="","",IF(LEFT(Ujian!AJ203,1)=SEKOR!AJ$2,1,0))</f>
        <v/>
      </c>
      <c r="AK196" s="125" t="str">
        <f>IF(Ujian!AK203="","",IF(LEFT(Ujian!AK203,1)=SEKOR!AK$2,1,0))</f>
        <v/>
      </c>
      <c r="AL196" s="125" t="str">
        <f>IF(Ujian!AL203="","",IF(LEFT(Ujian!AL203,1)=SEKOR!AL$2,1,0))</f>
        <v/>
      </c>
      <c r="AM196" s="125" t="str">
        <f>IF(Ujian!AM203="","",IF(LEFT(Ujian!AM203,1)=SEKOR!AM$2,1,0))</f>
        <v/>
      </c>
      <c r="AN196" s="125" t="str">
        <f>IF(Ujian!AN203="","",IF(LEFT(Ujian!AN203,1)=SEKOR!AN$2,1,0))</f>
        <v/>
      </c>
      <c r="AO196" s="125" t="str">
        <f>IF(Ujian!AO203="","",IF(LEFT(Ujian!AO203,1)=SEKOR!AO$2,1,0))</f>
        <v/>
      </c>
      <c r="AP196" s="125" t="str">
        <f>IF(Ujian!AP203="","",IF(LEFT(Ujian!AP203,1)=SEKOR!AP$2,1,0))</f>
        <v/>
      </c>
      <c r="AQ196" s="125" t="str">
        <f>IF(Ujian!AQ203="","",IF(LEFT(Ujian!AQ203,1)=SEKOR!AQ$2,1,0))</f>
        <v/>
      </c>
      <c r="AR196" s="125" t="str">
        <f>IF(Ujian!AR203="","",IF(LEFT(Ujian!AR203,1)=SEKOR!AR$2,1,0))</f>
        <v/>
      </c>
      <c r="AS196" s="125" t="str">
        <f>IF(Ujian!AS203="","",IF(LEFT(Ujian!AS203,1)=SEKOR!AS$2,1,0))</f>
        <v/>
      </c>
      <c r="AT196" s="125" t="str">
        <f>IF(Ujian!AT203="","",IF(LEFT(Ujian!AT203,1)=SEKOR!AT$2,1,0))</f>
        <v/>
      </c>
      <c r="AU196" s="125" t="str">
        <f>IF(Ujian!AU203="","",IF(LEFT(Ujian!AU203,1)=SEKOR!AU$2,1,0))</f>
        <v/>
      </c>
      <c r="AV196" s="125" t="str">
        <f>IF(Ujian!AV203="","",IF(LEFT(Ujian!AV203,1)=SEKOR!AV$2,1,0))</f>
        <v/>
      </c>
      <c r="AW196" s="125" t="str">
        <f>IF(Ujian!AW203="","",IF(LEFT(Ujian!AW203,1)=SEKOR!AW$2,1,0))</f>
        <v/>
      </c>
      <c r="AX196" s="125" t="str">
        <f>IF(Ujian!AX203="","",IF(LEFT(Ujian!AX203,1)=SEKOR!AX$2,1,0))</f>
        <v/>
      </c>
      <c r="AY196" s="125" t="str">
        <f>IF(Ujian!AY203="","",IF(LEFT(Ujian!AY203,1)=SEKOR!AY$2,1,0))</f>
        <v/>
      </c>
      <c r="AZ196" s="125" t="str">
        <f>IF(Ujian!AZ203="","",IF(LEFT(Ujian!AZ203,1)=SEKOR!AZ$2,1,0))</f>
        <v/>
      </c>
      <c r="BA196" s="125" t="str">
        <f>IF(Ujian!BA203="","",IF(LEFT(Ujian!BA203,1)=SEKOR!BA$2,1,0))</f>
        <v/>
      </c>
      <c r="BB196" s="125" t="str">
        <f>IF(Ujian!BB203="","",IF(LEFT(Ujian!BB203,1)=SEKOR!BB$2,1,0))</f>
        <v/>
      </c>
      <c r="BC196" s="125" t="str">
        <f>IF(Ujian!BC203="","",IF(LEFT(Ujian!BC203,1)=SEKOR!BC$2,1,0))</f>
        <v/>
      </c>
      <c r="BD196" s="125" t="str">
        <f>IF(Ujian!BD203="","",IF(LEFT(Ujian!BD203,1)=SEKOR!BD$2,1,0))</f>
        <v/>
      </c>
      <c r="BE196" s="125" t="str">
        <f>IF(Ujian!BE203="","",IF(LEFT(Ujian!BE203,1)=SEKOR!BE$2,1,0))</f>
        <v/>
      </c>
      <c r="BF196" s="125" t="str">
        <f>IF(Ujian!BF203="","",IF(LEFT(Ujian!BF203,1)=SEKOR!BF$2,1,0))</f>
        <v/>
      </c>
      <c r="BG196" s="125" t="str">
        <f>IF(Ujian!BG203="","",IF(LEFT(Ujian!BG203,1)=SEKOR!BG$2,1,0))</f>
        <v/>
      </c>
      <c r="BH196" s="125" t="str">
        <f>IF(Ujian!BH203="","",IF(LEFT(Ujian!BH203,1)=SEKOR!BH$2,1,0))</f>
        <v/>
      </c>
      <c r="BI196" s="125" t="str">
        <f>IF(Ujian!BI203="","",IF(LEFT(Ujian!BI203,1)=SEKOR!BI$2,1,0))</f>
        <v/>
      </c>
      <c r="BJ196" s="125" t="str">
        <f>IF(Ujian!BJ203="","",IF(LEFT(Ujian!BJ203,1)=SEKOR!BJ$2,1,0))</f>
        <v/>
      </c>
      <c r="BK196" s="125" t="str">
        <f>IF(Ujian!BK203="","",IF(LEFT(Ujian!BK203,1)=SEKOR!BK$2,1,0))</f>
        <v/>
      </c>
      <c r="BL196" s="18">
        <f t="shared" ref="BL196:BL222" si="6">COUNT($D196:$BK196)</f>
        <v>0</v>
      </c>
      <c r="BM196" s="18">
        <f>COUNTIF($D196:$BK196,"")+DATA!$F$14-DATA!$F$12</f>
        <v>60</v>
      </c>
      <c r="BN196" s="17">
        <f>IF(COUNTIF($D196:$BK196,1)&gt;DATA!$F$14,DATA!$F$14,COUNTIF($D196:$BK196,1))</f>
        <v>0</v>
      </c>
      <c r="BO196" s="17">
        <f>IF((BN196+COUNTIF($D196:$BK196,0))&lt;=DATA!$F$14,COUNTIF($D196:$BK196,0),DATA!$F$14-SEKOR!BN196)</f>
        <v>0</v>
      </c>
      <c r="BP196" s="4" t="str">
        <f>IF(BL196=0,"",BN196/DATA!$F$14*100)</f>
        <v/>
      </c>
      <c r="BQ196" s="121" t="str">
        <f t="shared" ref="BQ196:BQ222" si="7">IF(BL196=0,"",BN196/MAX($BN$3:$BN$222)*100)</f>
        <v/>
      </c>
      <c r="BR196" s="2" t="str">
        <f>IF(Praktik!$E196=0,"",Praktik!$E196)</f>
        <v/>
      </c>
      <c r="BS196" s="2" t="str">
        <f>IF(BR196="","",(BP196*DATAINFO!$O$4)+(SEKOR!BR196*DATAINFO!$O$5)/(DATAINFO!$O$4+DATAINFO!$O$5))</f>
        <v/>
      </c>
      <c r="BT196" s="2" t="str">
        <f>IF(BL196=0,"",IF(DATA!$F$18="TIDAK",ROUNDUP((IF!$L$8*SEKOR!$BP196)+IF!$L$9,0),IF($BR196="","",ROUNDUP((IF!$L$20*$BS196)+IF!$L$21,0))))</f>
        <v/>
      </c>
      <c r="BU196" s="47" t="str">
        <f>IF(BP196="","",IF(SEKOR!BP196&gt;=DATA!$J$12,1,0))</f>
        <v/>
      </c>
      <c r="BV196" s="47" t="str">
        <f>IF(BQ196="","",IF(SEKOR!BQ196&gt;=DATA!$J$12,1,0))</f>
        <v/>
      </c>
      <c r="BW196" s="47" t="str">
        <f>IF(BR196="","",IF(SEKOR!BR196&gt;=DATA!$J$12,1,0))</f>
        <v/>
      </c>
      <c r="BX196" s="47" t="str">
        <f>IF(BT196="","",IF(DATA!$J$14="",IF(SEKOR!BT196&gt;=DATA!$J$12,1,0),IF(SEKOR!BT196&gt;=DATA!$J$14,1,0)))</f>
        <v/>
      </c>
    </row>
    <row r="197" spans="1:76" x14ac:dyDescent="0.25">
      <c r="A197" s="20" t="s">
        <v>224</v>
      </c>
      <c r="B197" s="21" t="str">
        <f>IF(Ujian!B204="","",Ujian!B204)</f>
        <v/>
      </c>
      <c r="C197" s="57" t="str">
        <f>IF(Ujian!C204="","",Ujian!C204)</f>
        <v/>
      </c>
      <c r="D197" s="125" t="str">
        <f>IF(Ujian!D204="","",IF(LEFT(Ujian!D204,1)=SEKOR!D$2,1,0))</f>
        <v/>
      </c>
      <c r="E197" s="125" t="str">
        <f>IF(Ujian!E204="","",IF(LEFT(Ujian!E204,1)=SEKOR!E$2,1,0))</f>
        <v/>
      </c>
      <c r="F197" s="125" t="str">
        <f>IF(Ujian!F204="","",IF(LEFT(Ujian!F204,1)=SEKOR!F$2,1,0))</f>
        <v/>
      </c>
      <c r="G197" s="125" t="str">
        <f>IF(Ujian!G204="","",IF(LEFT(Ujian!G204,1)=SEKOR!G$2,1,0))</f>
        <v/>
      </c>
      <c r="H197" s="125" t="str">
        <f>IF(Ujian!H204="","",IF(LEFT(Ujian!H204,1)=SEKOR!H$2,1,0))</f>
        <v/>
      </c>
      <c r="I197" s="125" t="str">
        <f>IF(Ujian!I204="","",IF(LEFT(Ujian!I204,1)=SEKOR!I$2,1,0))</f>
        <v/>
      </c>
      <c r="J197" s="125" t="str">
        <f>IF(Ujian!J204="","",IF(LEFT(Ujian!J204,1)=SEKOR!J$2,1,0))</f>
        <v/>
      </c>
      <c r="K197" s="125" t="str">
        <f>IF(Ujian!K204="","",IF(LEFT(Ujian!K204,1)=SEKOR!K$2,1,0))</f>
        <v/>
      </c>
      <c r="L197" s="125" t="str">
        <f>IF(Ujian!L204="","",IF(LEFT(Ujian!L204,1)=SEKOR!L$2,1,0))</f>
        <v/>
      </c>
      <c r="M197" s="125" t="str">
        <f>IF(Ujian!M204="","",IF(LEFT(Ujian!M204,1)=SEKOR!M$2,1,0))</f>
        <v/>
      </c>
      <c r="N197" s="125" t="str">
        <f>IF(Ujian!N204="","",IF(LEFT(Ujian!N204,1)=SEKOR!N$2,1,0))</f>
        <v/>
      </c>
      <c r="O197" s="125" t="str">
        <f>IF(Ujian!O204="","",IF(LEFT(Ujian!O204,1)=SEKOR!O$2,1,0))</f>
        <v/>
      </c>
      <c r="P197" s="125" t="str">
        <f>IF(Ujian!P204="","",IF(LEFT(Ujian!P204,1)=SEKOR!P$2,1,0))</f>
        <v/>
      </c>
      <c r="Q197" s="125" t="str">
        <f>IF(Ujian!Q204="","",IF(LEFT(Ujian!Q204,1)=SEKOR!Q$2,1,0))</f>
        <v/>
      </c>
      <c r="R197" s="125" t="str">
        <f>IF(Ujian!R204="","",IF(LEFT(Ujian!R204,1)=SEKOR!R$2,1,0))</f>
        <v/>
      </c>
      <c r="S197" s="125" t="str">
        <f>IF(Ujian!S204="","",IF(LEFT(Ujian!S204,1)=SEKOR!S$2,1,0))</f>
        <v/>
      </c>
      <c r="T197" s="125" t="str">
        <f>IF(Ujian!T204="","",IF(LEFT(Ujian!T204,1)=SEKOR!T$2,1,0))</f>
        <v/>
      </c>
      <c r="U197" s="125" t="str">
        <f>IF(Ujian!U204="","",IF(LEFT(Ujian!U204,1)=SEKOR!U$2,1,0))</f>
        <v/>
      </c>
      <c r="V197" s="125" t="str">
        <f>IF(Ujian!V204="","",IF(LEFT(Ujian!V204,1)=SEKOR!V$2,1,0))</f>
        <v/>
      </c>
      <c r="W197" s="125" t="str">
        <f>IF(Ujian!W204="","",IF(LEFT(Ujian!W204,1)=SEKOR!W$2,1,0))</f>
        <v/>
      </c>
      <c r="X197" s="125" t="str">
        <f>IF(Ujian!X204="","",IF(LEFT(Ujian!X204,1)=SEKOR!X$2,1,0))</f>
        <v/>
      </c>
      <c r="Y197" s="125" t="str">
        <f>IF(Ujian!Y204="","",IF(LEFT(Ujian!Y204,1)=SEKOR!Y$2,1,0))</f>
        <v/>
      </c>
      <c r="Z197" s="125" t="str">
        <f>IF(Ujian!Z204="","",IF(LEFT(Ujian!Z204,1)=SEKOR!Z$2,1,0))</f>
        <v/>
      </c>
      <c r="AA197" s="125" t="str">
        <f>IF(Ujian!AA204="","",IF(LEFT(Ujian!AA204,1)=SEKOR!AA$2,1,0))</f>
        <v/>
      </c>
      <c r="AB197" s="125" t="str">
        <f>IF(Ujian!AB204="","",IF(LEFT(Ujian!AB204,1)=SEKOR!AB$2,1,0))</f>
        <v/>
      </c>
      <c r="AC197" s="125" t="str">
        <f>IF(Ujian!AC204="","",IF(LEFT(Ujian!AC204,1)=SEKOR!AC$2,1,0))</f>
        <v/>
      </c>
      <c r="AD197" s="125" t="str">
        <f>IF(Ujian!AD204="","",IF(LEFT(Ujian!AD204,1)=SEKOR!AD$2,1,0))</f>
        <v/>
      </c>
      <c r="AE197" s="125" t="str">
        <f>IF(Ujian!AE204="","",IF(LEFT(Ujian!AE204,1)=SEKOR!AE$2,1,0))</f>
        <v/>
      </c>
      <c r="AF197" s="125" t="str">
        <f>IF(Ujian!AF204="","",IF(LEFT(Ujian!AF204,1)=SEKOR!AF$2,1,0))</f>
        <v/>
      </c>
      <c r="AG197" s="125" t="str">
        <f>IF(Ujian!AG204="","",IF(LEFT(Ujian!AG204,1)=SEKOR!AG$2,1,0))</f>
        <v/>
      </c>
      <c r="AH197" s="125" t="str">
        <f>IF(Ujian!AH204="","",IF(LEFT(Ujian!AH204,1)=SEKOR!AH$2,1,0))</f>
        <v/>
      </c>
      <c r="AI197" s="125" t="str">
        <f>IF(Ujian!AI204="","",IF(LEFT(Ujian!AI204,1)=SEKOR!AI$2,1,0))</f>
        <v/>
      </c>
      <c r="AJ197" s="125" t="str">
        <f>IF(Ujian!AJ204="","",IF(LEFT(Ujian!AJ204,1)=SEKOR!AJ$2,1,0))</f>
        <v/>
      </c>
      <c r="AK197" s="125" t="str">
        <f>IF(Ujian!AK204="","",IF(LEFT(Ujian!AK204,1)=SEKOR!AK$2,1,0))</f>
        <v/>
      </c>
      <c r="AL197" s="125" t="str">
        <f>IF(Ujian!AL204="","",IF(LEFT(Ujian!AL204,1)=SEKOR!AL$2,1,0))</f>
        <v/>
      </c>
      <c r="AM197" s="125" t="str">
        <f>IF(Ujian!AM204="","",IF(LEFT(Ujian!AM204,1)=SEKOR!AM$2,1,0))</f>
        <v/>
      </c>
      <c r="AN197" s="125" t="str">
        <f>IF(Ujian!AN204="","",IF(LEFT(Ujian!AN204,1)=SEKOR!AN$2,1,0))</f>
        <v/>
      </c>
      <c r="AO197" s="125" t="str">
        <f>IF(Ujian!AO204="","",IF(LEFT(Ujian!AO204,1)=SEKOR!AO$2,1,0))</f>
        <v/>
      </c>
      <c r="AP197" s="125" t="str">
        <f>IF(Ujian!AP204="","",IF(LEFT(Ujian!AP204,1)=SEKOR!AP$2,1,0))</f>
        <v/>
      </c>
      <c r="AQ197" s="125" t="str">
        <f>IF(Ujian!AQ204="","",IF(LEFT(Ujian!AQ204,1)=SEKOR!AQ$2,1,0))</f>
        <v/>
      </c>
      <c r="AR197" s="125" t="str">
        <f>IF(Ujian!AR204="","",IF(LEFT(Ujian!AR204,1)=SEKOR!AR$2,1,0))</f>
        <v/>
      </c>
      <c r="AS197" s="125" t="str">
        <f>IF(Ujian!AS204="","",IF(LEFT(Ujian!AS204,1)=SEKOR!AS$2,1,0))</f>
        <v/>
      </c>
      <c r="AT197" s="125" t="str">
        <f>IF(Ujian!AT204="","",IF(LEFT(Ujian!AT204,1)=SEKOR!AT$2,1,0))</f>
        <v/>
      </c>
      <c r="AU197" s="125" t="str">
        <f>IF(Ujian!AU204="","",IF(LEFT(Ujian!AU204,1)=SEKOR!AU$2,1,0))</f>
        <v/>
      </c>
      <c r="AV197" s="125" t="str">
        <f>IF(Ujian!AV204="","",IF(LEFT(Ujian!AV204,1)=SEKOR!AV$2,1,0))</f>
        <v/>
      </c>
      <c r="AW197" s="125" t="str">
        <f>IF(Ujian!AW204="","",IF(LEFT(Ujian!AW204,1)=SEKOR!AW$2,1,0))</f>
        <v/>
      </c>
      <c r="AX197" s="125" t="str">
        <f>IF(Ujian!AX204="","",IF(LEFT(Ujian!AX204,1)=SEKOR!AX$2,1,0))</f>
        <v/>
      </c>
      <c r="AY197" s="125" t="str">
        <f>IF(Ujian!AY204="","",IF(LEFT(Ujian!AY204,1)=SEKOR!AY$2,1,0))</f>
        <v/>
      </c>
      <c r="AZ197" s="125" t="str">
        <f>IF(Ujian!AZ204="","",IF(LEFT(Ujian!AZ204,1)=SEKOR!AZ$2,1,0))</f>
        <v/>
      </c>
      <c r="BA197" s="125" t="str">
        <f>IF(Ujian!BA204="","",IF(LEFT(Ujian!BA204,1)=SEKOR!BA$2,1,0))</f>
        <v/>
      </c>
      <c r="BB197" s="125" t="str">
        <f>IF(Ujian!BB204="","",IF(LEFT(Ujian!BB204,1)=SEKOR!BB$2,1,0))</f>
        <v/>
      </c>
      <c r="BC197" s="125" t="str">
        <f>IF(Ujian!BC204="","",IF(LEFT(Ujian!BC204,1)=SEKOR!BC$2,1,0))</f>
        <v/>
      </c>
      <c r="BD197" s="125" t="str">
        <f>IF(Ujian!BD204="","",IF(LEFT(Ujian!BD204,1)=SEKOR!BD$2,1,0))</f>
        <v/>
      </c>
      <c r="BE197" s="125" t="str">
        <f>IF(Ujian!BE204="","",IF(LEFT(Ujian!BE204,1)=SEKOR!BE$2,1,0))</f>
        <v/>
      </c>
      <c r="BF197" s="125" t="str">
        <f>IF(Ujian!BF204="","",IF(LEFT(Ujian!BF204,1)=SEKOR!BF$2,1,0))</f>
        <v/>
      </c>
      <c r="BG197" s="125" t="str">
        <f>IF(Ujian!BG204="","",IF(LEFT(Ujian!BG204,1)=SEKOR!BG$2,1,0))</f>
        <v/>
      </c>
      <c r="BH197" s="125" t="str">
        <f>IF(Ujian!BH204="","",IF(LEFT(Ujian!BH204,1)=SEKOR!BH$2,1,0))</f>
        <v/>
      </c>
      <c r="BI197" s="125" t="str">
        <f>IF(Ujian!BI204="","",IF(LEFT(Ujian!BI204,1)=SEKOR!BI$2,1,0))</f>
        <v/>
      </c>
      <c r="BJ197" s="125" t="str">
        <f>IF(Ujian!BJ204="","",IF(LEFT(Ujian!BJ204,1)=SEKOR!BJ$2,1,0))</f>
        <v/>
      </c>
      <c r="BK197" s="125" t="str">
        <f>IF(Ujian!BK204="","",IF(LEFT(Ujian!BK204,1)=SEKOR!BK$2,1,0))</f>
        <v/>
      </c>
      <c r="BL197" s="18">
        <f t="shared" si="6"/>
        <v>0</v>
      </c>
      <c r="BM197" s="18">
        <f>COUNTIF($D197:$BK197,"")+DATA!$F$14-DATA!$F$12</f>
        <v>60</v>
      </c>
      <c r="BN197" s="17">
        <f>IF(COUNTIF($D197:$BK197,1)&gt;DATA!$F$14,DATA!$F$14,COUNTIF($D197:$BK197,1))</f>
        <v>0</v>
      </c>
      <c r="BO197" s="17">
        <f>IF((BN197+COUNTIF($D197:$BK197,0))&lt;=DATA!$F$14,COUNTIF($D197:$BK197,0),DATA!$F$14-SEKOR!BN197)</f>
        <v>0</v>
      </c>
      <c r="BP197" s="4" t="str">
        <f>IF(BL197=0,"",BN197/DATA!$F$14*100)</f>
        <v/>
      </c>
      <c r="BQ197" s="121" t="str">
        <f t="shared" si="7"/>
        <v/>
      </c>
      <c r="BR197" s="2" t="str">
        <f>IF(Praktik!$E197=0,"",Praktik!$E197)</f>
        <v/>
      </c>
      <c r="BS197" s="2" t="str">
        <f>IF(BR197="","",(BP197*DATAINFO!$O$4)+(SEKOR!BR197*DATAINFO!$O$5)/(DATAINFO!$O$4+DATAINFO!$O$5))</f>
        <v/>
      </c>
      <c r="BT197" s="2" t="str">
        <f>IF(BL197=0,"",IF(DATA!$F$18="TIDAK",ROUNDUP((IF!$L$8*SEKOR!$BP197)+IF!$L$9,0),IF($BR197="","",ROUNDUP((IF!$L$20*$BS197)+IF!$L$21,0))))</f>
        <v/>
      </c>
      <c r="BU197" s="47" t="str">
        <f>IF(BP197="","",IF(SEKOR!BP197&gt;=DATA!$J$12,1,0))</f>
        <v/>
      </c>
      <c r="BV197" s="47" t="str">
        <f>IF(BQ197="","",IF(SEKOR!BQ197&gt;=DATA!$J$12,1,0))</f>
        <v/>
      </c>
      <c r="BW197" s="47" t="str">
        <f>IF(BR197="","",IF(SEKOR!BR197&gt;=DATA!$J$12,1,0))</f>
        <v/>
      </c>
      <c r="BX197" s="47" t="str">
        <f>IF(BT197="","",IF(DATA!$J$14="",IF(SEKOR!BT197&gt;=DATA!$J$12,1,0),IF(SEKOR!BT197&gt;=DATA!$J$14,1,0)))</f>
        <v/>
      </c>
    </row>
    <row r="198" spans="1:76" x14ac:dyDescent="0.25">
      <c r="A198" s="20" t="s">
        <v>225</v>
      </c>
      <c r="B198" s="21" t="str">
        <f>IF(Ujian!B205="","",Ujian!B205)</f>
        <v/>
      </c>
      <c r="C198" s="57" t="str">
        <f>IF(Ujian!C205="","",Ujian!C205)</f>
        <v/>
      </c>
      <c r="D198" s="125" t="str">
        <f>IF(Ujian!D205="","",IF(LEFT(Ujian!D205,1)=SEKOR!D$2,1,0))</f>
        <v/>
      </c>
      <c r="E198" s="125" t="str">
        <f>IF(Ujian!E205="","",IF(LEFT(Ujian!E205,1)=SEKOR!E$2,1,0))</f>
        <v/>
      </c>
      <c r="F198" s="125" t="str">
        <f>IF(Ujian!F205="","",IF(LEFT(Ujian!F205,1)=SEKOR!F$2,1,0))</f>
        <v/>
      </c>
      <c r="G198" s="125" t="str">
        <f>IF(Ujian!G205="","",IF(LEFT(Ujian!G205,1)=SEKOR!G$2,1,0))</f>
        <v/>
      </c>
      <c r="H198" s="125" t="str">
        <f>IF(Ujian!H205="","",IF(LEFT(Ujian!H205,1)=SEKOR!H$2,1,0))</f>
        <v/>
      </c>
      <c r="I198" s="125" t="str">
        <f>IF(Ujian!I205="","",IF(LEFT(Ujian!I205,1)=SEKOR!I$2,1,0))</f>
        <v/>
      </c>
      <c r="J198" s="125" t="str">
        <f>IF(Ujian!J205="","",IF(LEFT(Ujian!J205,1)=SEKOR!J$2,1,0))</f>
        <v/>
      </c>
      <c r="K198" s="125" t="str">
        <f>IF(Ujian!K205="","",IF(LEFT(Ujian!K205,1)=SEKOR!K$2,1,0))</f>
        <v/>
      </c>
      <c r="L198" s="125" t="str">
        <f>IF(Ujian!L205="","",IF(LEFT(Ujian!L205,1)=SEKOR!L$2,1,0))</f>
        <v/>
      </c>
      <c r="M198" s="125" t="str">
        <f>IF(Ujian!M205="","",IF(LEFT(Ujian!M205,1)=SEKOR!M$2,1,0))</f>
        <v/>
      </c>
      <c r="N198" s="125" t="str">
        <f>IF(Ujian!N205="","",IF(LEFT(Ujian!N205,1)=SEKOR!N$2,1,0))</f>
        <v/>
      </c>
      <c r="O198" s="125" t="str">
        <f>IF(Ujian!O205="","",IF(LEFT(Ujian!O205,1)=SEKOR!O$2,1,0))</f>
        <v/>
      </c>
      <c r="P198" s="125" t="str">
        <f>IF(Ujian!P205="","",IF(LEFT(Ujian!P205,1)=SEKOR!P$2,1,0))</f>
        <v/>
      </c>
      <c r="Q198" s="125" t="str">
        <f>IF(Ujian!Q205="","",IF(LEFT(Ujian!Q205,1)=SEKOR!Q$2,1,0))</f>
        <v/>
      </c>
      <c r="R198" s="125" t="str">
        <f>IF(Ujian!R205="","",IF(LEFT(Ujian!R205,1)=SEKOR!R$2,1,0))</f>
        <v/>
      </c>
      <c r="S198" s="125" t="str">
        <f>IF(Ujian!S205="","",IF(LEFT(Ujian!S205,1)=SEKOR!S$2,1,0))</f>
        <v/>
      </c>
      <c r="T198" s="125" t="str">
        <f>IF(Ujian!T205="","",IF(LEFT(Ujian!T205,1)=SEKOR!T$2,1,0))</f>
        <v/>
      </c>
      <c r="U198" s="125" t="str">
        <f>IF(Ujian!U205="","",IF(LEFT(Ujian!U205,1)=SEKOR!U$2,1,0))</f>
        <v/>
      </c>
      <c r="V198" s="125" t="str">
        <f>IF(Ujian!V205="","",IF(LEFT(Ujian!V205,1)=SEKOR!V$2,1,0))</f>
        <v/>
      </c>
      <c r="W198" s="125" t="str">
        <f>IF(Ujian!W205="","",IF(LEFT(Ujian!W205,1)=SEKOR!W$2,1,0))</f>
        <v/>
      </c>
      <c r="X198" s="125" t="str">
        <f>IF(Ujian!X205="","",IF(LEFT(Ujian!X205,1)=SEKOR!X$2,1,0))</f>
        <v/>
      </c>
      <c r="Y198" s="125" t="str">
        <f>IF(Ujian!Y205="","",IF(LEFT(Ujian!Y205,1)=SEKOR!Y$2,1,0))</f>
        <v/>
      </c>
      <c r="Z198" s="125" t="str">
        <f>IF(Ujian!Z205="","",IF(LEFT(Ujian!Z205,1)=SEKOR!Z$2,1,0))</f>
        <v/>
      </c>
      <c r="AA198" s="125" t="str">
        <f>IF(Ujian!AA205="","",IF(LEFT(Ujian!AA205,1)=SEKOR!AA$2,1,0))</f>
        <v/>
      </c>
      <c r="AB198" s="125" t="str">
        <f>IF(Ujian!AB205="","",IF(LEFT(Ujian!AB205,1)=SEKOR!AB$2,1,0))</f>
        <v/>
      </c>
      <c r="AC198" s="125" t="str">
        <f>IF(Ujian!AC205="","",IF(LEFT(Ujian!AC205,1)=SEKOR!AC$2,1,0))</f>
        <v/>
      </c>
      <c r="AD198" s="125" t="str">
        <f>IF(Ujian!AD205="","",IF(LEFT(Ujian!AD205,1)=SEKOR!AD$2,1,0))</f>
        <v/>
      </c>
      <c r="AE198" s="125" t="str">
        <f>IF(Ujian!AE205="","",IF(LEFT(Ujian!AE205,1)=SEKOR!AE$2,1,0))</f>
        <v/>
      </c>
      <c r="AF198" s="125" t="str">
        <f>IF(Ujian!AF205="","",IF(LEFT(Ujian!AF205,1)=SEKOR!AF$2,1,0))</f>
        <v/>
      </c>
      <c r="AG198" s="125" t="str">
        <f>IF(Ujian!AG205="","",IF(LEFT(Ujian!AG205,1)=SEKOR!AG$2,1,0))</f>
        <v/>
      </c>
      <c r="AH198" s="125" t="str">
        <f>IF(Ujian!AH205="","",IF(LEFT(Ujian!AH205,1)=SEKOR!AH$2,1,0))</f>
        <v/>
      </c>
      <c r="AI198" s="125" t="str">
        <f>IF(Ujian!AI205="","",IF(LEFT(Ujian!AI205,1)=SEKOR!AI$2,1,0))</f>
        <v/>
      </c>
      <c r="AJ198" s="125" t="str">
        <f>IF(Ujian!AJ205="","",IF(LEFT(Ujian!AJ205,1)=SEKOR!AJ$2,1,0))</f>
        <v/>
      </c>
      <c r="AK198" s="125" t="str">
        <f>IF(Ujian!AK205="","",IF(LEFT(Ujian!AK205,1)=SEKOR!AK$2,1,0))</f>
        <v/>
      </c>
      <c r="AL198" s="125" t="str">
        <f>IF(Ujian!AL205="","",IF(LEFT(Ujian!AL205,1)=SEKOR!AL$2,1,0))</f>
        <v/>
      </c>
      <c r="AM198" s="125" t="str">
        <f>IF(Ujian!AM205="","",IF(LEFT(Ujian!AM205,1)=SEKOR!AM$2,1,0))</f>
        <v/>
      </c>
      <c r="AN198" s="125" t="str">
        <f>IF(Ujian!AN205="","",IF(LEFT(Ujian!AN205,1)=SEKOR!AN$2,1,0))</f>
        <v/>
      </c>
      <c r="AO198" s="125" t="str">
        <f>IF(Ujian!AO205="","",IF(LEFT(Ujian!AO205,1)=SEKOR!AO$2,1,0))</f>
        <v/>
      </c>
      <c r="AP198" s="125" t="str">
        <f>IF(Ujian!AP205="","",IF(LEFT(Ujian!AP205,1)=SEKOR!AP$2,1,0))</f>
        <v/>
      </c>
      <c r="AQ198" s="125" t="str">
        <f>IF(Ujian!AQ205="","",IF(LEFT(Ujian!AQ205,1)=SEKOR!AQ$2,1,0))</f>
        <v/>
      </c>
      <c r="AR198" s="125" t="str">
        <f>IF(Ujian!AR205="","",IF(LEFT(Ujian!AR205,1)=SEKOR!AR$2,1,0))</f>
        <v/>
      </c>
      <c r="AS198" s="125" t="str">
        <f>IF(Ujian!AS205="","",IF(LEFT(Ujian!AS205,1)=SEKOR!AS$2,1,0))</f>
        <v/>
      </c>
      <c r="AT198" s="125" t="str">
        <f>IF(Ujian!AT205="","",IF(LEFT(Ujian!AT205,1)=SEKOR!AT$2,1,0))</f>
        <v/>
      </c>
      <c r="AU198" s="125" t="str">
        <f>IF(Ujian!AU205="","",IF(LEFT(Ujian!AU205,1)=SEKOR!AU$2,1,0))</f>
        <v/>
      </c>
      <c r="AV198" s="125" t="str">
        <f>IF(Ujian!AV205="","",IF(LEFT(Ujian!AV205,1)=SEKOR!AV$2,1,0))</f>
        <v/>
      </c>
      <c r="AW198" s="125" t="str">
        <f>IF(Ujian!AW205="","",IF(LEFT(Ujian!AW205,1)=SEKOR!AW$2,1,0))</f>
        <v/>
      </c>
      <c r="AX198" s="125" t="str">
        <f>IF(Ujian!AX205="","",IF(LEFT(Ujian!AX205,1)=SEKOR!AX$2,1,0))</f>
        <v/>
      </c>
      <c r="AY198" s="125" t="str">
        <f>IF(Ujian!AY205="","",IF(LEFT(Ujian!AY205,1)=SEKOR!AY$2,1,0))</f>
        <v/>
      </c>
      <c r="AZ198" s="125" t="str">
        <f>IF(Ujian!AZ205="","",IF(LEFT(Ujian!AZ205,1)=SEKOR!AZ$2,1,0))</f>
        <v/>
      </c>
      <c r="BA198" s="125" t="str">
        <f>IF(Ujian!BA205="","",IF(LEFT(Ujian!BA205,1)=SEKOR!BA$2,1,0))</f>
        <v/>
      </c>
      <c r="BB198" s="125" t="str">
        <f>IF(Ujian!BB205="","",IF(LEFT(Ujian!BB205,1)=SEKOR!BB$2,1,0))</f>
        <v/>
      </c>
      <c r="BC198" s="125" t="str">
        <f>IF(Ujian!BC205="","",IF(LEFT(Ujian!BC205,1)=SEKOR!BC$2,1,0))</f>
        <v/>
      </c>
      <c r="BD198" s="125" t="str">
        <f>IF(Ujian!BD205="","",IF(LEFT(Ujian!BD205,1)=SEKOR!BD$2,1,0))</f>
        <v/>
      </c>
      <c r="BE198" s="125" t="str">
        <f>IF(Ujian!BE205="","",IF(LEFT(Ujian!BE205,1)=SEKOR!BE$2,1,0))</f>
        <v/>
      </c>
      <c r="BF198" s="125" t="str">
        <f>IF(Ujian!BF205="","",IF(LEFT(Ujian!BF205,1)=SEKOR!BF$2,1,0))</f>
        <v/>
      </c>
      <c r="BG198" s="125" t="str">
        <f>IF(Ujian!BG205="","",IF(LEFT(Ujian!BG205,1)=SEKOR!BG$2,1,0))</f>
        <v/>
      </c>
      <c r="BH198" s="125" t="str">
        <f>IF(Ujian!BH205="","",IF(LEFT(Ujian!BH205,1)=SEKOR!BH$2,1,0))</f>
        <v/>
      </c>
      <c r="BI198" s="125" t="str">
        <f>IF(Ujian!BI205="","",IF(LEFT(Ujian!BI205,1)=SEKOR!BI$2,1,0))</f>
        <v/>
      </c>
      <c r="BJ198" s="125" t="str">
        <f>IF(Ujian!BJ205="","",IF(LEFT(Ujian!BJ205,1)=SEKOR!BJ$2,1,0))</f>
        <v/>
      </c>
      <c r="BK198" s="125" t="str">
        <f>IF(Ujian!BK205="","",IF(LEFT(Ujian!BK205,1)=SEKOR!BK$2,1,0))</f>
        <v/>
      </c>
      <c r="BL198" s="18">
        <f t="shared" si="6"/>
        <v>0</v>
      </c>
      <c r="BM198" s="18">
        <f>COUNTIF($D198:$BK198,"")+DATA!$F$14-DATA!$F$12</f>
        <v>60</v>
      </c>
      <c r="BN198" s="17">
        <f>IF(COUNTIF($D198:$BK198,1)&gt;DATA!$F$14,DATA!$F$14,COUNTIF($D198:$BK198,1))</f>
        <v>0</v>
      </c>
      <c r="BO198" s="17">
        <f>IF((BN198+COUNTIF($D198:$BK198,0))&lt;=DATA!$F$14,COUNTIF($D198:$BK198,0),DATA!$F$14-SEKOR!BN198)</f>
        <v>0</v>
      </c>
      <c r="BP198" s="4" t="str">
        <f>IF(BL198=0,"",BN198/DATA!$F$14*100)</f>
        <v/>
      </c>
      <c r="BQ198" s="121" t="str">
        <f t="shared" si="7"/>
        <v/>
      </c>
      <c r="BR198" s="2" t="str">
        <f>IF(Praktik!$E198=0,"",Praktik!$E198)</f>
        <v/>
      </c>
      <c r="BS198" s="2" t="str">
        <f>IF(BR198="","",(BP198*DATAINFO!$O$4)+(SEKOR!BR198*DATAINFO!$O$5)/(DATAINFO!$O$4+DATAINFO!$O$5))</f>
        <v/>
      </c>
      <c r="BT198" s="2" t="str">
        <f>IF(BL198=0,"",IF(DATA!$F$18="TIDAK",ROUNDUP((IF!$L$8*SEKOR!$BP198)+IF!$L$9,0),IF($BR198="","",ROUNDUP((IF!$L$20*$BS198)+IF!$L$21,0))))</f>
        <v/>
      </c>
      <c r="BU198" s="47" t="str">
        <f>IF(BP198="","",IF(SEKOR!BP198&gt;=DATA!$J$12,1,0))</f>
        <v/>
      </c>
      <c r="BV198" s="47" t="str">
        <f>IF(BQ198="","",IF(SEKOR!BQ198&gt;=DATA!$J$12,1,0))</f>
        <v/>
      </c>
      <c r="BW198" s="47" t="str">
        <f>IF(BR198="","",IF(SEKOR!BR198&gt;=DATA!$J$12,1,0))</f>
        <v/>
      </c>
      <c r="BX198" s="47" t="str">
        <f>IF(BT198="","",IF(DATA!$J$14="",IF(SEKOR!BT198&gt;=DATA!$J$12,1,0),IF(SEKOR!BT198&gt;=DATA!$J$14,1,0)))</f>
        <v/>
      </c>
    </row>
    <row r="199" spans="1:76" x14ac:dyDescent="0.25">
      <c r="A199" s="20" t="s">
        <v>226</v>
      </c>
      <c r="B199" s="21" t="str">
        <f>IF(Ujian!B206="","",Ujian!B206)</f>
        <v/>
      </c>
      <c r="C199" s="57" t="str">
        <f>IF(Ujian!C206="","",Ujian!C206)</f>
        <v/>
      </c>
      <c r="D199" s="125" t="str">
        <f>IF(Ujian!D206="","",IF(LEFT(Ujian!D206,1)=SEKOR!D$2,1,0))</f>
        <v/>
      </c>
      <c r="E199" s="125" t="str">
        <f>IF(Ujian!E206="","",IF(LEFT(Ujian!E206,1)=SEKOR!E$2,1,0))</f>
        <v/>
      </c>
      <c r="F199" s="125" t="str">
        <f>IF(Ujian!F206="","",IF(LEFT(Ujian!F206,1)=SEKOR!F$2,1,0))</f>
        <v/>
      </c>
      <c r="G199" s="125" t="str">
        <f>IF(Ujian!G206="","",IF(LEFT(Ujian!G206,1)=SEKOR!G$2,1,0))</f>
        <v/>
      </c>
      <c r="H199" s="125" t="str">
        <f>IF(Ujian!H206="","",IF(LEFT(Ujian!H206,1)=SEKOR!H$2,1,0))</f>
        <v/>
      </c>
      <c r="I199" s="125" t="str">
        <f>IF(Ujian!I206="","",IF(LEFT(Ujian!I206,1)=SEKOR!I$2,1,0))</f>
        <v/>
      </c>
      <c r="J199" s="125" t="str">
        <f>IF(Ujian!J206="","",IF(LEFT(Ujian!J206,1)=SEKOR!J$2,1,0))</f>
        <v/>
      </c>
      <c r="K199" s="125" t="str">
        <f>IF(Ujian!K206="","",IF(LEFT(Ujian!K206,1)=SEKOR!K$2,1,0))</f>
        <v/>
      </c>
      <c r="L199" s="125" t="str">
        <f>IF(Ujian!L206="","",IF(LEFT(Ujian!L206,1)=SEKOR!L$2,1,0))</f>
        <v/>
      </c>
      <c r="M199" s="125" t="str">
        <f>IF(Ujian!M206="","",IF(LEFT(Ujian!M206,1)=SEKOR!M$2,1,0))</f>
        <v/>
      </c>
      <c r="N199" s="125" t="str">
        <f>IF(Ujian!N206="","",IF(LEFT(Ujian!N206,1)=SEKOR!N$2,1,0))</f>
        <v/>
      </c>
      <c r="O199" s="125" t="str">
        <f>IF(Ujian!O206="","",IF(LEFT(Ujian!O206,1)=SEKOR!O$2,1,0))</f>
        <v/>
      </c>
      <c r="P199" s="125" t="str">
        <f>IF(Ujian!P206="","",IF(LEFT(Ujian!P206,1)=SEKOR!P$2,1,0))</f>
        <v/>
      </c>
      <c r="Q199" s="125" t="str">
        <f>IF(Ujian!Q206="","",IF(LEFT(Ujian!Q206,1)=SEKOR!Q$2,1,0))</f>
        <v/>
      </c>
      <c r="R199" s="125" t="str">
        <f>IF(Ujian!R206="","",IF(LEFT(Ujian!R206,1)=SEKOR!R$2,1,0))</f>
        <v/>
      </c>
      <c r="S199" s="125" t="str">
        <f>IF(Ujian!S206="","",IF(LEFT(Ujian!S206,1)=SEKOR!S$2,1,0))</f>
        <v/>
      </c>
      <c r="T199" s="125" t="str">
        <f>IF(Ujian!T206="","",IF(LEFT(Ujian!T206,1)=SEKOR!T$2,1,0))</f>
        <v/>
      </c>
      <c r="U199" s="125" t="str">
        <f>IF(Ujian!U206="","",IF(LEFT(Ujian!U206,1)=SEKOR!U$2,1,0))</f>
        <v/>
      </c>
      <c r="V199" s="125" t="str">
        <f>IF(Ujian!V206="","",IF(LEFT(Ujian!V206,1)=SEKOR!V$2,1,0))</f>
        <v/>
      </c>
      <c r="W199" s="125" t="str">
        <f>IF(Ujian!W206="","",IF(LEFT(Ujian!W206,1)=SEKOR!W$2,1,0))</f>
        <v/>
      </c>
      <c r="X199" s="125" t="str">
        <f>IF(Ujian!X206="","",IF(LEFT(Ujian!X206,1)=SEKOR!X$2,1,0))</f>
        <v/>
      </c>
      <c r="Y199" s="125" t="str">
        <f>IF(Ujian!Y206="","",IF(LEFT(Ujian!Y206,1)=SEKOR!Y$2,1,0))</f>
        <v/>
      </c>
      <c r="Z199" s="125" t="str">
        <f>IF(Ujian!Z206="","",IF(LEFT(Ujian!Z206,1)=SEKOR!Z$2,1,0))</f>
        <v/>
      </c>
      <c r="AA199" s="125" t="str">
        <f>IF(Ujian!AA206="","",IF(LEFT(Ujian!AA206,1)=SEKOR!AA$2,1,0))</f>
        <v/>
      </c>
      <c r="AB199" s="125" t="str">
        <f>IF(Ujian!AB206="","",IF(LEFT(Ujian!AB206,1)=SEKOR!AB$2,1,0))</f>
        <v/>
      </c>
      <c r="AC199" s="125" t="str">
        <f>IF(Ujian!AC206="","",IF(LEFT(Ujian!AC206,1)=SEKOR!AC$2,1,0))</f>
        <v/>
      </c>
      <c r="AD199" s="125" t="str">
        <f>IF(Ujian!AD206="","",IF(LEFT(Ujian!AD206,1)=SEKOR!AD$2,1,0))</f>
        <v/>
      </c>
      <c r="AE199" s="125" t="str">
        <f>IF(Ujian!AE206="","",IF(LEFT(Ujian!AE206,1)=SEKOR!AE$2,1,0))</f>
        <v/>
      </c>
      <c r="AF199" s="125" t="str">
        <f>IF(Ujian!AF206="","",IF(LEFT(Ujian!AF206,1)=SEKOR!AF$2,1,0))</f>
        <v/>
      </c>
      <c r="AG199" s="125" t="str">
        <f>IF(Ujian!AG206="","",IF(LEFT(Ujian!AG206,1)=SEKOR!AG$2,1,0))</f>
        <v/>
      </c>
      <c r="AH199" s="125" t="str">
        <f>IF(Ujian!AH206="","",IF(LEFT(Ujian!AH206,1)=SEKOR!AH$2,1,0))</f>
        <v/>
      </c>
      <c r="AI199" s="125" t="str">
        <f>IF(Ujian!AI206="","",IF(LEFT(Ujian!AI206,1)=SEKOR!AI$2,1,0))</f>
        <v/>
      </c>
      <c r="AJ199" s="125" t="str">
        <f>IF(Ujian!AJ206="","",IF(LEFT(Ujian!AJ206,1)=SEKOR!AJ$2,1,0))</f>
        <v/>
      </c>
      <c r="AK199" s="125" t="str">
        <f>IF(Ujian!AK206="","",IF(LEFT(Ujian!AK206,1)=SEKOR!AK$2,1,0))</f>
        <v/>
      </c>
      <c r="AL199" s="125" t="str">
        <f>IF(Ujian!AL206="","",IF(LEFT(Ujian!AL206,1)=SEKOR!AL$2,1,0))</f>
        <v/>
      </c>
      <c r="AM199" s="125" t="str">
        <f>IF(Ujian!AM206="","",IF(LEFT(Ujian!AM206,1)=SEKOR!AM$2,1,0))</f>
        <v/>
      </c>
      <c r="AN199" s="125" t="str">
        <f>IF(Ujian!AN206="","",IF(LEFT(Ujian!AN206,1)=SEKOR!AN$2,1,0))</f>
        <v/>
      </c>
      <c r="AO199" s="125" t="str">
        <f>IF(Ujian!AO206="","",IF(LEFT(Ujian!AO206,1)=SEKOR!AO$2,1,0))</f>
        <v/>
      </c>
      <c r="AP199" s="125" t="str">
        <f>IF(Ujian!AP206="","",IF(LEFT(Ujian!AP206,1)=SEKOR!AP$2,1,0))</f>
        <v/>
      </c>
      <c r="AQ199" s="125" t="str">
        <f>IF(Ujian!AQ206="","",IF(LEFT(Ujian!AQ206,1)=SEKOR!AQ$2,1,0))</f>
        <v/>
      </c>
      <c r="AR199" s="125" t="str">
        <f>IF(Ujian!AR206="","",IF(LEFT(Ujian!AR206,1)=SEKOR!AR$2,1,0))</f>
        <v/>
      </c>
      <c r="AS199" s="125" t="str">
        <f>IF(Ujian!AS206="","",IF(LEFT(Ujian!AS206,1)=SEKOR!AS$2,1,0))</f>
        <v/>
      </c>
      <c r="AT199" s="125" t="str">
        <f>IF(Ujian!AT206="","",IF(LEFT(Ujian!AT206,1)=SEKOR!AT$2,1,0))</f>
        <v/>
      </c>
      <c r="AU199" s="125" t="str">
        <f>IF(Ujian!AU206="","",IF(LEFT(Ujian!AU206,1)=SEKOR!AU$2,1,0))</f>
        <v/>
      </c>
      <c r="AV199" s="125" t="str">
        <f>IF(Ujian!AV206="","",IF(LEFT(Ujian!AV206,1)=SEKOR!AV$2,1,0))</f>
        <v/>
      </c>
      <c r="AW199" s="125" t="str">
        <f>IF(Ujian!AW206="","",IF(LEFT(Ujian!AW206,1)=SEKOR!AW$2,1,0))</f>
        <v/>
      </c>
      <c r="AX199" s="125" t="str">
        <f>IF(Ujian!AX206="","",IF(LEFT(Ujian!AX206,1)=SEKOR!AX$2,1,0))</f>
        <v/>
      </c>
      <c r="AY199" s="125" t="str">
        <f>IF(Ujian!AY206="","",IF(LEFT(Ujian!AY206,1)=SEKOR!AY$2,1,0))</f>
        <v/>
      </c>
      <c r="AZ199" s="125" t="str">
        <f>IF(Ujian!AZ206="","",IF(LEFT(Ujian!AZ206,1)=SEKOR!AZ$2,1,0))</f>
        <v/>
      </c>
      <c r="BA199" s="125" t="str">
        <f>IF(Ujian!BA206="","",IF(LEFT(Ujian!BA206,1)=SEKOR!BA$2,1,0))</f>
        <v/>
      </c>
      <c r="BB199" s="125" t="str">
        <f>IF(Ujian!BB206="","",IF(LEFT(Ujian!BB206,1)=SEKOR!BB$2,1,0))</f>
        <v/>
      </c>
      <c r="BC199" s="125" t="str">
        <f>IF(Ujian!BC206="","",IF(LEFT(Ujian!BC206,1)=SEKOR!BC$2,1,0))</f>
        <v/>
      </c>
      <c r="BD199" s="125" t="str">
        <f>IF(Ujian!BD206="","",IF(LEFT(Ujian!BD206,1)=SEKOR!BD$2,1,0))</f>
        <v/>
      </c>
      <c r="BE199" s="125" t="str">
        <f>IF(Ujian!BE206="","",IF(LEFT(Ujian!BE206,1)=SEKOR!BE$2,1,0))</f>
        <v/>
      </c>
      <c r="BF199" s="125" t="str">
        <f>IF(Ujian!BF206="","",IF(LEFT(Ujian!BF206,1)=SEKOR!BF$2,1,0))</f>
        <v/>
      </c>
      <c r="BG199" s="125" t="str">
        <f>IF(Ujian!BG206="","",IF(LEFT(Ujian!BG206,1)=SEKOR!BG$2,1,0))</f>
        <v/>
      </c>
      <c r="BH199" s="125" t="str">
        <f>IF(Ujian!BH206="","",IF(LEFT(Ujian!BH206,1)=SEKOR!BH$2,1,0))</f>
        <v/>
      </c>
      <c r="BI199" s="125" t="str">
        <f>IF(Ujian!BI206="","",IF(LEFT(Ujian!BI206,1)=SEKOR!BI$2,1,0))</f>
        <v/>
      </c>
      <c r="BJ199" s="125" t="str">
        <f>IF(Ujian!BJ206="","",IF(LEFT(Ujian!BJ206,1)=SEKOR!BJ$2,1,0))</f>
        <v/>
      </c>
      <c r="BK199" s="125" t="str">
        <f>IF(Ujian!BK206="","",IF(LEFT(Ujian!BK206,1)=SEKOR!BK$2,1,0))</f>
        <v/>
      </c>
      <c r="BL199" s="18">
        <f t="shared" si="6"/>
        <v>0</v>
      </c>
      <c r="BM199" s="18">
        <f>COUNTIF($D199:$BK199,"")+DATA!$F$14-DATA!$F$12</f>
        <v>60</v>
      </c>
      <c r="BN199" s="17">
        <f>IF(COUNTIF($D199:$BK199,1)&gt;DATA!$F$14,DATA!$F$14,COUNTIF($D199:$BK199,1))</f>
        <v>0</v>
      </c>
      <c r="BO199" s="17">
        <f>IF((BN199+COUNTIF($D199:$BK199,0))&lt;=DATA!$F$14,COUNTIF($D199:$BK199,0),DATA!$F$14-SEKOR!BN199)</f>
        <v>0</v>
      </c>
      <c r="BP199" s="4" t="str">
        <f>IF(BL199=0,"",BN199/DATA!$F$14*100)</f>
        <v/>
      </c>
      <c r="BQ199" s="121" t="str">
        <f t="shared" si="7"/>
        <v/>
      </c>
      <c r="BR199" s="2" t="str">
        <f>IF(Praktik!$E199=0,"",Praktik!$E199)</f>
        <v/>
      </c>
      <c r="BS199" s="2" t="str">
        <f>IF(BR199="","",(BP199*DATAINFO!$O$4)+(SEKOR!BR199*DATAINFO!$O$5)/(DATAINFO!$O$4+DATAINFO!$O$5))</f>
        <v/>
      </c>
      <c r="BT199" s="2" t="str">
        <f>IF(BL199=0,"",IF(DATA!$F$18="TIDAK",ROUNDUP((IF!$L$8*SEKOR!$BP199)+IF!$L$9,0),IF($BR199="","",ROUNDUP((IF!$L$20*$BS199)+IF!$L$21,0))))</f>
        <v/>
      </c>
      <c r="BU199" s="47" t="str">
        <f>IF(BP199="","",IF(SEKOR!BP199&gt;=DATA!$J$12,1,0))</f>
        <v/>
      </c>
      <c r="BV199" s="47" t="str">
        <f>IF(BQ199="","",IF(SEKOR!BQ199&gt;=DATA!$J$12,1,0))</f>
        <v/>
      </c>
      <c r="BW199" s="47" t="str">
        <f>IF(BR199="","",IF(SEKOR!BR199&gt;=DATA!$J$12,1,0))</f>
        <v/>
      </c>
      <c r="BX199" s="47" t="str">
        <f>IF(BT199="","",IF(DATA!$J$14="",IF(SEKOR!BT199&gt;=DATA!$J$12,1,0),IF(SEKOR!BT199&gt;=DATA!$J$14,1,0)))</f>
        <v/>
      </c>
    </row>
    <row r="200" spans="1:76" x14ac:dyDescent="0.25">
      <c r="A200" s="20" t="s">
        <v>227</v>
      </c>
      <c r="B200" s="21" t="str">
        <f>IF(Ujian!B207="","",Ujian!B207)</f>
        <v/>
      </c>
      <c r="C200" s="57" t="str">
        <f>IF(Ujian!C207="","",Ujian!C207)</f>
        <v/>
      </c>
      <c r="D200" s="125" t="str">
        <f>IF(Ujian!D207="","",IF(LEFT(Ujian!D207,1)=SEKOR!D$2,1,0))</f>
        <v/>
      </c>
      <c r="E200" s="125" t="str">
        <f>IF(Ujian!E207="","",IF(LEFT(Ujian!E207,1)=SEKOR!E$2,1,0))</f>
        <v/>
      </c>
      <c r="F200" s="125" t="str">
        <f>IF(Ujian!F207="","",IF(LEFT(Ujian!F207,1)=SEKOR!F$2,1,0))</f>
        <v/>
      </c>
      <c r="G200" s="125" t="str">
        <f>IF(Ujian!G207="","",IF(LEFT(Ujian!G207,1)=SEKOR!G$2,1,0))</f>
        <v/>
      </c>
      <c r="H200" s="125" t="str">
        <f>IF(Ujian!H207="","",IF(LEFT(Ujian!H207,1)=SEKOR!H$2,1,0))</f>
        <v/>
      </c>
      <c r="I200" s="125" t="str">
        <f>IF(Ujian!I207="","",IF(LEFT(Ujian!I207,1)=SEKOR!I$2,1,0))</f>
        <v/>
      </c>
      <c r="J200" s="125" t="str">
        <f>IF(Ujian!J207="","",IF(LEFT(Ujian!J207,1)=SEKOR!J$2,1,0))</f>
        <v/>
      </c>
      <c r="K200" s="125" t="str">
        <f>IF(Ujian!K207="","",IF(LEFT(Ujian!K207,1)=SEKOR!K$2,1,0))</f>
        <v/>
      </c>
      <c r="L200" s="125" t="str">
        <f>IF(Ujian!L207="","",IF(LEFT(Ujian!L207,1)=SEKOR!L$2,1,0))</f>
        <v/>
      </c>
      <c r="M200" s="125" t="str">
        <f>IF(Ujian!M207="","",IF(LEFT(Ujian!M207,1)=SEKOR!M$2,1,0))</f>
        <v/>
      </c>
      <c r="N200" s="125" t="str">
        <f>IF(Ujian!N207="","",IF(LEFT(Ujian!N207,1)=SEKOR!N$2,1,0))</f>
        <v/>
      </c>
      <c r="O200" s="125" t="str">
        <f>IF(Ujian!O207="","",IF(LEFT(Ujian!O207,1)=SEKOR!O$2,1,0))</f>
        <v/>
      </c>
      <c r="P200" s="125" t="str">
        <f>IF(Ujian!P207="","",IF(LEFT(Ujian!P207,1)=SEKOR!P$2,1,0))</f>
        <v/>
      </c>
      <c r="Q200" s="125" t="str">
        <f>IF(Ujian!Q207="","",IF(LEFT(Ujian!Q207,1)=SEKOR!Q$2,1,0))</f>
        <v/>
      </c>
      <c r="R200" s="125" t="str">
        <f>IF(Ujian!R207="","",IF(LEFT(Ujian!R207,1)=SEKOR!R$2,1,0))</f>
        <v/>
      </c>
      <c r="S200" s="125" t="str">
        <f>IF(Ujian!S207="","",IF(LEFT(Ujian!S207,1)=SEKOR!S$2,1,0))</f>
        <v/>
      </c>
      <c r="T200" s="125" t="str">
        <f>IF(Ujian!T207="","",IF(LEFT(Ujian!T207,1)=SEKOR!T$2,1,0))</f>
        <v/>
      </c>
      <c r="U200" s="125" t="str">
        <f>IF(Ujian!U207="","",IF(LEFT(Ujian!U207,1)=SEKOR!U$2,1,0))</f>
        <v/>
      </c>
      <c r="V200" s="125" t="str">
        <f>IF(Ujian!V207="","",IF(LEFT(Ujian!V207,1)=SEKOR!V$2,1,0))</f>
        <v/>
      </c>
      <c r="W200" s="125" t="str">
        <f>IF(Ujian!W207="","",IF(LEFT(Ujian!W207,1)=SEKOR!W$2,1,0))</f>
        <v/>
      </c>
      <c r="X200" s="125" t="str">
        <f>IF(Ujian!X207="","",IF(LEFT(Ujian!X207,1)=SEKOR!X$2,1,0))</f>
        <v/>
      </c>
      <c r="Y200" s="125" t="str">
        <f>IF(Ujian!Y207="","",IF(LEFT(Ujian!Y207,1)=SEKOR!Y$2,1,0))</f>
        <v/>
      </c>
      <c r="Z200" s="125" t="str">
        <f>IF(Ujian!Z207="","",IF(LEFT(Ujian!Z207,1)=SEKOR!Z$2,1,0))</f>
        <v/>
      </c>
      <c r="AA200" s="125" t="str">
        <f>IF(Ujian!AA207="","",IF(LEFT(Ujian!AA207,1)=SEKOR!AA$2,1,0))</f>
        <v/>
      </c>
      <c r="AB200" s="125" t="str">
        <f>IF(Ujian!AB207="","",IF(LEFT(Ujian!AB207,1)=SEKOR!AB$2,1,0))</f>
        <v/>
      </c>
      <c r="AC200" s="125" t="str">
        <f>IF(Ujian!AC207="","",IF(LEFT(Ujian!AC207,1)=SEKOR!AC$2,1,0))</f>
        <v/>
      </c>
      <c r="AD200" s="125" t="str">
        <f>IF(Ujian!AD207="","",IF(LEFT(Ujian!AD207,1)=SEKOR!AD$2,1,0))</f>
        <v/>
      </c>
      <c r="AE200" s="125" t="str">
        <f>IF(Ujian!AE207="","",IF(LEFT(Ujian!AE207,1)=SEKOR!AE$2,1,0))</f>
        <v/>
      </c>
      <c r="AF200" s="125" t="str">
        <f>IF(Ujian!AF207="","",IF(LEFT(Ujian!AF207,1)=SEKOR!AF$2,1,0))</f>
        <v/>
      </c>
      <c r="AG200" s="125" t="str">
        <f>IF(Ujian!AG207="","",IF(LEFT(Ujian!AG207,1)=SEKOR!AG$2,1,0))</f>
        <v/>
      </c>
      <c r="AH200" s="125" t="str">
        <f>IF(Ujian!AH207="","",IF(LEFT(Ujian!AH207,1)=SEKOR!AH$2,1,0))</f>
        <v/>
      </c>
      <c r="AI200" s="125" t="str">
        <f>IF(Ujian!AI207="","",IF(LEFT(Ujian!AI207,1)=SEKOR!AI$2,1,0))</f>
        <v/>
      </c>
      <c r="AJ200" s="125" t="str">
        <f>IF(Ujian!AJ207="","",IF(LEFT(Ujian!AJ207,1)=SEKOR!AJ$2,1,0))</f>
        <v/>
      </c>
      <c r="AK200" s="125" t="str">
        <f>IF(Ujian!AK207="","",IF(LEFT(Ujian!AK207,1)=SEKOR!AK$2,1,0))</f>
        <v/>
      </c>
      <c r="AL200" s="125" t="str">
        <f>IF(Ujian!AL207="","",IF(LEFT(Ujian!AL207,1)=SEKOR!AL$2,1,0))</f>
        <v/>
      </c>
      <c r="AM200" s="125" t="str">
        <f>IF(Ujian!AM207="","",IF(LEFT(Ujian!AM207,1)=SEKOR!AM$2,1,0))</f>
        <v/>
      </c>
      <c r="AN200" s="125" t="str">
        <f>IF(Ujian!AN207="","",IF(LEFT(Ujian!AN207,1)=SEKOR!AN$2,1,0))</f>
        <v/>
      </c>
      <c r="AO200" s="125" t="str">
        <f>IF(Ujian!AO207="","",IF(LEFT(Ujian!AO207,1)=SEKOR!AO$2,1,0))</f>
        <v/>
      </c>
      <c r="AP200" s="125" t="str">
        <f>IF(Ujian!AP207="","",IF(LEFT(Ujian!AP207,1)=SEKOR!AP$2,1,0))</f>
        <v/>
      </c>
      <c r="AQ200" s="125" t="str">
        <f>IF(Ujian!AQ207="","",IF(LEFT(Ujian!AQ207,1)=SEKOR!AQ$2,1,0))</f>
        <v/>
      </c>
      <c r="AR200" s="125" t="str">
        <f>IF(Ujian!AR207="","",IF(LEFT(Ujian!AR207,1)=SEKOR!AR$2,1,0))</f>
        <v/>
      </c>
      <c r="AS200" s="125" t="str">
        <f>IF(Ujian!AS207="","",IF(LEFT(Ujian!AS207,1)=SEKOR!AS$2,1,0))</f>
        <v/>
      </c>
      <c r="AT200" s="125" t="str">
        <f>IF(Ujian!AT207="","",IF(LEFT(Ujian!AT207,1)=SEKOR!AT$2,1,0))</f>
        <v/>
      </c>
      <c r="AU200" s="125" t="str">
        <f>IF(Ujian!AU207="","",IF(LEFT(Ujian!AU207,1)=SEKOR!AU$2,1,0))</f>
        <v/>
      </c>
      <c r="AV200" s="125" t="str">
        <f>IF(Ujian!AV207="","",IF(LEFT(Ujian!AV207,1)=SEKOR!AV$2,1,0))</f>
        <v/>
      </c>
      <c r="AW200" s="125" t="str">
        <f>IF(Ujian!AW207="","",IF(LEFT(Ujian!AW207,1)=SEKOR!AW$2,1,0))</f>
        <v/>
      </c>
      <c r="AX200" s="125" t="str">
        <f>IF(Ujian!AX207="","",IF(LEFT(Ujian!AX207,1)=SEKOR!AX$2,1,0))</f>
        <v/>
      </c>
      <c r="AY200" s="125" t="str">
        <f>IF(Ujian!AY207="","",IF(LEFT(Ujian!AY207,1)=SEKOR!AY$2,1,0))</f>
        <v/>
      </c>
      <c r="AZ200" s="125" t="str">
        <f>IF(Ujian!AZ207="","",IF(LEFT(Ujian!AZ207,1)=SEKOR!AZ$2,1,0))</f>
        <v/>
      </c>
      <c r="BA200" s="125" t="str">
        <f>IF(Ujian!BA207="","",IF(LEFT(Ujian!BA207,1)=SEKOR!BA$2,1,0))</f>
        <v/>
      </c>
      <c r="BB200" s="125" t="str">
        <f>IF(Ujian!BB207="","",IF(LEFT(Ujian!BB207,1)=SEKOR!BB$2,1,0))</f>
        <v/>
      </c>
      <c r="BC200" s="125" t="str">
        <f>IF(Ujian!BC207="","",IF(LEFT(Ujian!BC207,1)=SEKOR!BC$2,1,0))</f>
        <v/>
      </c>
      <c r="BD200" s="125" t="str">
        <f>IF(Ujian!BD207="","",IF(LEFT(Ujian!BD207,1)=SEKOR!BD$2,1,0))</f>
        <v/>
      </c>
      <c r="BE200" s="125" t="str">
        <f>IF(Ujian!BE207="","",IF(LEFT(Ujian!BE207,1)=SEKOR!BE$2,1,0))</f>
        <v/>
      </c>
      <c r="BF200" s="125" t="str">
        <f>IF(Ujian!BF207="","",IF(LEFT(Ujian!BF207,1)=SEKOR!BF$2,1,0))</f>
        <v/>
      </c>
      <c r="BG200" s="125" t="str">
        <f>IF(Ujian!BG207="","",IF(LEFT(Ujian!BG207,1)=SEKOR!BG$2,1,0))</f>
        <v/>
      </c>
      <c r="BH200" s="125" t="str">
        <f>IF(Ujian!BH207="","",IF(LEFT(Ujian!BH207,1)=SEKOR!BH$2,1,0))</f>
        <v/>
      </c>
      <c r="BI200" s="125" t="str">
        <f>IF(Ujian!BI207="","",IF(LEFT(Ujian!BI207,1)=SEKOR!BI$2,1,0))</f>
        <v/>
      </c>
      <c r="BJ200" s="125" t="str">
        <f>IF(Ujian!BJ207="","",IF(LEFT(Ujian!BJ207,1)=SEKOR!BJ$2,1,0))</f>
        <v/>
      </c>
      <c r="BK200" s="125" t="str">
        <f>IF(Ujian!BK207="","",IF(LEFT(Ujian!BK207,1)=SEKOR!BK$2,1,0))</f>
        <v/>
      </c>
      <c r="BL200" s="18">
        <f t="shared" si="6"/>
        <v>0</v>
      </c>
      <c r="BM200" s="18">
        <f>COUNTIF($D200:$BK200,"")+DATA!$F$14-DATA!$F$12</f>
        <v>60</v>
      </c>
      <c r="BN200" s="17">
        <f>IF(COUNTIF($D200:$BK200,1)&gt;DATA!$F$14,DATA!$F$14,COUNTIF($D200:$BK200,1))</f>
        <v>0</v>
      </c>
      <c r="BO200" s="17">
        <f>IF((BN200+COUNTIF($D200:$BK200,0))&lt;=DATA!$F$14,COUNTIF($D200:$BK200,0),DATA!$F$14-SEKOR!BN200)</f>
        <v>0</v>
      </c>
      <c r="BP200" s="4" t="str">
        <f>IF(BL200=0,"",BN200/DATA!$F$14*100)</f>
        <v/>
      </c>
      <c r="BQ200" s="121" t="str">
        <f t="shared" si="7"/>
        <v/>
      </c>
      <c r="BR200" s="2" t="str">
        <f>IF(Praktik!$E200=0,"",Praktik!$E200)</f>
        <v/>
      </c>
      <c r="BS200" s="2" t="str">
        <f>IF(BR200="","",(BP200*DATAINFO!$O$4)+(SEKOR!BR200*DATAINFO!$O$5)/(DATAINFO!$O$4+DATAINFO!$O$5))</f>
        <v/>
      </c>
      <c r="BT200" s="2" t="str">
        <f>IF(BL200=0,"",IF(DATA!$F$18="TIDAK",ROUNDUP((IF!$L$8*SEKOR!$BP200)+IF!$L$9,0),IF($BR200="","",ROUNDUP((IF!$L$20*$BS200)+IF!$L$21,0))))</f>
        <v/>
      </c>
      <c r="BU200" s="47" t="str">
        <f>IF(BP200="","",IF(SEKOR!BP200&gt;=DATA!$J$12,1,0))</f>
        <v/>
      </c>
      <c r="BV200" s="47" t="str">
        <f>IF(BQ200="","",IF(SEKOR!BQ200&gt;=DATA!$J$12,1,0))</f>
        <v/>
      </c>
      <c r="BW200" s="47" t="str">
        <f>IF(BR200="","",IF(SEKOR!BR200&gt;=DATA!$J$12,1,0))</f>
        <v/>
      </c>
      <c r="BX200" s="47" t="str">
        <f>IF(BT200="","",IF(DATA!$J$14="",IF(SEKOR!BT200&gt;=DATA!$J$12,1,0),IF(SEKOR!BT200&gt;=DATA!$J$14,1,0)))</f>
        <v/>
      </c>
    </row>
    <row r="201" spans="1:76" x14ac:dyDescent="0.25">
      <c r="A201" s="20" t="s">
        <v>228</v>
      </c>
      <c r="B201" s="21" t="str">
        <f>IF(Ujian!B208="","",Ujian!B208)</f>
        <v/>
      </c>
      <c r="C201" s="57" t="str">
        <f>IF(Ujian!C208="","",Ujian!C208)</f>
        <v/>
      </c>
      <c r="D201" s="125" t="str">
        <f>IF(Ujian!D208="","",IF(LEFT(Ujian!D208,1)=SEKOR!D$2,1,0))</f>
        <v/>
      </c>
      <c r="E201" s="125" t="str">
        <f>IF(Ujian!E208="","",IF(LEFT(Ujian!E208,1)=SEKOR!E$2,1,0))</f>
        <v/>
      </c>
      <c r="F201" s="125" t="str">
        <f>IF(Ujian!F208="","",IF(LEFT(Ujian!F208,1)=SEKOR!F$2,1,0))</f>
        <v/>
      </c>
      <c r="G201" s="125" t="str">
        <f>IF(Ujian!G208="","",IF(LEFT(Ujian!G208,1)=SEKOR!G$2,1,0))</f>
        <v/>
      </c>
      <c r="H201" s="125" t="str">
        <f>IF(Ujian!H208="","",IF(LEFT(Ujian!H208,1)=SEKOR!H$2,1,0))</f>
        <v/>
      </c>
      <c r="I201" s="125" t="str">
        <f>IF(Ujian!I208="","",IF(LEFT(Ujian!I208,1)=SEKOR!I$2,1,0))</f>
        <v/>
      </c>
      <c r="J201" s="125" t="str">
        <f>IF(Ujian!J208="","",IF(LEFT(Ujian!J208,1)=SEKOR!J$2,1,0))</f>
        <v/>
      </c>
      <c r="K201" s="125" t="str">
        <f>IF(Ujian!K208="","",IF(LEFT(Ujian!K208,1)=SEKOR!K$2,1,0))</f>
        <v/>
      </c>
      <c r="L201" s="125" t="str">
        <f>IF(Ujian!L208="","",IF(LEFT(Ujian!L208,1)=SEKOR!L$2,1,0))</f>
        <v/>
      </c>
      <c r="M201" s="125" t="str">
        <f>IF(Ujian!M208="","",IF(LEFT(Ujian!M208,1)=SEKOR!M$2,1,0))</f>
        <v/>
      </c>
      <c r="N201" s="125" t="str">
        <f>IF(Ujian!N208="","",IF(LEFT(Ujian!N208,1)=SEKOR!N$2,1,0))</f>
        <v/>
      </c>
      <c r="O201" s="125" t="str">
        <f>IF(Ujian!O208="","",IF(LEFT(Ujian!O208,1)=SEKOR!O$2,1,0))</f>
        <v/>
      </c>
      <c r="P201" s="125" t="str">
        <f>IF(Ujian!P208="","",IF(LEFT(Ujian!P208,1)=SEKOR!P$2,1,0))</f>
        <v/>
      </c>
      <c r="Q201" s="125" t="str">
        <f>IF(Ujian!Q208="","",IF(LEFT(Ujian!Q208,1)=SEKOR!Q$2,1,0))</f>
        <v/>
      </c>
      <c r="R201" s="125" t="str">
        <f>IF(Ujian!R208="","",IF(LEFT(Ujian!R208,1)=SEKOR!R$2,1,0))</f>
        <v/>
      </c>
      <c r="S201" s="125" t="str">
        <f>IF(Ujian!S208="","",IF(LEFT(Ujian!S208,1)=SEKOR!S$2,1,0))</f>
        <v/>
      </c>
      <c r="T201" s="125" t="str">
        <f>IF(Ujian!T208="","",IF(LEFT(Ujian!T208,1)=SEKOR!T$2,1,0))</f>
        <v/>
      </c>
      <c r="U201" s="125" t="str">
        <f>IF(Ujian!U208="","",IF(LEFT(Ujian!U208,1)=SEKOR!U$2,1,0))</f>
        <v/>
      </c>
      <c r="V201" s="125" t="str">
        <f>IF(Ujian!V208="","",IF(LEFT(Ujian!V208,1)=SEKOR!V$2,1,0))</f>
        <v/>
      </c>
      <c r="W201" s="125" t="str">
        <f>IF(Ujian!W208="","",IF(LEFT(Ujian!W208,1)=SEKOR!W$2,1,0))</f>
        <v/>
      </c>
      <c r="X201" s="125" t="str">
        <f>IF(Ujian!X208="","",IF(LEFT(Ujian!X208,1)=SEKOR!X$2,1,0))</f>
        <v/>
      </c>
      <c r="Y201" s="125" t="str">
        <f>IF(Ujian!Y208="","",IF(LEFT(Ujian!Y208,1)=SEKOR!Y$2,1,0))</f>
        <v/>
      </c>
      <c r="Z201" s="125" t="str">
        <f>IF(Ujian!Z208="","",IF(LEFT(Ujian!Z208,1)=SEKOR!Z$2,1,0))</f>
        <v/>
      </c>
      <c r="AA201" s="125" t="str">
        <f>IF(Ujian!AA208="","",IF(LEFT(Ujian!AA208,1)=SEKOR!AA$2,1,0))</f>
        <v/>
      </c>
      <c r="AB201" s="125" t="str">
        <f>IF(Ujian!AB208="","",IF(LEFT(Ujian!AB208,1)=SEKOR!AB$2,1,0))</f>
        <v/>
      </c>
      <c r="AC201" s="125" t="str">
        <f>IF(Ujian!AC208="","",IF(LEFT(Ujian!AC208,1)=SEKOR!AC$2,1,0))</f>
        <v/>
      </c>
      <c r="AD201" s="125" t="str">
        <f>IF(Ujian!AD208="","",IF(LEFT(Ujian!AD208,1)=SEKOR!AD$2,1,0))</f>
        <v/>
      </c>
      <c r="AE201" s="125" t="str">
        <f>IF(Ujian!AE208="","",IF(LEFT(Ujian!AE208,1)=SEKOR!AE$2,1,0))</f>
        <v/>
      </c>
      <c r="AF201" s="125" t="str">
        <f>IF(Ujian!AF208="","",IF(LEFT(Ujian!AF208,1)=SEKOR!AF$2,1,0))</f>
        <v/>
      </c>
      <c r="AG201" s="125" t="str">
        <f>IF(Ujian!AG208="","",IF(LEFT(Ujian!AG208,1)=SEKOR!AG$2,1,0))</f>
        <v/>
      </c>
      <c r="AH201" s="125" t="str">
        <f>IF(Ujian!AH208="","",IF(LEFT(Ujian!AH208,1)=SEKOR!AH$2,1,0))</f>
        <v/>
      </c>
      <c r="AI201" s="125" t="str">
        <f>IF(Ujian!AI208="","",IF(LEFT(Ujian!AI208,1)=SEKOR!AI$2,1,0))</f>
        <v/>
      </c>
      <c r="AJ201" s="125" t="str">
        <f>IF(Ujian!AJ208="","",IF(LEFT(Ujian!AJ208,1)=SEKOR!AJ$2,1,0))</f>
        <v/>
      </c>
      <c r="AK201" s="125" t="str">
        <f>IF(Ujian!AK208="","",IF(LEFT(Ujian!AK208,1)=SEKOR!AK$2,1,0))</f>
        <v/>
      </c>
      <c r="AL201" s="125" t="str">
        <f>IF(Ujian!AL208="","",IF(LEFT(Ujian!AL208,1)=SEKOR!AL$2,1,0))</f>
        <v/>
      </c>
      <c r="AM201" s="125" t="str">
        <f>IF(Ujian!AM208="","",IF(LEFT(Ujian!AM208,1)=SEKOR!AM$2,1,0))</f>
        <v/>
      </c>
      <c r="AN201" s="125" t="str">
        <f>IF(Ujian!AN208="","",IF(LEFT(Ujian!AN208,1)=SEKOR!AN$2,1,0))</f>
        <v/>
      </c>
      <c r="AO201" s="125" t="str">
        <f>IF(Ujian!AO208="","",IF(LEFT(Ujian!AO208,1)=SEKOR!AO$2,1,0))</f>
        <v/>
      </c>
      <c r="AP201" s="125" t="str">
        <f>IF(Ujian!AP208="","",IF(LEFT(Ujian!AP208,1)=SEKOR!AP$2,1,0))</f>
        <v/>
      </c>
      <c r="AQ201" s="125" t="str">
        <f>IF(Ujian!AQ208="","",IF(LEFT(Ujian!AQ208,1)=SEKOR!AQ$2,1,0))</f>
        <v/>
      </c>
      <c r="AR201" s="125" t="str">
        <f>IF(Ujian!AR208="","",IF(LEFT(Ujian!AR208,1)=SEKOR!AR$2,1,0))</f>
        <v/>
      </c>
      <c r="AS201" s="125" t="str">
        <f>IF(Ujian!AS208="","",IF(LEFT(Ujian!AS208,1)=SEKOR!AS$2,1,0))</f>
        <v/>
      </c>
      <c r="AT201" s="125" t="str">
        <f>IF(Ujian!AT208="","",IF(LEFT(Ujian!AT208,1)=SEKOR!AT$2,1,0))</f>
        <v/>
      </c>
      <c r="AU201" s="125" t="str">
        <f>IF(Ujian!AU208="","",IF(LEFT(Ujian!AU208,1)=SEKOR!AU$2,1,0))</f>
        <v/>
      </c>
      <c r="AV201" s="125" t="str">
        <f>IF(Ujian!AV208="","",IF(LEFT(Ujian!AV208,1)=SEKOR!AV$2,1,0))</f>
        <v/>
      </c>
      <c r="AW201" s="125" t="str">
        <f>IF(Ujian!AW208="","",IF(LEFT(Ujian!AW208,1)=SEKOR!AW$2,1,0))</f>
        <v/>
      </c>
      <c r="AX201" s="125" t="str">
        <f>IF(Ujian!AX208="","",IF(LEFT(Ujian!AX208,1)=SEKOR!AX$2,1,0))</f>
        <v/>
      </c>
      <c r="AY201" s="125" t="str">
        <f>IF(Ujian!AY208="","",IF(LEFT(Ujian!AY208,1)=SEKOR!AY$2,1,0))</f>
        <v/>
      </c>
      <c r="AZ201" s="125" t="str">
        <f>IF(Ujian!AZ208="","",IF(LEFT(Ujian!AZ208,1)=SEKOR!AZ$2,1,0))</f>
        <v/>
      </c>
      <c r="BA201" s="125" t="str">
        <f>IF(Ujian!BA208="","",IF(LEFT(Ujian!BA208,1)=SEKOR!BA$2,1,0))</f>
        <v/>
      </c>
      <c r="BB201" s="125" t="str">
        <f>IF(Ujian!BB208="","",IF(LEFT(Ujian!BB208,1)=SEKOR!BB$2,1,0))</f>
        <v/>
      </c>
      <c r="BC201" s="125" t="str">
        <f>IF(Ujian!BC208="","",IF(LEFT(Ujian!BC208,1)=SEKOR!BC$2,1,0))</f>
        <v/>
      </c>
      <c r="BD201" s="125" t="str">
        <f>IF(Ujian!BD208="","",IF(LEFT(Ujian!BD208,1)=SEKOR!BD$2,1,0))</f>
        <v/>
      </c>
      <c r="BE201" s="125" t="str">
        <f>IF(Ujian!BE208="","",IF(LEFT(Ujian!BE208,1)=SEKOR!BE$2,1,0))</f>
        <v/>
      </c>
      <c r="BF201" s="125" t="str">
        <f>IF(Ujian!BF208="","",IF(LEFT(Ujian!BF208,1)=SEKOR!BF$2,1,0))</f>
        <v/>
      </c>
      <c r="BG201" s="125" t="str">
        <f>IF(Ujian!BG208="","",IF(LEFT(Ujian!BG208,1)=SEKOR!BG$2,1,0))</f>
        <v/>
      </c>
      <c r="BH201" s="125" t="str">
        <f>IF(Ujian!BH208="","",IF(LEFT(Ujian!BH208,1)=SEKOR!BH$2,1,0))</f>
        <v/>
      </c>
      <c r="BI201" s="125" t="str">
        <f>IF(Ujian!BI208="","",IF(LEFT(Ujian!BI208,1)=SEKOR!BI$2,1,0))</f>
        <v/>
      </c>
      <c r="BJ201" s="125" t="str">
        <f>IF(Ujian!BJ208="","",IF(LEFT(Ujian!BJ208,1)=SEKOR!BJ$2,1,0))</f>
        <v/>
      </c>
      <c r="BK201" s="125" t="str">
        <f>IF(Ujian!BK208="","",IF(LEFT(Ujian!BK208,1)=SEKOR!BK$2,1,0))</f>
        <v/>
      </c>
      <c r="BL201" s="18">
        <f t="shared" si="6"/>
        <v>0</v>
      </c>
      <c r="BM201" s="18">
        <f>COUNTIF($D201:$BK201,"")+DATA!$F$14-DATA!$F$12</f>
        <v>60</v>
      </c>
      <c r="BN201" s="17">
        <f>IF(COUNTIF($D201:$BK201,1)&gt;DATA!$F$14,DATA!$F$14,COUNTIF($D201:$BK201,1))</f>
        <v>0</v>
      </c>
      <c r="BO201" s="17">
        <f>IF((BN201+COUNTIF($D201:$BK201,0))&lt;=DATA!$F$14,COUNTIF($D201:$BK201,0),DATA!$F$14-SEKOR!BN201)</f>
        <v>0</v>
      </c>
      <c r="BP201" s="4" t="str">
        <f>IF(BL201=0,"",BN201/DATA!$F$14*100)</f>
        <v/>
      </c>
      <c r="BQ201" s="121" t="str">
        <f t="shared" si="7"/>
        <v/>
      </c>
      <c r="BR201" s="2" t="str">
        <f>IF(Praktik!$E201=0,"",Praktik!$E201)</f>
        <v/>
      </c>
      <c r="BS201" s="2" t="str">
        <f>IF(BR201="","",(BP201*DATAINFO!$O$4)+(SEKOR!BR201*DATAINFO!$O$5)/(DATAINFO!$O$4+DATAINFO!$O$5))</f>
        <v/>
      </c>
      <c r="BT201" s="2" t="str">
        <f>IF(BL201=0,"",IF(DATA!$F$18="TIDAK",ROUNDUP((IF!$L$8*SEKOR!$BP201)+IF!$L$9,0),IF($BR201="","",ROUNDUP((IF!$L$20*$BS201)+IF!$L$21,0))))</f>
        <v/>
      </c>
      <c r="BU201" s="47" t="str">
        <f>IF(BP201="","",IF(SEKOR!BP201&gt;=DATA!$J$12,1,0))</f>
        <v/>
      </c>
      <c r="BV201" s="47" t="str">
        <f>IF(BQ201="","",IF(SEKOR!BQ201&gt;=DATA!$J$12,1,0))</f>
        <v/>
      </c>
      <c r="BW201" s="47" t="str">
        <f>IF(BR201="","",IF(SEKOR!BR201&gt;=DATA!$J$12,1,0))</f>
        <v/>
      </c>
      <c r="BX201" s="47" t="str">
        <f>IF(BT201="","",IF(DATA!$J$14="",IF(SEKOR!BT201&gt;=DATA!$J$12,1,0),IF(SEKOR!BT201&gt;=DATA!$J$14,1,0)))</f>
        <v/>
      </c>
    </row>
    <row r="202" spans="1:76" x14ac:dyDescent="0.25">
      <c r="A202" s="20" t="s">
        <v>229</v>
      </c>
      <c r="B202" s="21" t="str">
        <f>IF(Ujian!B209="","",Ujian!B209)</f>
        <v/>
      </c>
      <c r="C202" s="57" t="str">
        <f>IF(Ujian!C209="","",Ujian!C209)</f>
        <v/>
      </c>
      <c r="D202" s="125" t="str">
        <f>IF(Ujian!D209="","",IF(LEFT(Ujian!D209,1)=SEKOR!D$2,1,0))</f>
        <v/>
      </c>
      <c r="E202" s="125" t="str">
        <f>IF(Ujian!E209="","",IF(LEFT(Ujian!E209,1)=SEKOR!E$2,1,0))</f>
        <v/>
      </c>
      <c r="F202" s="125" t="str">
        <f>IF(Ujian!F209="","",IF(LEFT(Ujian!F209,1)=SEKOR!F$2,1,0))</f>
        <v/>
      </c>
      <c r="G202" s="125" t="str">
        <f>IF(Ujian!G209="","",IF(LEFT(Ujian!G209,1)=SEKOR!G$2,1,0))</f>
        <v/>
      </c>
      <c r="H202" s="125" t="str">
        <f>IF(Ujian!H209="","",IF(LEFT(Ujian!H209,1)=SEKOR!H$2,1,0))</f>
        <v/>
      </c>
      <c r="I202" s="125" t="str">
        <f>IF(Ujian!I209="","",IF(LEFT(Ujian!I209,1)=SEKOR!I$2,1,0))</f>
        <v/>
      </c>
      <c r="J202" s="125" t="str">
        <f>IF(Ujian!J209="","",IF(LEFT(Ujian!J209,1)=SEKOR!J$2,1,0))</f>
        <v/>
      </c>
      <c r="K202" s="125" t="str">
        <f>IF(Ujian!K209="","",IF(LEFT(Ujian!K209,1)=SEKOR!K$2,1,0))</f>
        <v/>
      </c>
      <c r="L202" s="125" t="str">
        <f>IF(Ujian!L209="","",IF(LEFT(Ujian!L209,1)=SEKOR!L$2,1,0))</f>
        <v/>
      </c>
      <c r="M202" s="125" t="str">
        <f>IF(Ujian!M209="","",IF(LEFT(Ujian!M209,1)=SEKOR!M$2,1,0))</f>
        <v/>
      </c>
      <c r="N202" s="125" t="str">
        <f>IF(Ujian!N209="","",IF(LEFT(Ujian!N209,1)=SEKOR!N$2,1,0))</f>
        <v/>
      </c>
      <c r="O202" s="125" t="str">
        <f>IF(Ujian!O209="","",IF(LEFT(Ujian!O209,1)=SEKOR!O$2,1,0))</f>
        <v/>
      </c>
      <c r="P202" s="125" t="str">
        <f>IF(Ujian!P209="","",IF(LEFT(Ujian!P209,1)=SEKOR!P$2,1,0))</f>
        <v/>
      </c>
      <c r="Q202" s="125" t="str">
        <f>IF(Ujian!Q209="","",IF(LEFT(Ujian!Q209,1)=SEKOR!Q$2,1,0))</f>
        <v/>
      </c>
      <c r="R202" s="125" t="str">
        <f>IF(Ujian!R209="","",IF(LEFT(Ujian!R209,1)=SEKOR!R$2,1,0))</f>
        <v/>
      </c>
      <c r="S202" s="125" t="str">
        <f>IF(Ujian!S209="","",IF(LEFT(Ujian!S209,1)=SEKOR!S$2,1,0))</f>
        <v/>
      </c>
      <c r="T202" s="125" t="str">
        <f>IF(Ujian!T209="","",IF(LEFT(Ujian!T209,1)=SEKOR!T$2,1,0))</f>
        <v/>
      </c>
      <c r="U202" s="125" t="str">
        <f>IF(Ujian!U209="","",IF(LEFT(Ujian!U209,1)=SEKOR!U$2,1,0))</f>
        <v/>
      </c>
      <c r="V202" s="125" t="str">
        <f>IF(Ujian!V209="","",IF(LEFT(Ujian!V209,1)=SEKOR!V$2,1,0))</f>
        <v/>
      </c>
      <c r="W202" s="125" t="str">
        <f>IF(Ujian!W209="","",IF(LEFT(Ujian!W209,1)=SEKOR!W$2,1,0))</f>
        <v/>
      </c>
      <c r="X202" s="125" t="str">
        <f>IF(Ujian!X209="","",IF(LEFT(Ujian!X209,1)=SEKOR!X$2,1,0))</f>
        <v/>
      </c>
      <c r="Y202" s="125" t="str">
        <f>IF(Ujian!Y209="","",IF(LEFT(Ujian!Y209,1)=SEKOR!Y$2,1,0))</f>
        <v/>
      </c>
      <c r="Z202" s="125" t="str">
        <f>IF(Ujian!Z209="","",IF(LEFT(Ujian!Z209,1)=SEKOR!Z$2,1,0))</f>
        <v/>
      </c>
      <c r="AA202" s="125" t="str">
        <f>IF(Ujian!AA209="","",IF(LEFT(Ujian!AA209,1)=SEKOR!AA$2,1,0))</f>
        <v/>
      </c>
      <c r="AB202" s="125" t="str">
        <f>IF(Ujian!AB209="","",IF(LEFT(Ujian!AB209,1)=SEKOR!AB$2,1,0))</f>
        <v/>
      </c>
      <c r="AC202" s="125" t="str">
        <f>IF(Ujian!AC209="","",IF(LEFT(Ujian!AC209,1)=SEKOR!AC$2,1,0))</f>
        <v/>
      </c>
      <c r="AD202" s="125" t="str">
        <f>IF(Ujian!AD209="","",IF(LEFT(Ujian!AD209,1)=SEKOR!AD$2,1,0))</f>
        <v/>
      </c>
      <c r="AE202" s="125" t="str">
        <f>IF(Ujian!AE209="","",IF(LEFT(Ujian!AE209,1)=SEKOR!AE$2,1,0))</f>
        <v/>
      </c>
      <c r="AF202" s="125" t="str">
        <f>IF(Ujian!AF209="","",IF(LEFT(Ujian!AF209,1)=SEKOR!AF$2,1,0))</f>
        <v/>
      </c>
      <c r="AG202" s="125" t="str">
        <f>IF(Ujian!AG209="","",IF(LEFT(Ujian!AG209,1)=SEKOR!AG$2,1,0))</f>
        <v/>
      </c>
      <c r="AH202" s="125" t="str">
        <f>IF(Ujian!AH209="","",IF(LEFT(Ujian!AH209,1)=SEKOR!AH$2,1,0))</f>
        <v/>
      </c>
      <c r="AI202" s="125" t="str">
        <f>IF(Ujian!AI209="","",IF(LEFT(Ujian!AI209,1)=SEKOR!AI$2,1,0))</f>
        <v/>
      </c>
      <c r="AJ202" s="125" t="str">
        <f>IF(Ujian!AJ209="","",IF(LEFT(Ujian!AJ209,1)=SEKOR!AJ$2,1,0))</f>
        <v/>
      </c>
      <c r="AK202" s="125" t="str">
        <f>IF(Ujian!AK209="","",IF(LEFT(Ujian!AK209,1)=SEKOR!AK$2,1,0))</f>
        <v/>
      </c>
      <c r="AL202" s="125" t="str">
        <f>IF(Ujian!AL209="","",IF(LEFT(Ujian!AL209,1)=SEKOR!AL$2,1,0))</f>
        <v/>
      </c>
      <c r="AM202" s="125" t="str">
        <f>IF(Ujian!AM209="","",IF(LEFT(Ujian!AM209,1)=SEKOR!AM$2,1,0))</f>
        <v/>
      </c>
      <c r="AN202" s="125" t="str">
        <f>IF(Ujian!AN209="","",IF(LEFT(Ujian!AN209,1)=SEKOR!AN$2,1,0))</f>
        <v/>
      </c>
      <c r="AO202" s="125" t="str">
        <f>IF(Ujian!AO209="","",IF(LEFT(Ujian!AO209,1)=SEKOR!AO$2,1,0))</f>
        <v/>
      </c>
      <c r="AP202" s="125" t="str">
        <f>IF(Ujian!AP209="","",IF(LEFT(Ujian!AP209,1)=SEKOR!AP$2,1,0))</f>
        <v/>
      </c>
      <c r="AQ202" s="125" t="str">
        <f>IF(Ujian!AQ209="","",IF(LEFT(Ujian!AQ209,1)=SEKOR!AQ$2,1,0))</f>
        <v/>
      </c>
      <c r="AR202" s="125" t="str">
        <f>IF(Ujian!AR209="","",IF(LEFT(Ujian!AR209,1)=SEKOR!AR$2,1,0))</f>
        <v/>
      </c>
      <c r="AS202" s="125" t="str">
        <f>IF(Ujian!AS209="","",IF(LEFT(Ujian!AS209,1)=SEKOR!AS$2,1,0))</f>
        <v/>
      </c>
      <c r="AT202" s="125" t="str">
        <f>IF(Ujian!AT209="","",IF(LEFT(Ujian!AT209,1)=SEKOR!AT$2,1,0))</f>
        <v/>
      </c>
      <c r="AU202" s="125" t="str">
        <f>IF(Ujian!AU209="","",IF(LEFT(Ujian!AU209,1)=SEKOR!AU$2,1,0))</f>
        <v/>
      </c>
      <c r="AV202" s="125" t="str">
        <f>IF(Ujian!AV209="","",IF(LEFT(Ujian!AV209,1)=SEKOR!AV$2,1,0))</f>
        <v/>
      </c>
      <c r="AW202" s="125" t="str">
        <f>IF(Ujian!AW209="","",IF(LEFT(Ujian!AW209,1)=SEKOR!AW$2,1,0))</f>
        <v/>
      </c>
      <c r="AX202" s="125" t="str">
        <f>IF(Ujian!AX209="","",IF(LEFT(Ujian!AX209,1)=SEKOR!AX$2,1,0))</f>
        <v/>
      </c>
      <c r="AY202" s="125" t="str">
        <f>IF(Ujian!AY209="","",IF(LEFT(Ujian!AY209,1)=SEKOR!AY$2,1,0))</f>
        <v/>
      </c>
      <c r="AZ202" s="125" t="str">
        <f>IF(Ujian!AZ209="","",IF(LEFT(Ujian!AZ209,1)=SEKOR!AZ$2,1,0))</f>
        <v/>
      </c>
      <c r="BA202" s="125" t="str">
        <f>IF(Ujian!BA209="","",IF(LEFT(Ujian!BA209,1)=SEKOR!BA$2,1,0))</f>
        <v/>
      </c>
      <c r="BB202" s="125" t="str">
        <f>IF(Ujian!BB209="","",IF(LEFT(Ujian!BB209,1)=SEKOR!BB$2,1,0))</f>
        <v/>
      </c>
      <c r="BC202" s="125" t="str">
        <f>IF(Ujian!BC209="","",IF(LEFT(Ujian!BC209,1)=SEKOR!BC$2,1,0))</f>
        <v/>
      </c>
      <c r="BD202" s="125" t="str">
        <f>IF(Ujian!BD209="","",IF(LEFT(Ujian!BD209,1)=SEKOR!BD$2,1,0))</f>
        <v/>
      </c>
      <c r="BE202" s="125" t="str">
        <f>IF(Ujian!BE209="","",IF(LEFT(Ujian!BE209,1)=SEKOR!BE$2,1,0))</f>
        <v/>
      </c>
      <c r="BF202" s="125" t="str">
        <f>IF(Ujian!BF209="","",IF(LEFT(Ujian!BF209,1)=SEKOR!BF$2,1,0))</f>
        <v/>
      </c>
      <c r="BG202" s="125" t="str">
        <f>IF(Ujian!BG209="","",IF(LEFT(Ujian!BG209,1)=SEKOR!BG$2,1,0))</f>
        <v/>
      </c>
      <c r="BH202" s="125" t="str">
        <f>IF(Ujian!BH209="","",IF(LEFT(Ujian!BH209,1)=SEKOR!BH$2,1,0))</f>
        <v/>
      </c>
      <c r="BI202" s="125" t="str">
        <f>IF(Ujian!BI209="","",IF(LEFT(Ujian!BI209,1)=SEKOR!BI$2,1,0))</f>
        <v/>
      </c>
      <c r="BJ202" s="125" t="str">
        <f>IF(Ujian!BJ209="","",IF(LEFT(Ujian!BJ209,1)=SEKOR!BJ$2,1,0))</f>
        <v/>
      </c>
      <c r="BK202" s="125" t="str">
        <f>IF(Ujian!BK209="","",IF(LEFT(Ujian!BK209,1)=SEKOR!BK$2,1,0))</f>
        <v/>
      </c>
      <c r="BL202" s="18">
        <f t="shared" si="6"/>
        <v>0</v>
      </c>
      <c r="BM202" s="18">
        <f>COUNTIF($D202:$BK202,"")+DATA!$F$14-DATA!$F$12</f>
        <v>60</v>
      </c>
      <c r="BN202" s="17">
        <f>IF(COUNTIF($D202:$BK202,1)&gt;DATA!$F$14,DATA!$F$14,COUNTIF($D202:$BK202,1))</f>
        <v>0</v>
      </c>
      <c r="BO202" s="17">
        <f>IF((BN202+COUNTIF($D202:$BK202,0))&lt;=DATA!$F$14,COUNTIF($D202:$BK202,0),DATA!$F$14-SEKOR!BN202)</f>
        <v>0</v>
      </c>
      <c r="BP202" s="4" t="str">
        <f>IF(BL202=0,"",BN202/DATA!$F$14*100)</f>
        <v/>
      </c>
      <c r="BQ202" s="121" t="str">
        <f t="shared" si="7"/>
        <v/>
      </c>
      <c r="BR202" s="2" t="str">
        <f>IF(Praktik!$E202=0,"",Praktik!$E202)</f>
        <v/>
      </c>
      <c r="BS202" s="2" t="str">
        <f>IF(BR202="","",(BP202*DATAINFO!$O$4)+(SEKOR!BR202*DATAINFO!$O$5)/(DATAINFO!$O$4+DATAINFO!$O$5))</f>
        <v/>
      </c>
      <c r="BT202" s="2" t="str">
        <f>IF(BL202=0,"",IF(DATA!$F$18="TIDAK",ROUNDUP((IF!$L$8*SEKOR!$BP202)+IF!$L$9,0),IF($BR202="","",ROUNDUP((IF!$L$20*$BS202)+IF!$L$21,0))))</f>
        <v/>
      </c>
      <c r="BU202" s="47" t="str">
        <f>IF(BP202="","",IF(SEKOR!BP202&gt;=DATA!$J$12,1,0))</f>
        <v/>
      </c>
      <c r="BV202" s="47" t="str">
        <f>IF(BQ202="","",IF(SEKOR!BQ202&gt;=DATA!$J$12,1,0))</f>
        <v/>
      </c>
      <c r="BW202" s="47" t="str">
        <f>IF(BR202="","",IF(SEKOR!BR202&gt;=DATA!$J$12,1,0))</f>
        <v/>
      </c>
      <c r="BX202" s="47" t="str">
        <f>IF(BT202="","",IF(DATA!$J$14="",IF(SEKOR!BT202&gt;=DATA!$J$12,1,0),IF(SEKOR!BT202&gt;=DATA!$J$14,1,0)))</f>
        <v/>
      </c>
    </row>
    <row r="203" spans="1:76" x14ac:dyDescent="0.25">
      <c r="A203" s="20" t="s">
        <v>230</v>
      </c>
      <c r="B203" s="21" t="str">
        <f>IF(Ujian!B210="","",Ujian!B210)</f>
        <v/>
      </c>
      <c r="C203" s="57" t="str">
        <f>IF(Ujian!C210="","",Ujian!C210)</f>
        <v/>
      </c>
      <c r="D203" s="125" t="str">
        <f>IF(Ujian!D210="","",IF(LEFT(Ujian!D210,1)=SEKOR!D$2,1,0))</f>
        <v/>
      </c>
      <c r="E203" s="125" t="str">
        <f>IF(Ujian!E210="","",IF(LEFT(Ujian!E210,1)=SEKOR!E$2,1,0))</f>
        <v/>
      </c>
      <c r="F203" s="125" t="str">
        <f>IF(Ujian!F210="","",IF(LEFT(Ujian!F210,1)=SEKOR!F$2,1,0))</f>
        <v/>
      </c>
      <c r="G203" s="125" t="str">
        <f>IF(Ujian!G210="","",IF(LEFT(Ujian!G210,1)=SEKOR!G$2,1,0))</f>
        <v/>
      </c>
      <c r="H203" s="125" t="str">
        <f>IF(Ujian!H210="","",IF(LEFT(Ujian!H210,1)=SEKOR!H$2,1,0))</f>
        <v/>
      </c>
      <c r="I203" s="125" t="str">
        <f>IF(Ujian!I210="","",IF(LEFT(Ujian!I210,1)=SEKOR!I$2,1,0))</f>
        <v/>
      </c>
      <c r="J203" s="125" t="str">
        <f>IF(Ujian!J210="","",IF(LEFT(Ujian!J210,1)=SEKOR!J$2,1,0))</f>
        <v/>
      </c>
      <c r="K203" s="125" t="str">
        <f>IF(Ujian!K210="","",IF(LEFT(Ujian!K210,1)=SEKOR!K$2,1,0))</f>
        <v/>
      </c>
      <c r="L203" s="125" t="str">
        <f>IF(Ujian!L210="","",IF(LEFT(Ujian!L210,1)=SEKOR!L$2,1,0))</f>
        <v/>
      </c>
      <c r="M203" s="125" t="str">
        <f>IF(Ujian!M210="","",IF(LEFT(Ujian!M210,1)=SEKOR!M$2,1,0))</f>
        <v/>
      </c>
      <c r="N203" s="125" t="str">
        <f>IF(Ujian!N210="","",IF(LEFT(Ujian!N210,1)=SEKOR!N$2,1,0))</f>
        <v/>
      </c>
      <c r="O203" s="125" t="str">
        <f>IF(Ujian!O210="","",IF(LEFT(Ujian!O210,1)=SEKOR!O$2,1,0))</f>
        <v/>
      </c>
      <c r="P203" s="125" t="str">
        <f>IF(Ujian!P210="","",IF(LEFT(Ujian!P210,1)=SEKOR!P$2,1,0))</f>
        <v/>
      </c>
      <c r="Q203" s="125" t="str">
        <f>IF(Ujian!Q210="","",IF(LEFT(Ujian!Q210,1)=SEKOR!Q$2,1,0))</f>
        <v/>
      </c>
      <c r="R203" s="125" t="str">
        <f>IF(Ujian!R210="","",IF(LEFT(Ujian!R210,1)=SEKOR!R$2,1,0))</f>
        <v/>
      </c>
      <c r="S203" s="125" t="str">
        <f>IF(Ujian!S210="","",IF(LEFT(Ujian!S210,1)=SEKOR!S$2,1,0))</f>
        <v/>
      </c>
      <c r="T203" s="125" t="str">
        <f>IF(Ujian!T210="","",IF(LEFT(Ujian!T210,1)=SEKOR!T$2,1,0))</f>
        <v/>
      </c>
      <c r="U203" s="125" t="str">
        <f>IF(Ujian!U210="","",IF(LEFT(Ujian!U210,1)=SEKOR!U$2,1,0))</f>
        <v/>
      </c>
      <c r="V203" s="125" t="str">
        <f>IF(Ujian!V210="","",IF(LEFT(Ujian!V210,1)=SEKOR!V$2,1,0))</f>
        <v/>
      </c>
      <c r="W203" s="125" t="str">
        <f>IF(Ujian!W210="","",IF(LEFT(Ujian!W210,1)=SEKOR!W$2,1,0))</f>
        <v/>
      </c>
      <c r="X203" s="125" t="str">
        <f>IF(Ujian!X210="","",IF(LEFT(Ujian!X210,1)=SEKOR!X$2,1,0))</f>
        <v/>
      </c>
      <c r="Y203" s="125" t="str">
        <f>IF(Ujian!Y210="","",IF(LEFT(Ujian!Y210,1)=SEKOR!Y$2,1,0))</f>
        <v/>
      </c>
      <c r="Z203" s="125" t="str">
        <f>IF(Ujian!Z210="","",IF(LEFT(Ujian!Z210,1)=SEKOR!Z$2,1,0))</f>
        <v/>
      </c>
      <c r="AA203" s="125" t="str">
        <f>IF(Ujian!AA210="","",IF(LEFT(Ujian!AA210,1)=SEKOR!AA$2,1,0))</f>
        <v/>
      </c>
      <c r="AB203" s="125" t="str">
        <f>IF(Ujian!AB210="","",IF(LEFT(Ujian!AB210,1)=SEKOR!AB$2,1,0))</f>
        <v/>
      </c>
      <c r="AC203" s="125" t="str">
        <f>IF(Ujian!AC210="","",IF(LEFT(Ujian!AC210,1)=SEKOR!AC$2,1,0))</f>
        <v/>
      </c>
      <c r="AD203" s="125" t="str">
        <f>IF(Ujian!AD210="","",IF(LEFT(Ujian!AD210,1)=SEKOR!AD$2,1,0))</f>
        <v/>
      </c>
      <c r="AE203" s="125" t="str">
        <f>IF(Ujian!AE210="","",IF(LEFT(Ujian!AE210,1)=SEKOR!AE$2,1,0))</f>
        <v/>
      </c>
      <c r="AF203" s="125" t="str">
        <f>IF(Ujian!AF210="","",IF(LEFT(Ujian!AF210,1)=SEKOR!AF$2,1,0))</f>
        <v/>
      </c>
      <c r="AG203" s="125" t="str">
        <f>IF(Ujian!AG210="","",IF(LEFT(Ujian!AG210,1)=SEKOR!AG$2,1,0))</f>
        <v/>
      </c>
      <c r="AH203" s="125" t="str">
        <f>IF(Ujian!AH210="","",IF(LEFT(Ujian!AH210,1)=SEKOR!AH$2,1,0))</f>
        <v/>
      </c>
      <c r="AI203" s="125" t="str">
        <f>IF(Ujian!AI210="","",IF(LEFT(Ujian!AI210,1)=SEKOR!AI$2,1,0))</f>
        <v/>
      </c>
      <c r="AJ203" s="125" t="str">
        <f>IF(Ujian!AJ210="","",IF(LEFT(Ujian!AJ210,1)=SEKOR!AJ$2,1,0))</f>
        <v/>
      </c>
      <c r="AK203" s="125" t="str">
        <f>IF(Ujian!AK210="","",IF(LEFT(Ujian!AK210,1)=SEKOR!AK$2,1,0))</f>
        <v/>
      </c>
      <c r="AL203" s="125" t="str">
        <f>IF(Ujian!AL210="","",IF(LEFT(Ujian!AL210,1)=SEKOR!AL$2,1,0))</f>
        <v/>
      </c>
      <c r="AM203" s="125" t="str">
        <f>IF(Ujian!AM210="","",IF(LEFT(Ujian!AM210,1)=SEKOR!AM$2,1,0))</f>
        <v/>
      </c>
      <c r="AN203" s="125" t="str">
        <f>IF(Ujian!AN210="","",IF(LEFT(Ujian!AN210,1)=SEKOR!AN$2,1,0))</f>
        <v/>
      </c>
      <c r="AO203" s="125" t="str">
        <f>IF(Ujian!AO210="","",IF(LEFT(Ujian!AO210,1)=SEKOR!AO$2,1,0))</f>
        <v/>
      </c>
      <c r="AP203" s="125" t="str">
        <f>IF(Ujian!AP210="","",IF(LEFT(Ujian!AP210,1)=SEKOR!AP$2,1,0))</f>
        <v/>
      </c>
      <c r="AQ203" s="125" t="str">
        <f>IF(Ujian!AQ210="","",IF(LEFT(Ujian!AQ210,1)=SEKOR!AQ$2,1,0))</f>
        <v/>
      </c>
      <c r="AR203" s="125" t="str">
        <f>IF(Ujian!AR210="","",IF(LEFT(Ujian!AR210,1)=SEKOR!AR$2,1,0))</f>
        <v/>
      </c>
      <c r="AS203" s="125" t="str">
        <f>IF(Ujian!AS210="","",IF(LEFT(Ujian!AS210,1)=SEKOR!AS$2,1,0))</f>
        <v/>
      </c>
      <c r="AT203" s="125" t="str">
        <f>IF(Ujian!AT210="","",IF(LEFT(Ujian!AT210,1)=SEKOR!AT$2,1,0))</f>
        <v/>
      </c>
      <c r="AU203" s="125" t="str">
        <f>IF(Ujian!AU210="","",IF(LEFT(Ujian!AU210,1)=SEKOR!AU$2,1,0))</f>
        <v/>
      </c>
      <c r="AV203" s="125" t="str">
        <f>IF(Ujian!AV210="","",IF(LEFT(Ujian!AV210,1)=SEKOR!AV$2,1,0))</f>
        <v/>
      </c>
      <c r="AW203" s="125" t="str">
        <f>IF(Ujian!AW210="","",IF(LEFT(Ujian!AW210,1)=SEKOR!AW$2,1,0))</f>
        <v/>
      </c>
      <c r="AX203" s="125" t="str">
        <f>IF(Ujian!AX210="","",IF(LEFT(Ujian!AX210,1)=SEKOR!AX$2,1,0))</f>
        <v/>
      </c>
      <c r="AY203" s="125" t="str">
        <f>IF(Ujian!AY210="","",IF(LEFT(Ujian!AY210,1)=SEKOR!AY$2,1,0))</f>
        <v/>
      </c>
      <c r="AZ203" s="125" t="str">
        <f>IF(Ujian!AZ210="","",IF(LEFT(Ujian!AZ210,1)=SEKOR!AZ$2,1,0))</f>
        <v/>
      </c>
      <c r="BA203" s="125" t="str">
        <f>IF(Ujian!BA210="","",IF(LEFT(Ujian!BA210,1)=SEKOR!BA$2,1,0))</f>
        <v/>
      </c>
      <c r="BB203" s="125" t="str">
        <f>IF(Ujian!BB210="","",IF(LEFT(Ujian!BB210,1)=SEKOR!BB$2,1,0))</f>
        <v/>
      </c>
      <c r="BC203" s="125" t="str">
        <f>IF(Ujian!BC210="","",IF(LEFT(Ujian!BC210,1)=SEKOR!BC$2,1,0))</f>
        <v/>
      </c>
      <c r="BD203" s="125" t="str">
        <f>IF(Ujian!BD210="","",IF(LEFT(Ujian!BD210,1)=SEKOR!BD$2,1,0))</f>
        <v/>
      </c>
      <c r="BE203" s="125" t="str">
        <f>IF(Ujian!BE210="","",IF(LEFT(Ujian!BE210,1)=SEKOR!BE$2,1,0))</f>
        <v/>
      </c>
      <c r="BF203" s="125" t="str">
        <f>IF(Ujian!BF210="","",IF(LEFT(Ujian!BF210,1)=SEKOR!BF$2,1,0))</f>
        <v/>
      </c>
      <c r="BG203" s="125" t="str">
        <f>IF(Ujian!BG210="","",IF(LEFT(Ujian!BG210,1)=SEKOR!BG$2,1,0))</f>
        <v/>
      </c>
      <c r="BH203" s="125" t="str">
        <f>IF(Ujian!BH210="","",IF(LEFT(Ujian!BH210,1)=SEKOR!BH$2,1,0))</f>
        <v/>
      </c>
      <c r="BI203" s="125" t="str">
        <f>IF(Ujian!BI210="","",IF(LEFT(Ujian!BI210,1)=SEKOR!BI$2,1,0))</f>
        <v/>
      </c>
      <c r="BJ203" s="125" t="str">
        <f>IF(Ujian!BJ210="","",IF(LEFT(Ujian!BJ210,1)=SEKOR!BJ$2,1,0))</f>
        <v/>
      </c>
      <c r="BK203" s="125" t="str">
        <f>IF(Ujian!BK210="","",IF(LEFT(Ujian!BK210,1)=SEKOR!BK$2,1,0))</f>
        <v/>
      </c>
      <c r="BL203" s="18">
        <f t="shared" si="6"/>
        <v>0</v>
      </c>
      <c r="BM203" s="18">
        <f>COUNTIF($D203:$BK203,"")+DATA!$F$14-DATA!$F$12</f>
        <v>60</v>
      </c>
      <c r="BN203" s="17">
        <f>IF(COUNTIF($D203:$BK203,1)&gt;DATA!$F$14,DATA!$F$14,COUNTIF($D203:$BK203,1))</f>
        <v>0</v>
      </c>
      <c r="BO203" s="17">
        <f>IF((BN203+COUNTIF($D203:$BK203,0))&lt;=DATA!$F$14,COUNTIF($D203:$BK203,0),DATA!$F$14-SEKOR!BN203)</f>
        <v>0</v>
      </c>
      <c r="BP203" s="4" t="str">
        <f>IF(BL203=0,"",BN203/DATA!$F$14*100)</f>
        <v/>
      </c>
      <c r="BQ203" s="121" t="str">
        <f t="shared" si="7"/>
        <v/>
      </c>
      <c r="BR203" s="2" t="str">
        <f>IF(Praktik!$E203=0,"",Praktik!$E203)</f>
        <v/>
      </c>
      <c r="BS203" s="2" t="str">
        <f>IF(BR203="","",(BP203*DATAINFO!$O$4)+(SEKOR!BR203*DATAINFO!$O$5)/(DATAINFO!$O$4+DATAINFO!$O$5))</f>
        <v/>
      </c>
      <c r="BT203" s="2" t="str">
        <f>IF(BL203=0,"",IF(DATA!$F$18="TIDAK",ROUNDUP((IF!$L$8*SEKOR!$BP203)+IF!$L$9,0),IF($BR203="","",ROUNDUP((IF!$L$20*$BS203)+IF!$L$21,0))))</f>
        <v/>
      </c>
      <c r="BU203" s="47" t="str">
        <f>IF(BP203="","",IF(SEKOR!BP203&gt;=DATA!$J$12,1,0))</f>
        <v/>
      </c>
      <c r="BV203" s="47" t="str">
        <f>IF(BQ203="","",IF(SEKOR!BQ203&gt;=DATA!$J$12,1,0))</f>
        <v/>
      </c>
      <c r="BW203" s="47" t="str">
        <f>IF(BR203="","",IF(SEKOR!BR203&gt;=DATA!$J$12,1,0))</f>
        <v/>
      </c>
      <c r="BX203" s="47" t="str">
        <f>IF(BT203="","",IF(DATA!$J$14="",IF(SEKOR!BT203&gt;=DATA!$J$12,1,0),IF(SEKOR!BT203&gt;=DATA!$J$14,1,0)))</f>
        <v/>
      </c>
    </row>
    <row r="204" spans="1:76" x14ac:dyDescent="0.25">
      <c r="A204" s="20" t="s">
        <v>231</v>
      </c>
      <c r="B204" s="21" t="str">
        <f>IF(Ujian!B211="","",Ujian!B211)</f>
        <v/>
      </c>
      <c r="C204" s="57" t="str">
        <f>IF(Ujian!C211="","",Ujian!C211)</f>
        <v/>
      </c>
      <c r="D204" s="125" t="str">
        <f>IF(Ujian!D211="","",IF(LEFT(Ujian!D211,1)=SEKOR!D$2,1,0))</f>
        <v/>
      </c>
      <c r="E204" s="125" t="str">
        <f>IF(Ujian!E211="","",IF(LEFT(Ujian!E211,1)=SEKOR!E$2,1,0))</f>
        <v/>
      </c>
      <c r="F204" s="125" t="str">
        <f>IF(Ujian!F211="","",IF(LEFT(Ujian!F211,1)=SEKOR!F$2,1,0))</f>
        <v/>
      </c>
      <c r="G204" s="125" t="str">
        <f>IF(Ujian!G211="","",IF(LEFT(Ujian!G211,1)=SEKOR!G$2,1,0))</f>
        <v/>
      </c>
      <c r="H204" s="125" t="str">
        <f>IF(Ujian!H211="","",IF(LEFT(Ujian!H211,1)=SEKOR!H$2,1,0))</f>
        <v/>
      </c>
      <c r="I204" s="125" t="str">
        <f>IF(Ujian!I211="","",IF(LEFT(Ujian!I211,1)=SEKOR!I$2,1,0))</f>
        <v/>
      </c>
      <c r="J204" s="125" t="str">
        <f>IF(Ujian!J211="","",IF(LEFT(Ujian!J211,1)=SEKOR!J$2,1,0))</f>
        <v/>
      </c>
      <c r="K204" s="125" t="str">
        <f>IF(Ujian!K211="","",IF(LEFT(Ujian!K211,1)=SEKOR!K$2,1,0))</f>
        <v/>
      </c>
      <c r="L204" s="125" t="str">
        <f>IF(Ujian!L211="","",IF(LEFT(Ujian!L211,1)=SEKOR!L$2,1,0))</f>
        <v/>
      </c>
      <c r="M204" s="125" t="str">
        <f>IF(Ujian!M211="","",IF(LEFT(Ujian!M211,1)=SEKOR!M$2,1,0))</f>
        <v/>
      </c>
      <c r="N204" s="125" t="str">
        <f>IF(Ujian!N211="","",IF(LEFT(Ujian!N211,1)=SEKOR!N$2,1,0))</f>
        <v/>
      </c>
      <c r="O204" s="125" t="str">
        <f>IF(Ujian!O211="","",IF(LEFT(Ujian!O211,1)=SEKOR!O$2,1,0))</f>
        <v/>
      </c>
      <c r="P204" s="125" t="str">
        <f>IF(Ujian!P211="","",IF(LEFT(Ujian!P211,1)=SEKOR!P$2,1,0))</f>
        <v/>
      </c>
      <c r="Q204" s="125" t="str">
        <f>IF(Ujian!Q211="","",IF(LEFT(Ujian!Q211,1)=SEKOR!Q$2,1,0))</f>
        <v/>
      </c>
      <c r="R204" s="125" t="str">
        <f>IF(Ujian!R211="","",IF(LEFT(Ujian!R211,1)=SEKOR!R$2,1,0))</f>
        <v/>
      </c>
      <c r="S204" s="125" t="str">
        <f>IF(Ujian!S211="","",IF(LEFT(Ujian!S211,1)=SEKOR!S$2,1,0))</f>
        <v/>
      </c>
      <c r="T204" s="125" t="str">
        <f>IF(Ujian!T211="","",IF(LEFT(Ujian!T211,1)=SEKOR!T$2,1,0))</f>
        <v/>
      </c>
      <c r="U204" s="125" t="str">
        <f>IF(Ujian!U211="","",IF(LEFT(Ujian!U211,1)=SEKOR!U$2,1,0))</f>
        <v/>
      </c>
      <c r="V204" s="125" t="str">
        <f>IF(Ujian!V211="","",IF(LEFT(Ujian!V211,1)=SEKOR!V$2,1,0))</f>
        <v/>
      </c>
      <c r="W204" s="125" t="str">
        <f>IF(Ujian!W211="","",IF(LEFT(Ujian!W211,1)=SEKOR!W$2,1,0))</f>
        <v/>
      </c>
      <c r="X204" s="125" t="str">
        <f>IF(Ujian!X211="","",IF(LEFT(Ujian!X211,1)=SEKOR!X$2,1,0))</f>
        <v/>
      </c>
      <c r="Y204" s="125" t="str">
        <f>IF(Ujian!Y211="","",IF(LEFT(Ujian!Y211,1)=SEKOR!Y$2,1,0))</f>
        <v/>
      </c>
      <c r="Z204" s="125" t="str">
        <f>IF(Ujian!Z211="","",IF(LEFT(Ujian!Z211,1)=SEKOR!Z$2,1,0))</f>
        <v/>
      </c>
      <c r="AA204" s="125" t="str">
        <f>IF(Ujian!AA211="","",IF(LEFT(Ujian!AA211,1)=SEKOR!AA$2,1,0))</f>
        <v/>
      </c>
      <c r="AB204" s="125" t="str">
        <f>IF(Ujian!AB211="","",IF(LEFT(Ujian!AB211,1)=SEKOR!AB$2,1,0))</f>
        <v/>
      </c>
      <c r="AC204" s="125" t="str">
        <f>IF(Ujian!AC211="","",IF(LEFT(Ujian!AC211,1)=SEKOR!AC$2,1,0))</f>
        <v/>
      </c>
      <c r="AD204" s="125" t="str">
        <f>IF(Ujian!AD211="","",IF(LEFT(Ujian!AD211,1)=SEKOR!AD$2,1,0))</f>
        <v/>
      </c>
      <c r="AE204" s="125" t="str">
        <f>IF(Ujian!AE211="","",IF(LEFT(Ujian!AE211,1)=SEKOR!AE$2,1,0))</f>
        <v/>
      </c>
      <c r="AF204" s="125" t="str">
        <f>IF(Ujian!AF211="","",IF(LEFT(Ujian!AF211,1)=SEKOR!AF$2,1,0))</f>
        <v/>
      </c>
      <c r="AG204" s="125" t="str">
        <f>IF(Ujian!AG211="","",IF(LEFT(Ujian!AG211,1)=SEKOR!AG$2,1,0))</f>
        <v/>
      </c>
      <c r="AH204" s="125" t="str">
        <f>IF(Ujian!AH211="","",IF(LEFT(Ujian!AH211,1)=SEKOR!AH$2,1,0))</f>
        <v/>
      </c>
      <c r="AI204" s="125" t="str">
        <f>IF(Ujian!AI211="","",IF(LEFT(Ujian!AI211,1)=SEKOR!AI$2,1,0))</f>
        <v/>
      </c>
      <c r="AJ204" s="125" t="str">
        <f>IF(Ujian!AJ211="","",IF(LEFT(Ujian!AJ211,1)=SEKOR!AJ$2,1,0))</f>
        <v/>
      </c>
      <c r="AK204" s="125" t="str">
        <f>IF(Ujian!AK211="","",IF(LEFT(Ujian!AK211,1)=SEKOR!AK$2,1,0))</f>
        <v/>
      </c>
      <c r="AL204" s="125" t="str">
        <f>IF(Ujian!AL211="","",IF(LEFT(Ujian!AL211,1)=SEKOR!AL$2,1,0))</f>
        <v/>
      </c>
      <c r="AM204" s="125" t="str">
        <f>IF(Ujian!AM211="","",IF(LEFT(Ujian!AM211,1)=SEKOR!AM$2,1,0))</f>
        <v/>
      </c>
      <c r="AN204" s="125" t="str">
        <f>IF(Ujian!AN211="","",IF(LEFT(Ujian!AN211,1)=SEKOR!AN$2,1,0))</f>
        <v/>
      </c>
      <c r="AO204" s="125" t="str">
        <f>IF(Ujian!AO211="","",IF(LEFT(Ujian!AO211,1)=SEKOR!AO$2,1,0))</f>
        <v/>
      </c>
      <c r="AP204" s="125" t="str">
        <f>IF(Ujian!AP211="","",IF(LEFT(Ujian!AP211,1)=SEKOR!AP$2,1,0))</f>
        <v/>
      </c>
      <c r="AQ204" s="125" t="str">
        <f>IF(Ujian!AQ211="","",IF(LEFT(Ujian!AQ211,1)=SEKOR!AQ$2,1,0))</f>
        <v/>
      </c>
      <c r="AR204" s="125" t="str">
        <f>IF(Ujian!AR211="","",IF(LEFT(Ujian!AR211,1)=SEKOR!AR$2,1,0))</f>
        <v/>
      </c>
      <c r="AS204" s="125" t="str">
        <f>IF(Ujian!AS211="","",IF(LEFT(Ujian!AS211,1)=SEKOR!AS$2,1,0))</f>
        <v/>
      </c>
      <c r="AT204" s="125" t="str">
        <f>IF(Ujian!AT211="","",IF(LEFT(Ujian!AT211,1)=SEKOR!AT$2,1,0))</f>
        <v/>
      </c>
      <c r="AU204" s="125" t="str">
        <f>IF(Ujian!AU211="","",IF(LEFT(Ujian!AU211,1)=SEKOR!AU$2,1,0))</f>
        <v/>
      </c>
      <c r="AV204" s="125" t="str">
        <f>IF(Ujian!AV211="","",IF(LEFT(Ujian!AV211,1)=SEKOR!AV$2,1,0))</f>
        <v/>
      </c>
      <c r="AW204" s="125" t="str">
        <f>IF(Ujian!AW211="","",IF(LEFT(Ujian!AW211,1)=SEKOR!AW$2,1,0))</f>
        <v/>
      </c>
      <c r="AX204" s="125" t="str">
        <f>IF(Ujian!AX211="","",IF(LEFT(Ujian!AX211,1)=SEKOR!AX$2,1,0))</f>
        <v/>
      </c>
      <c r="AY204" s="125" t="str">
        <f>IF(Ujian!AY211="","",IF(LEFT(Ujian!AY211,1)=SEKOR!AY$2,1,0))</f>
        <v/>
      </c>
      <c r="AZ204" s="125" t="str">
        <f>IF(Ujian!AZ211="","",IF(LEFT(Ujian!AZ211,1)=SEKOR!AZ$2,1,0))</f>
        <v/>
      </c>
      <c r="BA204" s="125" t="str">
        <f>IF(Ujian!BA211="","",IF(LEFT(Ujian!BA211,1)=SEKOR!BA$2,1,0))</f>
        <v/>
      </c>
      <c r="BB204" s="125" t="str">
        <f>IF(Ujian!BB211="","",IF(LEFT(Ujian!BB211,1)=SEKOR!BB$2,1,0))</f>
        <v/>
      </c>
      <c r="BC204" s="125" t="str">
        <f>IF(Ujian!BC211="","",IF(LEFT(Ujian!BC211,1)=SEKOR!BC$2,1,0))</f>
        <v/>
      </c>
      <c r="BD204" s="125" t="str">
        <f>IF(Ujian!BD211="","",IF(LEFT(Ujian!BD211,1)=SEKOR!BD$2,1,0))</f>
        <v/>
      </c>
      <c r="BE204" s="125" t="str">
        <f>IF(Ujian!BE211="","",IF(LEFT(Ujian!BE211,1)=SEKOR!BE$2,1,0))</f>
        <v/>
      </c>
      <c r="BF204" s="125" t="str">
        <f>IF(Ujian!BF211="","",IF(LEFT(Ujian!BF211,1)=SEKOR!BF$2,1,0))</f>
        <v/>
      </c>
      <c r="BG204" s="125" t="str">
        <f>IF(Ujian!BG211="","",IF(LEFT(Ujian!BG211,1)=SEKOR!BG$2,1,0))</f>
        <v/>
      </c>
      <c r="BH204" s="125" t="str">
        <f>IF(Ujian!BH211="","",IF(LEFT(Ujian!BH211,1)=SEKOR!BH$2,1,0))</f>
        <v/>
      </c>
      <c r="BI204" s="125" t="str">
        <f>IF(Ujian!BI211="","",IF(LEFT(Ujian!BI211,1)=SEKOR!BI$2,1,0))</f>
        <v/>
      </c>
      <c r="BJ204" s="125" t="str">
        <f>IF(Ujian!BJ211="","",IF(LEFT(Ujian!BJ211,1)=SEKOR!BJ$2,1,0))</f>
        <v/>
      </c>
      <c r="BK204" s="125" t="str">
        <f>IF(Ujian!BK211="","",IF(LEFT(Ujian!BK211,1)=SEKOR!BK$2,1,0))</f>
        <v/>
      </c>
      <c r="BL204" s="18">
        <f t="shared" si="6"/>
        <v>0</v>
      </c>
      <c r="BM204" s="18">
        <f>COUNTIF($D204:$BK204,"")+DATA!$F$14-DATA!$F$12</f>
        <v>60</v>
      </c>
      <c r="BN204" s="17">
        <f>IF(COUNTIF($D204:$BK204,1)&gt;DATA!$F$14,DATA!$F$14,COUNTIF($D204:$BK204,1))</f>
        <v>0</v>
      </c>
      <c r="BO204" s="17">
        <f>IF((BN204+COUNTIF($D204:$BK204,0))&lt;=DATA!$F$14,COUNTIF($D204:$BK204,0),DATA!$F$14-SEKOR!BN204)</f>
        <v>0</v>
      </c>
      <c r="BP204" s="4" t="str">
        <f>IF(BL204=0,"",BN204/DATA!$F$14*100)</f>
        <v/>
      </c>
      <c r="BQ204" s="121" t="str">
        <f t="shared" si="7"/>
        <v/>
      </c>
      <c r="BR204" s="2" t="str">
        <f>IF(Praktik!$E204=0,"",Praktik!$E204)</f>
        <v/>
      </c>
      <c r="BS204" s="2" t="str">
        <f>IF(BR204="","",(BP204*DATAINFO!$O$4)+(SEKOR!BR204*DATAINFO!$O$5)/(DATAINFO!$O$4+DATAINFO!$O$5))</f>
        <v/>
      </c>
      <c r="BT204" s="2" t="str">
        <f>IF(BL204=0,"",IF(DATA!$F$18="TIDAK",ROUNDUP((IF!$L$8*SEKOR!$BP204)+IF!$L$9,0),IF($BR204="","",ROUNDUP((IF!$L$20*$BS204)+IF!$L$21,0))))</f>
        <v/>
      </c>
      <c r="BU204" s="47" t="str">
        <f>IF(BP204="","",IF(SEKOR!BP204&gt;=DATA!$J$12,1,0))</f>
        <v/>
      </c>
      <c r="BV204" s="47" t="str">
        <f>IF(BQ204="","",IF(SEKOR!BQ204&gt;=DATA!$J$12,1,0))</f>
        <v/>
      </c>
      <c r="BW204" s="47" t="str">
        <f>IF(BR204="","",IF(SEKOR!BR204&gt;=DATA!$J$12,1,0))</f>
        <v/>
      </c>
      <c r="BX204" s="47" t="str">
        <f>IF(BT204="","",IF(DATA!$J$14="",IF(SEKOR!BT204&gt;=DATA!$J$12,1,0),IF(SEKOR!BT204&gt;=DATA!$J$14,1,0)))</f>
        <v/>
      </c>
    </row>
    <row r="205" spans="1:76" x14ac:dyDescent="0.25">
      <c r="A205" s="20" t="s">
        <v>232</v>
      </c>
      <c r="B205" s="21" t="str">
        <f>IF(Ujian!B212="","",Ujian!B212)</f>
        <v/>
      </c>
      <c r="C205" s="57" t="str">
        <f>IF(Ujian!C212="","",Ujian!C212)</f>
        <v/>
      </c>
      <c r="D205" s="125" t="str">
        <f>IF(Ujian!D212="","",IF(LEFT(Ujian!D212,1)=SEKOR!D$2,1,0))</f>
        <v/>
      </c>
      <c r="E205" s="125" t="str">
        <f>IF(Ujian!E212="","",IF(LEFT(Ujian!E212,1)=SEKOR!E$2,1,0))</f>
        <v/>
      </c>
      <c r="F205" s="125" t="str">
        <f>IF(Ujian!F212="","",IF(LEFT(Ujian!F212,1)=SEKOR!F$2,1,0))</f>
        <v/>
      </c>
      <c r="G205" s="125" t="str">
        <f>IF(Ujian!G212="","",IF(LEFT(Ujian!G212,1)=SEKOR!G$2,1,0))</f>
        <v/>
      </c>
      <c r="H205" s="125" t="str">
        <f>IF(Ujian!H212="","",IF(LEFT(Ujian!H212,1)=SEKOR!H$2,1,0))</f>
        <v/>
      </c>
      <c r="I205" s="125" t="str">
        <f>IF(Ujian!I212="","",IF(LEFT(Ujian!I212,1)=SEKOR!I$2,1,0))</f>
        <v/>
      </c>
      <c r="J205" s="125" t="str">
        <f>IF(Ujian!J212="","",IF(LEFT(Ujian!J212,1)=SEKOR!J$2,1,0))</f>
        <v/>
      </c>
      <c r="K205" s="125" t="str">
        <f>IF(Ujian!K212="","",IF(LEFT(Ujian!K212,1)=SEKOR!K$2,1,0))</f>
        <v/>
      </c>
      <c r="L205" s="125" t="str">
        <f>IF(Ujian!L212="","",IF(LEFT(Ujian!L212,1)=SEKOR!L$2,1,0))</f>
        <v/>
      </c>
      <c r="M205" s="125" t="str">
        <f>IF(Ujian!M212="","",IF(LEFT(Ujian!M212,1)=SEKOR!M$2,1,0))</f>
        <v/>
      </c>
      <c r="N205" s="125" t="str">
        <f>IF(Ujian!N212="","",IF(LEFT(Ujian!N212,1)=SEKOR!N$2,1,0))</f>
        <v/>
      </c>
      <c r="O205" s="125" t="str">
        <f>IF(Ujian!O212="","",IF(LEFT(Ujian!O212,1)=SEKOR!O$2,1,0))</f>
        <v/>
      </c>
      <c r="P205" s="125" t="str">
        <f>IF(Ujian!P212="","",IF(LEFT(Ujian!P212,1)=SEKOR!P$2,1,0))</f>
        <v/>
      </c>
      <c r="Q205" s="125" t="str">
        <f>IF(Ujian!Q212="","",IF(LEFT(Ujian!Q212,1)=SEKOR!Q$2,1,0))</f>
        <v/>
      </c>
      <c r="R205" s="125" t="str">
        <f>IF(Ujian!R212="","",IF(LEFT(Ujian!R212,1)=SEKOR!R$2,1,0))</f>
        <v/>
      </c>
      <c r="S205" s="125" t="str">
        <f>IF(Ujian!S212="","",IF(LEFT(Ujian!S212,1)=SEKOR!S$2,1,0))</f>
        <v/>
      </c>
      <c r="T205" s="125" t="str">
        <f>IF(Ujian!T212="","",IF(LEFT(Ujian!T212,1)=SEKOR!T$2,1,0))</f>
        <v/>
      </c>
      <c r="U205" s="125" t="str">
        <f>IF(Ujian!U212="","",IF(LEFT(Ujian!U212,1)=SEKOR!U$2,1,0))</f>
        <v/>
      </c>
      <c r="V205" s="125" t="str">
        <f>IF(Ujian!V212="","",IF(LEFT(Ujian!V212,1)=SEKOR!V$2,1,0))</f>
        <v/>
      </c>
      <c r="W205" s="125" t="str">
        <f>IF(Ujian!W212="","",IF(LEFT(Ujian!W212,1)=SEKOR!W$2,1,0))</f>
        <v/>
      </c>
      <c r="X205" s="125" t="str">
        <f>IF(Ujian!X212="","",IF(LEFT(Ujian!X212,1)=SEKOR!X$2,1,0))</f>
        <v/>
      </c>
      <c r="Y205" s="125" t="str">
        <f>IF(Ujian!Y212="","",IF(LEFT(Ujian!Y212,1)=SEKOR!Y$2,1,0))</f>
        <v/>
      </c>
      <c r="Z205" s="125" t="str">
        <f>IF(Ujian!Z212="","",IF(LEFT(Ujian!Z212,1)=SEKOR!Z$2,1,0))</f>
        <v/>
      </c>
      <c r="AA205" s="125" t="str">
        <f>IF(Ujian!AA212="","",IF(LEFT(Ujian!AA212,1)=SEKOR!AA$2,1,0))</f>
        <v/>
      </c>
      <c r="AB205" s="125" t="str">
        <f>IF(Ujian!AB212="","",IF(LEFT(Ujian!AB212,1)=SEKOR!AB$2,1,0))</f>
        <v/>
      </c>
      <c r="AC205" s="125" t="str">
        <f>IF(Ujian!AC212="","",IF(LEFT(Ujian!AC212,1)=SEKOR!AC$2,1,0))</f>
        <v/>
      </c>
      <c r="AD205" s="125" t="str">
        <f>IF(Ujian!AD212="","",IF(LEFT(Ujian!AD212,1)=SEKOR!AD$2,1,0))</f>
        <v/>
      </c>
      <c r="AE205" s="125" t="str">
        <f>IF(Ujian!AE212="","",IF(LEFT(Ujian!AE212,1)=SEKOR!AE$2,1,0))</f>
        <v/>
      </c>
      <c r="AF205" s="125" t="str">
        <f>IF(Ujian!AF212="","",IF(LEFT(Ujian!AF212,1)=SEKOR!AF$2,1,0))</f>
        <v/>
      </c>
      <c r="AG205" s="125" t="str">
        <f>IF(Ujian!AG212="","",IF(LEFT(Ujian!AG212,1)=SEKOR!AG$2,1,0))</f>
        <v/>
      </c>
      <c r="AH205" s="125" t="str">
        <f>IF(Ujian!AH212="","",IF(LEFT(Ujian!AH212,1)=SEKOR!AH$2,1,0))</f>
        <v/>
      </c>
      <c r="AI205" s="125" t="str">
        <f>IF(Ujian!AI212="","",IF(LEFT(Ujian!AI212,1)=SEKOR!AI$2,1,0))</f>
        <v/>
      </c>
      <c r="AJ205" s="125" t="str">
        <f>IF(Ujian!AJ212="","",IF(LEFT(Ujian!AJ212,1)=SEKOR!AJ$2,1,0))</f>
        <v/>
      </c>
      <c r="AK205" s="125" t="str">
        <f>IF(Ujian!AK212="","",IF(LEFT(Ujian!AK212,1)=SEKOR!AK$2,1,0))</f>
        <v/>
      </c>
      <c r="AL205" s="125" t="str">
        <f>IF(Ujian!AL212="","",IF(LEFT(Ujian!AL212,1)=SEKOR!AL$2,1,0))</f>
        <v/>
      </c>
      <c r="AM205" s="125" t="str">
        <f>IF(Ujian!AM212="","",IF(LEFT(Ujian!AM212,1)=SEKOR!AM$2,1,0))</f>
        <v/>
      </c>
      <c r="AN205" s="125" t="str">
        <f>IF(Ujian!AN212="","",IF(LEFT(Ujian!AN212,1)=SEKOR!AN$2,1,0))</f>
        <v/>
      </c>
      <c r="AO205" s="125" t="str">
        <f>IF(Ujian!AO212="","",IF(LEFT(Ujian!AO212,1)=SEKOR!AO$2,1,0))</f>
        <v/>
      </c>
      <c r="AP205" s="125" t="str">
        <f>IF(Ujian!AP212="","",IF(LEFT(Ujian!AP212,1)=SEKOR!AP$2,1,0))</f>
        <v/>
      </c>
      <c r="AQ205" s="125" t="str">
        <f>IF(Ujian!AQ212="","",IF(LEFT(Ujian!AQ212,1)=SEKOR!AQ$2,1,0))</f>
        <v/>
      </c>
      <c r="AR205" s="125" t="str">
        <f>IF(Ujian!AR212="","",IF(LEFT(Ujian!AR212,1)=SEKOR!AR$2,1,0))</f>
        <v/>
      </c>
      <c r="AS205" s="125" t="str">
        <f>IF(Ujian!AS212="","",IF(LEFT(Ujian!AS212,1)=SEKOR!AS$2,1,0))</f>
        <v/>
      </c>
      <c r="AT205" s="125" t="str">
        <f>IF(Ujian!AT212="","",IF(LEFT(Ujian!AT212,1)=SEKOR!AT$2,1,0))</f>
        <v/>
      </c>
      <c r="AU205" s="125" t="str">
        <f>IF(Ujian!AU212="","",IF(LEFT(Ujian!AU212,1)=SEKOR!AU$2,1,0))</f>
        <v/>
      </c>
      <c r="AV205" s="125" t="str">
        <f>IF(Ujian!AV212="","",IF(LEFT(Ujian!AV212,1)=SEKOR!AV$2,1,0))</f>
        <v/>
      </c>
      <c r="AW205" s="125" t="str">
        <f>IF(Ujian!AW212="","",IF(LEFT(Ujian!AW212,1)=SEKOR!AW$2,1,0))</f>
        <v/>
      </c>
      <c r="AX205" s="125" t="str">
        <f>IF(Ujian!AX212="","",IF(LEFT(Ujian!AX212,1)=SEKOR!AX$2,1,0))</f>
        <v/>
      </c>
      <c r="AY205" s="125" t="str">
        <f>IF(Ujian!AY212="","",IF(LEFT(Ujian!AY212,1)=SEKOR!AY$2,1,0))</f>
        <v/>
      </c>
      <c r="AZ205" s="125" t="str">
        <f>IF(Ujian!AZ212="","",IF(LEFT(Ujian!AZ212,1)=SEKOR!AZ$2,1,0))</f>
        <v/>
      </c>
      <c r="BA205" s="125" t="str">
        <f>IF(Ujian!BA212="","",IF(LEFT(Ujian!BA212,1)=SEKOR!BA$2,1,0))</f>
        <v/>
      </c>
      <c r="BB205" s="125" t="str">
        <f>IF(Ujian!BB212="","",IF(LEFT(Ujian!BB212,1)=SEKOR!BB$2,1,0))</f>
        <v/>
      </c>
      <c r="BC205" s="125" t="str">
        <f>IF(Ujian!BC212="","",IF(LEFT(Ujian!BC212,1)=SEKOR!BC$2,1,0))</f>
        <v/>
      </c>
      <c r="BD205" s="125" t="str">
        <f>IF(Ujian!BD212="","",IF(LEFT(Ujian!BD212,1)=SEKOR!BD$2,1,0))</f>
        <v/>
      </c>
      <c r="BE205" s="125" t="str">
        <f>IF(Ujian!BE212="","",IF(LEFT(Ujian!BE212,1)=SEKOR!BE$2,1,0))</f>
        <v/>
      </c>
      <c r="BF205" s="125" t="str">
        <f>IF(Ujian!BF212="","",IF(LEFT(Ujian!BF212,1)=SEKOR!BF$2,1,0))</f>
        <v/>
      </c>
      <c r="BG205" s="125" t="str">
        <f>IF(Ujian!BG212="","",IF(LEFT(Ujian!BG212,1)=SEKOR!BG$2,1,0))</f>
        <v/>
      </c>
      <c r="BH205" s="125" t="str">
        <f>IF(Ujian!BH212="","",IF(LEFT(Ujian!BH212,1)=SEKOR!BH$2,1,0))</f>
        <v/>
      </c>
      <c r="BI205" s="125" t="str">
        <f>IF(Ujian!BI212="","",IF(LEFT(Ujian!BI212,1)=SEKOR!BI$2,1,0))</f>
        <v/>
      </c>
      <c r="BJ205" s="125" t="str">
        <f>IF(Ujian!BJ212="","",IF(LEFT(Ujian!BJ212,1)=SEKOR!BJ$2,1,0))</f>
        <v/>
      </c>
      <c r="BK205" s="125" t="str">
        <f>IF(Ujian!BK212="","",IF(LEFT(Ujian!BK212,1)=SEKOR!BK$2,1,0))</f>
        <v/>
      </c>
      <c r="BL205" s="18">
        <f t="shared" si="6"/>
        <v>0</v>
      </c>
      <c r="BM205" s="18">
        <f>COUNTIF($D205:$BK205,"")+DATA!$F$14-DATA!$F$12</f>
        <v>60</v>
      </c>
      <c r="BN205" s="17">
        <f>IF(COUNTIF($D205:$BK205,1)&gt;DATA!$F$14,DATA!$F$14,COUNTIF($D205:$BK205,1))</f>
        <v>0</v>
      </c>
      <c r="BO205" s="17">
        <f>IF((BN205+COUNTIF($D205:$BK205,0))&lt;=DATA!$F$14,COUNTIF($D205:$BK205,0),DATA!$F$14-SEKOR!BN205)</f>
        <v>0</v>
      </c>
      <c r="BP205" s="4" t="str">
        <f>IF(BL205=0,"",BN205/DATA!$F$14*100)</f>
        <v/>
      </c>
      <c r="BQ205" s="121" t="str">
        <f t="shared" si="7"/>
        <v/>
      </c>
      <c r="BR205" s="2" t="str">
        <f>IF(Praktik!$E205=0,"",Praktik!$E205)</f>
        <v/>
      </c>
      <c r="BS205" s="2" t="str">
        <f>IF(BR205="","",(BP205*DATAINFO!$O$4)+(SEKOR!BR205*DATAINFO!$O$5)/(DATAINFO!$O$4+DATAINFO!$O$5))</f>
        <v/>
      </c>
      <c r="BT205" s="2" t="str">
        <f>IF(BL205=0,"",IF(DATA!$F$18="TIDAK",ROUNDUP((IF!$L$8*SEKOR!$BP205)+IF!$L$9,0),IF($BR205="","",ROUNDUP((IF!$L$20*$BS205)+IF!$L$21,0))))</f>
        <v/>
      </c>
      <c r="BU205" s="47" t="str">
        <f>IF(BP205="","",IF(SEKOR!BP205&gt;=DATA!$J$12,1,0))</f>
        <v/>
      </c>
      <c r="BV205" s="47" t="str">
        <f>IF(BQ205="","",IF(SEKOR!BQ205&gt;=DATA!$J$12,1,0))</f>
        <v/>
      </c>
      <c r="BW205" s="47" t="str">
        <f>IF(BR205="","",IF(SEKOR!BR205&gt;=DATA!$J$12,1,0))</f>
        <v/>
      </c>
      <c r="BX205" s="47" t="str">
        <f>IF(BT205="","",IF(DATA!$J$14="",IF(SEKOR!BT205&gt;=DATA!$J$12,1,0),IF(SEKOR!BT205&gt;=DATA!$J$14,1,0)))</f>
        <v/>
      </c>
    </row>
    <row r="206" spans="1:76" x14ac:dyDescent="0.25">
      <c r="A206" s="20" t="s">
        <v>233</v>
      </c>
      <c r="B206" s="21" t="str">
        <f>IF(Ujian!B213="","",Ujian!B213)</f>
        <v/>
      </c>
      <c r="C206" s="57" t="str">
        <f>IF(Ujian!C213="","",Ujian!C213)</f>
        <v/>
      </c>
      <c r="D206" s="125" t="str">
        <f>IF(Ujian!D213="","",IF(LEFT(Ujian!D213,1)=SEKOR!D$2,1,0))</f>
        <v/>
      </c>
      <c r="E206" s="125" t="str">
        <f>IF(Ujian!E213="","",IF(LEFT(Ujian!E213,1)=SEKOR!E$2,1,0))</f>
        <v/>
      </c>
      <c r="F206" s="125" t="str">
        <f>IF(Ujian!F213="","",IF(LEFT(Ujian!F213,1)=SEKOR!F$2,1,0))</f>
        <v/>
      </c>
      <c r="G206" s="125" t="str">
        <f>IF(Ujian!G213="","",IF(LEFT(Ujian!G213,1)=SEKOR!G$2,1,0))</f>
        <v/>
      </c>
      <c r="H206" s="125" t="str">
        <f>IF(Ujian!H213="","",IF(LEFT(Ujian!H213,1)=SEKOR!H$2,1,0))</f>
        <v/>
      </c>
      <c r="I206" s="125" t="str">
        <f>IF(Ujian!I213="","",IF(LEFT(Ujian!I213,1)=SEKOR!I$2,1,0))</f>
        <v/>
      </c>
      <c r="J206" s="125" t="str">
        <f>IF(Ujian!J213="","",IF(LEFT(Ujian!J213,1)=SEKOR!J$2,1,0))</f>
        <v/>
      </c>
      <c r="K206" s="125" t="str">
        <f>IF(Ujian!K213="","",IF(LEFT(Ujian!K213,1)=SEKOR!K$2,1,0))</f>
        <v/>
      </c>
      <c r="L206" s="125" t="str">
        <f>IF(Ujian!L213="","",IF(LEFT(Ujian!L213,1)=SEKOR!L$2,1,0))</f>
        <v/>
      </c>
      <c r="M206" s="125" t="str">
        <f>IF(Ujian!M213="","",IF(LEFT(Ujian!M213,1)=SEKOR!M$2,1,0))</f>
        <v/>
      </c>
      <c r="N206" s="125" t="str">
        <f>IF(Ujian!N213="","",IF(LEFT(Ujian!N213,1)=SEKOR!N$2,1,0))</f>
        <v/>
      </c>
      <c r="O206" s="125" t="str">
        <f>IF(Ujian!O213="","",IF(LEFT(Ujian!O213,1)=SEKOR!O$2,1,0))</f>
        <v/>
      </c>
      <c r="P206" s="125" t="str">
        <f>IF(Ujian!P213="","",IF(LEFT(Ujian!P213,1)=SEKOR!P$2,1,0))</f>
        <v/>
      </c>
      <c r="Q206" s="125" t="str">
        <f>IF(Ujian!Q213="","",IF(LEFT(Ujian!Q213,1)=SEKOR!Q$2,1,0))</f>
        <v/>
      </c>
      <c r="R206" s="125" t="str">
        <f>IF(Ujian!R213="","",IF(LEFT(Ujian!R213,1)=SEKOR!R$2,1,0))</f>
        <v/>
      </c>
      <c r="S206" s="125" t="str">
        <f>IF(Ujian!S213="","",IF(LEFT(Ujian!S213,1)=SEKOR!S$2,1,0))</f>
        <v/>
      </c>
      <c r="T206" s="125" t="str">
        <f>IF(Ujian!T213="","",IF(LEFT(Ujian!T213,1)=SEKOR!T$2,1,0))</f>
        <v/>
      </c>
      <c r="U206" s="125" t="str">
        <f>IF(Ujian!U213="","",IF(LEFT(Ujian!U213,1)=SEKOR!U$2,1,0))</f>
        <v/>
      </c>
      <c r="V206" s="125" t="str">
        <f>IF(Ujian!V213="","",IF(LEFT(Ujian!V213,1)=SEKOR!V$2,1,0))</f>
        <v/>
      </c>
      <c r="W206" s="125" t="str">
        <f>IF(Ujian!W213="","",IF(LEFT(Ujian!W213,1)=SEKOR!W$2,1,0))</f>
        <v/>
      </c>
      <c r="X206" s="125" t="str">
        <f>IF(Ujian!X213="","",IF(LEFT(Ujian!X213,1)=SEKOR!X$2,1,0))</f>
        <v/>
      </c>
      <c r="Y206" s="125" t="str">
        <f>IF(Ujian!Y213="","",IF(LEFT(Ujian!Y213,1)=SEKOR!Y$2,1,0))</f>
        <v/>
      </c>
      <c r="Z206" s="125" t="str">
        <f>IF(Ujian!Z213="","",IF(LEFT(Ujian!Z213,1)=SEKOR!Z$2,1,0))</f>
        <v/>
      </c>
      <c r="AA206" s="125" t="str">
        <f>IF(Ujian!AA213="","",IF(LEFT(Ujian!AA213,1)=SEKOR!AA$2,1,0))</f>
        <v/>
      </c>
      <c r="AB206" s="125" t="str">
        <f>IF(Ujian!AB213="","",IF(LEFT(Ujian!AB213,1)=SEKOR!AB$2,1,0))</f>
        <v/>
      </c>
      <c r="AC206" s="125" t="str">
        <f>IF(Ujian!AC213="","",IF(LEFT(Ujian!AC213,1)=SEKOR!AC$2,1,0))</f>
        <v/>
      </c>
      <c r="AD206" s="125" t="str">
        <f>IF(Ujian!AD213="","",IF(LEFT(Ujian!AD213,1)=SEKOR!AD$2,1,0))</f>
        <v/>
      </c>
      <c r="AE206" s="125" t="str">
        <f>IF(Ujian!AE213="","",IF(LEFT(Ujian!AE213,1)=SEKOR!AE$2,1,0))</f>
        <v/>
      </c>
      <c r="AF206" s="125" t="str">
        <f>IF(Ujian!AF213="","",IF(LEFT(Ujian!AF213,1)=SEKOR!AF$2,1,0))</f>
        <v/>
      </c>
      <c r="AG206" s="125" t="str">
        <f>IF(Ujian!AG213="","",IF(LEFT(Ujian!AG213,1)=SEKOR!AG$2,1,0))</f>
        <v/>
      </c>
      <c r="AH206" s="125" t="str">
        <f>IF(Ujian!AH213="","",IF(LEFT(Ujian!AH213,1)=SEKOR!AH$2,1,0))</f>
        <v/>
      </c>
      <c r="AI206" s="125" t="str">
        <f>IF(Ujian!AI213="","",IF(LEFT(Ujian!AI213,1)=SEKOR!AI$2,1,0))</f>
        <v/>
      </c>
      <c r="AJ206" s="125" t="str">
        <f>IF(Ujian!AJ213="","",IF(LEFT(Ujian!AJ213,1)=SEKOR!AJ$2,1,0))</f>
        <v/>
      </c>
      <c r="AK206" s="125" t="str">
        <f>IF(Ujian!AK213="","",IF(LEFT(Ujian!AK213,1)=SEKOR!AK$2,1,0))</f>
        <v/>
      </c>
      <c r="AL206" s="125" t="str">
        <f>IF(Ujian!AL213="","",IF(LEFT(Ujian!AL213,1)=SEKOR!AL$2,1,0))</f>
        <v/>
      </c>
      <c r="AM206" s="125" t="str">
        <f>IF(Ujian!AM213="","",IF(LEFT(Ujian!AM213,1)=SEKOR!AM$2,1,0))</f>
        <v/>
      </c>
      <c r="AN206" s="125" t="str">
        <f>IF(Ujian!AN213="","",IF(LEFT(Ujian!AN213,1)=SEKOR!AN$2,1,0))</f>
        <v/>
      </c>
      <c r="AO206" s="125" t="str">
        <f>IF(Ujian!AO213="","",IF(LEFT(Ujian!AO213,1)=SEKOR!AO$2,1,0))</f>
        <v/>
      </c>
      <c r="AP206" s="125" t="str">
        <f>IF(Ujian!AP213="","",IF(LEFT(Ujian!AP213,1)=SEKOR!AP$2,1,0))</f>
        <v/>
      </c>
      <c r="AQ206" s="125" t="str">
        <f>IF(Ujian!AQ213="","",IF(LEFT(Ujian!AQ213,1)=SEKOR!AQ$2,1,0))</f>
        <v/>
      </c>
      <c r="AR206" s="125" t="str">
        <f>IF(Ujian!AR213="","",IF(LEFT(Ujian!AR213,1)=SEKOR!AR$2,1,0))</f>
        <v/>
      </c>
      <c r="AS206" s="125" t="str">
        <f>IF(Ujian!AS213="","",IF(LEFT(Ujian!AS213,1)=SEKOR!AS$2,1,0))</f>
        <v/>
      </c>
      <c r="AT206" s="125" t="str">
        <f>IF(Ujian!AT213="","",IF(LEFT(Ujian!AT213,1)=SEKOR!AT$2,1,0))</f>
        <v/>
      </c>
      <c r="AU206" s="125" t="str">
        <f>IF(Ujian!AU213="","",IF(LEFT(Ujian!AU213,1)=SEKOR!AU$2,1,0))</f>
        <v/>
      </c>
      <c r="AV206" s="125" t="str">
        <f>IF(Ujian!AV213="","",IF(LEFT(Ujian!AV213,1)=SEKOR!AV$2,1,0))</f>
        <v/>
      </c>
      <c r="AW206" s="125" t="str">
        <f>IF(Ujian!AW213="","",IF(LEFT(Ujian!AW213,1)=SEKOR!AW$2,1,0))</f>
        <v/>
      </c>
      <c r="AX206" s="125" t="str">
        <f>IF(Ujian!AX213="","",IF(LEFT(Ujian!AX213,1)=SEKOR!AX$2,1,0))</f>
        <v/>
      </c>
      <c r="AY206" s="125" t="str">
        <f>IF(Ujian!AY213="","",IF(LEFT(Ujian!AY213,1)=SEKOR!AY$2,1,0))</f>
        <v/>
      </c>
      <c r="AZ206" s="125" t="str">
        <f>IF(Ujian!AZ213="","",IF(LEFT(Ujian!AZ213,1)=SEKOR!AZ$2,1,0))</f>
        <v/>
      </c>
      <c r="BA206" s="125" t="str">
        <f>IF(Ujian!BA213="","",IF(LEFT(Ujian!BA213,1)=SEKOR!BA$2,1,0))</f>
        <v/>
      </c>
      <c r="BB206" s="125" t="str">
        <f>IF(Ujian!BB213="","",IF(LEFT(Ujian!BB213,1)=SEKOR!BB$2,1,0))</f>
        <v/>
      </c>
      <c r="BC206" s="125" t="str">
        <f>IF(Ujian!BC213="","",IF(LEFT(Ujian!BC213,1)=SEKOR!BC$2,1,0))</f>
        <v/>
      </c>
      <c r="BD206" s="125" t="str">
        <f>IF(Ujian!BD213="","",IF(LEFT(Ujian!BD213,1)=SEKOR!BD$2,1,0))</f>
        <v/>
      </c>
      <c r="BE206" s="125" t="str">
        <f>IF(Ujian!BE213="","",IF(LEFT(Ujian!BE213,1)=SEKOR!BE$2,1,0))</f>
        <v/>
      </c>
      <c r="BF206" s="125" t="str">
        <f>IF(Ujian!BF213="","",IF(LEFT(Ujian!BF213,1)=SEKOR!BF$2,1,0))</f>
        <v/>
      </c>
      <c r="BG206" s="125" t="str">
        <f>IF(Ujian!BG213="","",IF(LEFT(Ujian!BG213,1)=SEKOR!BG$2,1,0))</f>
        <v/>
      </c>
      <c r="BH206" s="125" t="str">
        <f>IF(Ujian!BH213="","",IF(LEFT(Ujian!BH213,1)=SEKOR!BH$2,1,0))</f>
        <v/>
      </c>
      <c r="BI206" s="125" t="str">
        <f>IF(Ujian!BI213="","",IF(LEFT(Ujian!BI213,1)=SEKOR!BI$2,1,0))</f>
        <v/>
      </c>
      <c r="BJ206" s="125" t="str">
        <f>IF(Ujian!BJ213="","",IF(LEFT(Ujian!BJ213,1)=SEKOR!BJ$2,1,0))</f>
        <v/>
      </c>
      <c r="BK206" s="125" t="str">
        <f>IF(Ujian!BK213="","",IF(LEFT(Ujian!BK213,1)=SEKOR!BK$2,1,0))</f>
        <v/>
      </c>
      <c r="BL206" s="18">
        <f t="shared" si="6"/>
        <v>0</v>
      </c>
      <c r="BM206" s="18">
        <f>COUNTIF($D206:$BK206,"")+DATA!$F$14-DATA!$F$12</f>
        <v>60</v>
      </c>
      <c r="BN206" s="17">
        <f>IF(COUNTIF($D206:$BK206,1)&gt;DATA!$F$14,DATA!$F$14,COUNTIF($D206:$BK206,1))</f>
        <v>0</v>
      </c>
      <c r="BO206" s="17">
        <f>IF((BN206+COUNTIF($D206:$BK206,0))&lt;=DATA!$F$14,COUNTIF($D206:$BK206,0),DATA!$F$14-SEKOR!BN206)</f>
        <v>0</v>
      </c>
      <c r="BP206" s="4" t="str">
        <f>IF(BL206=0,"",BN206/DATA!$F$14*100)</f>
        <v/>
      </c>
      <c r="BQ206" s="121" t="str">
        <f t="shared" si="7"/>
        <v/>
      </c>
      <c r="BR206" s="2" t="str">
        <f>IF(Praktik!$E206=0,"",Praktik!$E206)</f>
        <v/>
      </c>
      <c r="BS206" s="2" t="str">
        <f>IF(BR206="","",(BP206*DATAINFO!$O$4)+(SEKOR!BR206*DATAINFO!$O$5)/(DATAINFO!$O$4+DATAINFO!$O$5))</f>
        <v/>
      </c>
      <c r="BT206" s="2" t="str">
        <f>IF(BL206=0,"",IF(DATA!$F$18="TIDAK",ROUNDUP((IF!$L$8*SEKOR!$BP206)+IF!$L$9,0),IF($BR206="","",ROUNDUP((IF!$L$20*$BS206)+IF!$L$21,0))))</f>
        <v/>
      </c>
      <c r="BU206" s="47" t="str">
        <f>IF(BP206="","",IF(SEKOR!BP206&gt;=DATA!$J$12,1,0))</f>
        <v/>
      </c>
      <c r="BV206" s="47" t="str">
        <f>IF(BQ206="","",IF(SEKOR!BQ206&gt;=DATA!$J$12,1,0))</f>
        <v/>
      </c>
      <c r="BW206" s="47" t="str">
        <f>IF(BR206="","",IF(SEKOR!BR206&gt;=DATA!$J$12,1,0))</f>
        <v/>
      </c>
      <c r="BX206" s="47" t="str">
        <f>IF(BT206="","",IF(DATA!$J$14="",IF(SEKOR!BT206&gt;=DATA!$J$12,1,0),IF(SEKOR!BT206&gt;=DATA!$J$14,1,0)))</f>
        <v/>
      </c>
    </row>
    <row r="207" spans="1:76" x14ac:dyDescent="0.25">
      <c r="A207" s="20" t="s">
        <v>234</v>
      </c>
      <c r="B207" s="21" t="str">
        <f>IF(Ujian!B214="","",Ujian!B214)</f>
        <v/>
      </c>
      <c r="C207" s="57" t="str">
        <f>IF(Ujian!C214="","",Ujian!C214)</f>
        <v/>
      </c>
      <c r="D207" s="125" t="str">
        <f>IF(Ujian!D214="","",IF(LEFT(Ujian!D214,1)=SEKOR!D$2,1,0))</f>
        <v/>
      </c>
      <c r="E207" s="125" t="str">
        <f>IF(Ujian!E214="","",IF(LEFT(Ujian!E214,1)=SEKOR!E$2,1,0))</f>
        <v/>
      </c>
      <c r="F207" s="125" t="str">
        <f>IF(Ujian!F214="","",IF(LEFT(Ujian!F214,1)=SEKOR!F$2,1,0))</f>
        <v/>
      </c>
      <c r="G207" s="125" t="str">
        <f>IF(Ujian!G214="","",IF(LEFT(Ujian!G214,1)=SEKOR!G$2,1,0))</f>
        <v/>
      </c>
      <c r="H207" s="125" t="str">
        <f>IF(Ujian!H214="","",IF(LEFT(Ujian!H214,1)=SEKOR!H$2,1,0))</f>
        <v/>
      </c>
      <c r="I207" s="125" t="str">
        <f>IF(Ujian!I214="","",IF(LEFT(Ujian!I214,1)=SEKOR!I$2,1,0))</f>
        <v/>
      </c>
      <c r="J207" s="125" t="str">
        <f>IF(Ujian!J214="","",IF(LEFT(Ujian!J214,1)=SEKOR!J$2,1,0))</f>
        <v/>
      </c>
      <c r="K207" s="125" t="str">
        <f>IF(Ujian!K214="","",IF(LEFT(Ujian!K214,1)=SEKOR!K$2,1,0))</f>
        <v/>
      </c>
      <c r="L207" s="125" t="str">
        <f>IF(Ujian!L214="","",IF(LEFT(Ujian!L214,1)=SEKOR!L$2,1,0))</f>
        <v/>
      </c>
      <c r="M207" s="125" t="str">
        <f>IF(Ujian!M214="","",IF(LEFT(Ujian!M214,1)=SEKOR!M$2,1,0))</f>
        <v/>
      </c>
      <c r="N207" s="125" t="str">
        <f>IF(Ujian!N214="","",IF(LEFT(Ujian!N214,1)=SEKOR!N$2,1,0))</f>
        <v/>
      </c>
      <c r="O207" s="125" t="str">
        <f>IF(Ujian!O214="","",IF(LEFT(Ujian!O214,1)=SEKOR!O$2,1,0))</f>
        <v/>
      </c>
      <c r="P207" s="125" t="str">
        <f>IF(Ujian!P214="","",IF(LEFT(Ujian!P214,1)=SEKOR!P$2,1,0))</f>
        <v/>
      </c>
      <c r="Q207" s="125" t="str">
        <f>IF(Ujian!Q214="","",IF(LEFT(Ujian!Q214,1)=SEKOR!Q$2,1,0))</f>
        <v/>
      </c>
      <c r="R207" s="125" t="str">
        <f>IF(Ujian!R214="","",IF(LEFT(Ujian!R214,1)=SEKOR!R$2,1,0))</f>
        <v/>
      </c>
      <c r="S207" s="125" t="str">
        <f>IF(Ujian!S214="","",IF(LEFT(Ujian!S214,1)=SEKOR!S$2,1,0))</f>
        <v/>
      </c>
      <c r="T207" s="125" t="str">
        <f>IF(Ujian!T214="","",IF(LEFT(Ujian!T214,1)=SEKOR!T$2,1,0))</f>
        <v/>
      </c>
      <c r="U207" s="125" t="str">
        <f>IF(Ujian!U214="","",IF(LEFT(Ujian!U214,1)=SEKOR!U$2,1,0))</f>
        <v/>
      </c>
      <c r="V207" s="125" t="str">
        <f>IF(Ujian!V214="","",IF(LEFT(Ujian!V214,1)=SEKOR!V$2,1,0))</f>
        <v/>
      </c>
      <c r="W207" s="125" t="str">
        <f>IF(Ujian!W214="","",IF(LEFT(Ujian!W214,1)=SEKOR!W$2,1,0))</f>
        <v/>
      </c>
      <c r="X207" s="125" t="str">
        <f>IF(Ujian!X214="","",IF(LEFT(Ujian!X214,1)=SEKOR!X$2,1,0))</f>
        <v/>
      </c>
      <c r="Y207" s="125" t="str">
        <f>IF(Ujian!Y214="","",IF(LEFT(Ujian!Y214,1)=SEKOR!Y$2,1,0))</f>
        <v/>
      </c>
      <c r="Z207" s="125" t="str">
        <f>IF(Ujian!Z214="","",IF(LEFT(Ujian!Z214,1)=SEKOR!Z$2,1,0))</f>
        <v/>
      </c>
      <c r="AA207" s="125" t="str">
        <f>IF(Ujian!AA214="","",IF(LEFT(Ujian!AA214,1)=SEKOR!AA$2,1,0))</f>
        <v/>
      </c>
      <c r="AB207" s="125" t="str">
        <f>IF(Ujian!AB214="","",IF(LEFT(Ujian!AB214,1)=SEKOR!AB$2,1,0))</f>
        <v/>
      </c>
      <c r="AC207" s="125" t="str">
        <f>IF(Ujian!AC214="","",IF(LEFT(Ujian!AC214,1)=SEKOR!AC$2,1,0))</f>
        <v/>
      </c>
      <c r="AD207" s="125" t="str">
        <f>IF(Ujian!AD214="","",IF(LEFT(Ujian!AD214,1)=SEKOR!AD$2,1,0))</f>
        <v/>
      </c>
      <c r="AE207" s="125" t="str">
        <f>IF(Ujian!AE214="","",IF(LEFT(Ujian!AE214,1)=SEKOR!AE$2,1,0))</f>
        <v/>
      </c>
      <c r="AF207" s="125" t="str">
        <f>IF(Ujian!AF214="","",IF(LEFT(Ujian!AF214,1)=SEKOR!AF$2,1,0))</f>
        <v/>
      </c>
      <c r="AG207" s="125" t="str">
        <f>IF(Ujian!AG214="","",IF(LEFT(Ujian!AG214,1)=SEKOR!AG$2,1,0))</f>
        <v/>
      </c>
      <c r="AH207" s="125" t="str">
        <f>IF(Ujian!AH214="","",IF(LEFT(Ujian!AH214,1)=SEKOR!AH$2,1,0))</f>
        <v/>
      </c>
      <c r="AI207" s="125" t="str">
        <f>IF(Ujian!AI214="","",IF(LEFT(Ujian!AI214,1)=SEKOR!AI$2,1,0))</f>
        <v/>
      </c>
      <c r="AJ207" s="125" t="str">
        <f>IF(Ujian!AJ214="","",IF(LEFT(Ujian!AJ214,1)=SEKOR!AJ$2,1,0))</f>
        <v/>
      </c>
      <c r="AK207" s="125" t="str">
        <f>IF(Ujian!AK214="","",IF(LEFT(Ujian!AK214,1)=SEKOR!AK$2,1,0))</f>
        <v/>
      </c>
      <c r="AL207" s="125" t="str">
        <f>IF(Ujian!AL214="","",IF(LEFT(Ujian!AL214,1)=SEKOR!AL$2,1,0))</f>
        <v/>
      </c>
      <c r="AM207" s="125" t="str">
        <f>IF(Ujian!AM214="","",IF(LEFT(Ujian!AM214,1)=SEKOR!AM$2,1,0))</f>
        <v/>
      </c>
      <c r="AN207" s="125" t="str">
        <f>IF(Ujian!AN214="","",IF(LEFT(Ujian!AN214,1)=SEKOR!AN$2,1,0))</f>
        <v/>
      </c>
      <c r="AO207" s="125" t="str">
        <f>IF(Ujian!AO214="","",IF(LEFT(Ujian!AO214,1)=SEKOR!AO$2,1,0))</f>
        <v/>
      </c>
      <c r="AP207" s="125" t="str">
        <f>IF(Ujian!AP214="","",IF(LEFT(Ujian!AP214,1)=SEKOR!AP$2,1,0))</f>
        <v/>
      </c>
      <c r="AQ207" s="125" t="str">
        <f>IF(Ujian!AQ214="","",IF(LEFT(Ujian!AQ214,1)=SEKOR!AQ$2,1,0))</f>
        <v/>
      </c>
      <c r="AR207" s="125" t="str">
        <f>IF(Ujian!AR214="","",IF(LEFT(Ujian!AR214,1)=SEKOR!AR$2,1,0))</f>
        <v/>
      </c>
      <c r="AS207" s="125" t="str">
        <f>IF(Ujian!AS214="","",IF(LEFT(Ujian!AS214,1)=SEKOR!AS$2,1,0))</f>
        <v/>
      </c>
      <c r="AT207" s="125" t="str">
        <f>IF(Ujian!AT214="","",IF(LEFT(Ujian!AT214,1)=SEKOR!AT$2,1,0))</f>
        <v/>
      </c>
      <c r="AU207" s="125" t="str">
        <f>IF(Ujian!AU214="","",IF(LEFT(Ujian!AU214,1)=SEKOR!AU$2,1,0))</f>
        <v/>
      </c>
      <c r="AV207" s="125" t="str">
        <f>IF(Ujian!AV214="","",IF(LEFT(Ujian!AV214,1)=SEKOR!AV$2,1,0))</f>
        <v/>
      </c>
      <c r="AW207" s="125" t="str">
        <f>IF(Ujian!AW214="","",IF(LEFT(Ujian!AW214,1)=SEKOR!AW$2,1,0))</f>
        <v/>
      </c>
      <c r="AX207" s="125" t="str">
        <f>IF(Ujian!AX214="","",IF(LEFT(Ujian!AX214,1)=SEKOR!AX$2,1,0))</f>
        <v/>
      </c>
      <c r="AY207" s="125" t="str">
        <f>IF(Ujian!AY214="","",IF(LEFT(Ujian!AY214,1)=SEKOR!AY$2,1,0))</f>
        <v/>
      </c>
      <c r="AZ207" s="125" t="str">
        <f>IF(Ujian!AZ214="","",IF(LEFT(Ujian!AZ214,1)=SEKOR!AZ$2,1,0))</f>
        <v/>
      </c>
      <c r="BA207" s="125" t="str">
        <f>IF(Ujian!BA214="","",IF(LEFT(Ujian!BA214,1)=SEKOR!BA$2,1,0))</f>
        <v/>
      </c>
      <c r="BB207" s="125" t="str">
        <f>IF(Ujian!BB214="","",IF(LEFT(Ujian!BB214,1)=SEKOR!BB$2,1,0))</f>
        <v/>
      </c>
      <c r="BC207" s="125" t="str">
        <f>IF(Ujian!BC214="","",IF(LEFT(Ujian!BC214,1)=SEKOR!BC$2,1,0))</f>
        <v/>
      </c>
      <c r="BD207" s="125" t="str">
        <f>IF(Ujian!BD214="","",IF(LEFT(Ujian!BD214,1)=SEKOR!BD$2,1,0))</f>
        <v/>
      </c>
      <c r="BE207" s="125" t="str">
        <f>IF(Ujian!BE214="","",IF(LEFT(Ujian!BE214,1)=SEKOR!BE$2,1,0))</f>
        <v/>
      </c>
      <c r="BF207" s="125" t="str">
        <f>IF(Ujian!BF214="","",IF(LEFT(Ujian!BF214,1)=SEKOR!BF$2,1,0))</f>
        <v/>
      </c>
      <c r="BG207" s="125" t="str">
        <f>IF(Ujian!BG214="","",IF(LEFT(Ujian!BG214,1)=SEKOR!BG$2,1,0))</f>
        <v/>
      </c>
      <c r="BH207" s="125" t="str">
        <f>IF(Ujian!BH214="","",IF(LEFT(Ujian!BH214,1)=SEKOR!BH$2,1,0))</f>
        <v/>
      </c>
      <c r="BI207" s="125" t="str">
        <f>IF(Ujian!BI214="","",IF(LEFT(Ujian!BI214,1)=SEKOR!BI$2,1,0))</f>
        <v/>
      </c>
      <c r="BJ207" s="125" t="str">
        <f>IF(Ujian!BJ214="","",IF(LEFT(Ujian!BJ214,1)=SEKOR!BJ$2,1,0))</f>
        <v/>
      </c>
      <c r="BK207" s="125" t="str">
        <f>IF(Ujian!BK214="","",IF(LEFT(Ujian!BK214,1)=SEKOR!BK$2,1,0))</f>
        <v/>
      </c>
      <c r="BL207" s="18">
        <f t="shared" si="6"/>
        <v>0</v>
      </c>
      <c r="BM207" s="18">
        <f>COUNTIF($D207:$BK207,"")+DATA!$F$14-DATA!$F$12</f>
        <v>60</v>
      </c>
      <c r="BN207" s="17">
        <f>IF(COUNTIF($D207:$BK207,1)&gt;DATA!$F$14,DATA!$F$14,COUNTIF($D207:$BK207,1))</f>
        <v>0</v>
      </c>
      <c r="BO207" s="17">
        <f>IF((BN207+COUNTIF($D207:$BK207,0))&lt;=DATA!$F$14,COUNTIF($D207:$BK207,0),DATA!$F$14-SEKOR!BN207)</f>
        <v>0</v>
      </c>
      <c r="BP207" s="4" t="str">
        <f>IF(BL207=0,"",BN207/DATA!$F$14*100)</f>
        <v/>
      </c>
      <c r="BQ207" s="121" t="str">
        <f t="shared" si="7"/>
        <v/>
      </c>
      <c r="BR207" s="2" t="str">
        <f>IF(Praktik!$E207=0,"",Praktik!$E207)</f>
        <v/>
      </c>
      <c r="BS207" s="2" t="str">
        <f>IF(BR207="","",(BP207*DATAINFO!$O$4)+(SEKOR!BR207*DATAINFO!$O$5)/(DATAINFO!$O$4+DATAINFO!$O$5))</f>
        <v/>
      </c>
      <c r="BT207" s="2" t="str">
        <f>IF(BL207=0,"",IF(DATA!$F$18="TIDAK",ROUNDUP((IF!$L$8*SEKOR!$BP207)+IF!$L$9,0),IF($BR207="","",ROUNDUP((IF!$L$20*$BS207)+IF!$L$21,0))))</f>
        <v/>
      </c>
      <c r="BU207" s="47" t="str">
        <f>IF(BP207="","",IF(SEKOR!BP207&gt;=DATA!$J$12,1,0))</f>
        <v/>
      </c>
      <c r="BV207" s="47" t="str">
        <f>IF(BQ207="","",IF(SEKOR!BQ207&gt;=DATA!$J$12,1,0))</f>
        <v/>
      </c>
      <c r="BW207" s="47" t="str">
        <f>IF(BR207="","",IF(SEKOR!BR207&gt;=DATA!$J$12,1,0))</f>
        <v/>
      </c>
      <c r="BX207" s="47" t="str">
        <f>IF(BT207="","",IF(DATA!$J$14="",IF(SEKOR!BT207&gt;=DATA!$J$12,1,0),IF(SEKOR!BT207&gt;=DATA!$J$14,1,0)))</f>
        <v/>
      </c>
    </row>
    <row r="208" spans="1:76" x14ac:dyDescent="0.25">
      <c r="A208" s="20" t="s">
        <v>235</v>
      </c>
      <c r="B208" s="21" t="str">
        <f>IF(Ujian!B215="","",Ujian!B215)</f>
        <v/>
      </c>
      <c r="C208" s="57" t="str">
        <f>IF(Ujian!C215="","",Ujian!C215)</f>
        <v/>
      </c>
      <c r="D208" s="125" t="str">
        <f>IF(Ujian!D215="","",IF(LEFT(Ujian!D215,1)=SEKOR!D$2,1,0))</f>
        <v/>
      </c>
      <c r="E208" s="125" t="str">
        <f>IF(Ujian!E215="","",IF(LEFT(Ujian!E215,1)=SEKOR!E$2,1,0))</f>
        <v/>
      </c>
      <c r="F208" s="125" t="str">
        <f>IF(Ujian!F215="","",IF(LEFT(Ujian!F215,1)=SEKOR!F$2,1,0))</f>
        <v/>
      </c>
      <c r="G208" s="125" t="str">
        <f>IF(Ujian!G215="","",IF(LEFT(Ujian!G215,1)=SEKOR!G$2,1,0))</f>
        <v/>
      </c>
      <c r="H208" s="125" t="str">
        <f>IF(Ujian!H215="","",IF(LEFT(Ujian!H215,1)=SEKOR!H$2,1,0))</f>
        <v/>
      </c>
      <c r="I208" s="125" t="str">
        <f>IF(Ujian!I215="","",IF(LEFT(Ujian!I215,1)=SEKOR!I$2,1,0))</f>
        <v/>
      </c>
      <c r="J208" s="125" t="str">
        <f>IF(Ujian!J215="","",IF(LEFT(Ujian!J215,1)=SEKOR!J$2,1,0))</f>
        <v/>
      </c>
      <c r="K208" s="125" t="str">
        <f>IF(Ujian!K215="","",IF(LEFT(Ujian!K215,1)=SEKOR!K$2,1,0))</f>
        <v/>
      </c>
      <c r="L208" s="125" t="str">
        <f>IF(Ujian!L215="","",IF(LEFT(Ujian!L215,1)=SEKOR!L$2,1,0))</f>
        <v/>
      </c>
      <c r="M208" s="125" t="str">
        <f>IF(Ujian!M215="","",IF(LEFT(Ujian!M215,1)=SEKOR!M$2,1,0))</f>
        <v/>
      </c>
      <c r="N208" s="125" t="str">
        <f>IF(Ujian!N215="","",IF(LEFT(Ujian!N215,1)=SEKOR!N$2,1,0))</f>
        <v/>
      </c>
      <c r="O208" s="125" t="str">
        <f>IF(Ujian!O215="","",IF(LEFT(Ujian!O215,1)=SEKOR!O$2,1,0))</f>
        <v/>
      </c>
      <c r="P208" s="125" t="str">
        <f>IF(Ujian!P215="","",IF(LEFT(Ujian!P215,1)=SEKOR!P$2,1,0))</f>
        <v/>
      </c>
      <c r="Q208" s="125" t="str">
        <f>IF(Ujian!Q215="","",IF(LEFT(Ujian!Q215,1)=SEKOR!Q$2,1,0))</f>
        <v/>
      </c>
      <c r="R208" s="125" t="str">
        <f>IF(Ujian!R215="","",IF(LEFT(Ujian!R215,1)=SEKOR!R$2,1,0))</f>
        <v/>
      </c>
      <c r="S208" s="125" t="str">
        <f>IF(Ujian!S215="","",IF(LEFT(Ujian!S215,1)=SEKOR!S$2,1,0))</f>
        <v/>
      </c>
      <c r="T208" s="125" t="str">
        <f>IF(Ujian!T215="","",IF(LEFT(Ujian!T215,1)=SEKOR!T$2,1,0))</f>
        <v/>
      </c>
      <c r="U208" s="125" t="str">
        <f>IF(Ujian!U215="","",IF(LEFT(Ujian!U215,1)=SEKOR!U$2,1,0))</f>
        <v/>
      </c>
      <c r="V208" s="125" t="str">
        <f>IF(Ujian!V215="","",IF(LEFT(Ujian!V215,1)=SEKOR!V$2,1,0))</f>
        <v/>
      </c>
      <c r="W208" s="125" t="str">
        <f>IF(Ujian!W215="","",IF(LEFT(Ujian!W215,1)=SEKOR!W$2,1,0))</f>
        <v/>
      </c>
      <c r="X208" s="125" t="str">
        <f>IF(Ujian!X215="","",IF(LEFT(Ujian!X215,1)=SEKOR!X$2,1,0))</f>
        <v/>
      </c>
      <c r="Y208" s="125" t="str">
        <f>IF(Ujian!Y215="","",IF(LEFT(Ujian!Y215,1)=SEKOR!Y$2,1,0))</f>
        <v/>
      </c>
      <c r="Z208" s="125" t="str">
        <f>IF(Ujian!Z215="","",IF(LEFT(Ujian!Z215,1)=SEKOR!Z$2,1,0))</f>
        <v/>
      </c>
      <c r="AA208" s="125" t="str">
        <f>IF(Ujian!AA215="","",IF(LEFT(Ujian!AA215,1)=SEKOR!AA$2,1,0))</f>
        <v/>
      </c>
      <c r="AB208" s="125" t="str">
        <f>IF(Ujian!AB215="","",IF(LEFT(Ujian!AB215,1)=SEKOR!AB$2,1,0))</f>
        <v/>
      </c>
      <c r="AC208" s="125" t="str">
        <f>IF(Ujian!AC215="","",IF(LEFT(Ujian!AC215,1)=SEKOR!AC$2,1,0))</f>
        <v/>
      </c>
      <c r="AD208" s="125" t="str">
        <f>IF(Ujian!AD215="","",IF(LEFT(Ujian!AD215,1)=SEKOR!AD$2,1,0))</f>
        <v/>
      </c>
      <c r="AE208" s="125" t="str">
        <f>IF(Ujian!AE215="","",IF(LEFT(Ujian!AE215,1)=SEKOR!AE$2,1,0))</f>
        <v/>
      </c>
      <c r="AF208" s="125" t="str">
        <f>IF(Ujian!AF215="","",IF(LEFT(Ujian!AF215,1)=SEKOR!AF$2,1,0))</f>
        <v/>
      </c>
      <c r="AG208" s="125" t="str">
        <f>IF(Ujian!AG215="","",IF(LEFT(Ujian!AG215,1)=SEKOR!AG$2,1,0))</f>
        <v/>
      </c>
      <c r="AH208" s="125" t="str">
        <f>IF(Ujian!AH215="","",IF(LEFT(Ujian!AH215,1)=SEKOR!AH$2,1,0))</f>
        <v/>
      </c>
      <c r="AI208" s="125" t="str">
        <f>IF(Ujian!AI215="","",IF(LEFT(Ujian!AI215,1)=SEKOR!AI$2,1,0))</f>
        <v/>
      </c>
      <c r="AJ208" s="125" t="str">
        <f>IF(Ujian!AJ215="","",IF(LEFT(Ujian!AJ215,1)=SEKOR!AJ$2,1,0))</f>
        <v/>
      </c>
      <c r="AK208" s="125" t="str">
        <f>IF(Ujian!AK215="","",IF(LEFT(Ujian!AK215,1)=SEKOR!AK$2,1,0))</f>
        <v/>
      </c>
      <c r="AL208" s="125" t="str">
        <f>IF(Ujian!AL215="","",IF(LEFT(Ujian!AL215,1)=SEKOR!AL$2,1,0))</f>
        <v/>
      </c>
      <c r="AM208" s="125" t="str">
        <f>IF(Ujian!AM215="","",IF(LEFT(Ujian!AM215,1)=SEKOR!AM$2,1,0))</f>
        <v/>
      </c>
      <c r="AN208" s="125" t="str">
        <f>IF(Ujian!AN215="","",IF(LEFT(Ujian!AN215,1)=SEKOR!AN$2,1,0))</f>
        <v/>
      </c>
      <c r="AO208" s="125" t="str">
        <f>IF(Ujian!AO215="","",IF(LEFT(Ujian!AO215,1)=SEKOR!AO$2,1,0))</f>
        <v/>
      </c>
      <c r="AP208" s="125" t="str">
        <f>IF(Ujian!AP215="","",IF(LEFT(Ujian!AP215,1)=SEKOR!AP$2,1,0))</f>
        <v/>
      </c>
      <c r="AQ208" s="125" t="str">
        <f>IF(Ujian!AQ215="","",IF(LEFT(Ujian!AQ215,1)=SEKOR!AQ$2,1,0))</f>
        <v/>
      </c>
      <c r="AR208" s="125" t="str">
        <f>IF(Ujian!AR215="","",IF(LEFT(Ujian!AR215,1)=SEKOR!AR$2,1,0))</f>
        <v/>
      </c>
      <c r="AS208" s="125" t="str">
        <f>IF(Ujian!AS215="","",IF(LEFT(Ujian!AS215,1)=SEKOR!AS$2,1,0))</f>
        <v/>
      </c>
      <c r="AT208" s="125" t="str">
        <f>IF(Ujian!AT215="","",IF(LEFT(Ujian!AT215,1)=SEKOR!AT$2,1,0))</f>
        <v/>
      </c>
      <c r="AU208" s="125" t="str">
        <f>IF(Ujian!AU215="","",IF(LEFT(Ujian!AU215,1)=SEKOR!AU$2,1,0))</f>
        <v/>
      </c>
      <c r="AV208" s="125" t="str">
        <f>IF(Ujian!AV215="","",IF(LEFT(Ujian!AV215,1)=SEKOR!AV$2,1,0))</f>
        <v/>
      </c>
      <c r="AW208" s="125" t="str">
        <f>IF(Ujian!AW215="","",IF(LEFT(Ujian!AW215,1)=SEKOR!AW$2,1,0))</f>
        <v/>
      </c>
      <c r="AX208" s="125" t="str">
        <f>IF(Ujian!AX215="","",IF(LEFT(Ujian!AX215,1)=SEKOR!AX$2,1,0))</f>
        <v/>
      </c>
      <c r="AY208" s="125" t="str">
        <f>IF(Ujian!AY215="","",IF(LEFT(Ujian!AY215,1)=SEKOR!AY$2,1,0))</f>
        <v/>
      </c>
      <c r="AZ208" s="125" t="str">
        <f>IF(Ujian!AZ215="","",IF(LEFT(Ujian!AZ215,1)=SEKOR!AZ$2,1,0))</f>
        <v/>
      </c>
      <c r="BA208" s="125" t="str">
        <f>IF(Ujian!BA215="","",IF(LEFT(Ujian!BA215,1)=SEKOR!BA$2,1,0))</f>
        <v/>
      </c>
      <c r="BB208" s="125" t="str">
        <f>IF(Ujian!BB215="","",IF(LEFT(Ujian!BB215,1)=SEKOR!BB$2,1,0))</f>
        <v/>
      </c>
      <c r="BC208" s="125" t="str">
        <f>IF(Ujian!BC215="","",IF(LEFT(Ujian!BC215,1)=SEKOR!BC$2,1,0))</f>
        <v/>
      </c>
      <c r="BD208" s="125" t="str">
        <f>IF(Ujian!BD215="","",IF(LEFT(Ujian!BD215,1)=SEKOR!BD$2,1,0))</f>
        <v/>
      </c>
      <c r="BE208" s="125" t="str">
        <f>IF(Ujian!BE215="","",IF(LEFT(Ujian!BE215,1)=SEKOR!BE$2,1,0))</f>
        <v/>
      </c>
      <c r="BF208" s="125" t="str">
        <f>IF(Ujian!BF215="","",IF(LEFT(Ujian!BF215,1)=SEKOR!BF$2,1,0))</f>
        <v/>
      </c>
      <c r="BG208" s="125" t="str">
        <f>IF(Ujian!BG215="","",IF(LEFT(Ujian!BG215,1)=SEKOR!BG$2,1,0))</f>
        <v/>
      </c>
      <c r="BH208" s="125" t="str">
        <f>IF(Ujian!BH215="","",IF(LEFT(Ujian!BH215,1)=SEKOR!BH$2,1,0))</f>
        <v/>
      </c>
      <c r="BI208" s="125" t="str">
        <f>IF(Ujian!BI215="","",IF(LEFT(Ujian!BI215,1)=SEKOR!BI$2,1,0))</f>
        <v/>
      </c>
      <c r="BJ208" s="125" t="str">
        <f>IF(Ujian!BJ215="","",IF(LEFT(Ujian!BJ215,1)=SEKOR!BJ$2,1,0))</f>
        <v/>
      </c>
      <c r="BK208" s="125" t="str">
        <f>IF(Ujian!BK215="","",IF(LEFT(Ujian!BK215,1)=SEKOR!BK$2,1,0))</f>
        <v/>
      </c>
      <c r="BL208" s="18">
        <f t="shared" si="6"/>
        <v>0</v>
      </c>
      <c r="BM208" s="18">
        <f>COUNTIF($D208:$BK208,"")+DATA!$F$14-DATA!$F$12</f>
        <v>60</v>
      </c>
      <c r="BN208" s="17">
        <f>IF(COUNTIF($D208:$BK208,1)&gt;DATA!$F$14,DATA!$F$14,COUNTIF($D208:$BK208,1))</f>
        <v>0</v>
      </c>
      <c r="BO208" s="17">
        <f>IF((BN208+COUNTIF($D208:$BK208,0))&lt;=DATA!$F$14,COUNTIF($D208:$BK208,0),DATA!$F$14-SEKOR!BN208)</f>
        <v>0</v>
      </c>
      <c r="BP208" s="4" t="str">
        <f>IF(BL208=0,"",BN208/DATA!$F$14*100)</f>
        <v/>
      </c>
      <c r="BQ208" s="121" t="str">
        <f t="shared" si="7"/>
        <v/>
      </c>
      <c r="BR208" s="2" t="str">
        <f>IF(Praktik!$E208=0,"",Praktik!$E208)</f>
        <v/>
      </c>
      <c r="BS208" s="2" t="str">
        <f>IF(BR208="","",(BP208*DATAINFO!$O$4)+(SEKOR!BR208*DATAINFO!$O$5)/(DATAINFO!$O$4+DATAINFO!$O$5))</f>
        <v/>
      </c>
      <c r="BT208" s="2" t="str">
        <f>IF(BL208=0,"",IF(DATA!$F$18="TIDAK",ROUNDUP((IF!$L$8*SEKOR!$BP208)+IF!$L$9,0),IF($BR208="","",ROUNDUP((IF!$L$20*$BS208)+IF!$L$21,0))))</f>
        <v/>
      </c>
      <c r="BU208" s="47" t="str">
        <f>IF(BP208="","",IF(SEKOR!BP208&gt;=DATA!$J$12,1,0))</f>
        <v/>
      </c>
      <c r="BV208" s="47" t="str">
        <f>IF(BQ208="","",IF(SEKOR!BQ208&gt;=DATA!$J$12,1,0))</f>
        <v/>
      </c>
      <c r="BW208" s="47" t="str">
        <f>IF(BR208="","",IF(SEKOR!BR208&gt;=DATA!$J$12,1,0))</f>
        <v/>
      </c>
      <c r="BX208" s="47" t="str">
        <f>IF(BT208="","",IF(DATA!$J$14="",IF(SEKOR!BT208&gt;=DATA!$J$12,1,0),IF(SEKOR!BT208&gt;=DATA!$J$14,1,0)))</f>
        <v/>
      </c>
    </row>
    <row r="209" spans="1:76" x14ac:dyDescent="0.25">
      <c r="A209" s="20" t="s">
        <v>236</v>
      </c>
      <c r="B209" s="21" t="str">
        <f>IF(Ujian!B216="","",Ujian!B216)</f>
        <v/>
      </c>
      <c r="C209" s="57" t="str">
        <f>IF(Ujian!C216="","",Ujian!C216)</f>
        <v/>
      </c>
      <c r="D209" s="125" t="str">
        <f>IF(Ujian!D216="","",IF(LEFT(Ujian!D216,1)=SEKOR!D$2,1,0))</f>
        <v/>
      </c>
      <c r="E209" s="125" t="str">
        <f>IF(Ujian!E216="","",IF(LEFT(Ujian!E216,1)=SEKOR!E$2,1,0))</f>
        <v/>
      </c>
      <c r="F209" s="125" t="str">
        <f>IF(Ujian!F216="","",IF(LEFT(Ujian!F216,1)=SEKOR!F$2,1,0))</f>
        <v/>
      </c>
      <c r="G209" s="125" t="str">
        <f>IF(Ujian!G216="","",IF(LEFT(Ujian!G216,1)=SEKOR!G$2,1,0))</f>
        <v/>
      </c>
      <c r="H209" s="125" t="str">
        <f>IF(Ujian!H216="","",IF(LEFT(Ujian!H216,1)=SEKOR!H$2,1,0))</f>
        <v/>
      </c>
      <c r="I209" s="125" t="str">
        <f>IF(Ujian!I216="","",IF(LEFT(Ujian!I216,1)=SEKOR!I$2,1,0))</f>
        <v/>
      </c>
      <c r="J209" s="125" t="str">
        <f>IF(Ujian!J216="","",IF(LEFT(Ujian!J216,1)=SEKOR!J$2,1,0))</f>
        <v/>
      </c>
      <c r="K209" s="125" t="str">
        <f>IF(Ujian!K216="","",IF(LEFT(Ujian!K216,1)=SEKOR!K$2,1,0))</f>
        <v/>
      </c>
      <c r="L209" s="125" t="str">
        <f>IF(Ujian!L216="","",IF(LEFT(Ujian!L216,1)=SEKOR!L$2,1,0))</f>
        <v/>
      </c>
      <c r="M209" s="125" t="str">
        <f>IF(Ujian!M216="","",IF(LEFT(Ujian!M216,1)=SEKOR!M$2,1,0))</f>
        <v/>
      </c>
      <c r="N209" s="125" t="str">
        <f>IF(Ujian!N216="","",IF(LEFT(Ujian!N216,1)=SEKOR!N$2,1,0))</f>
        <v/>
      </c>
      <c r="O209" s="125" t="str">
        <f>IF(Ujian!O216="","",IF(LEFT(Ujian!O216,1)=SEKOR!O$2,1,0))</f>
        <v/>
      </c>
      <c r="P209" s="125" t="str">
        <f>IF(Ujian!P216="","",IF(LEFT(Ujian!P216,1)=SEKOR!P$2,1,0))</f>
        <v/>
      </c>
      <c r="Q209" s="125" t="str">
        <f>IF(Ujian!Q216="","",IF(LEFT(Ujian!Q216,1)=SEKOR!Q$2,1,0))</f>
        <v/>
      </c>
      <c r="R209" s="125" t="str">
        <f>IF(Ujian!R216="","",IF(LEFT(Ujian!R216,1)=SEKOR!R$2,1,0))</f>
        <v/>
      </c>
      <c r="S209" s="125" t="str">
        <f>IF(Ujian!S216="","",IF(LEFT(Ujian!S216,1)=SEKOR!S$2,1,0))</f>
        <v/>
      </c>
      <c r="T209" s="125" t="str">
        <f>IF(Ujian!T216="","",IF(LEFT(Ujian!T216,1)=SEKOR!T$2,1,0))</f>
        <v/>
      </c>
      <c r="U209" s="125" t="str">
        <f>IF(Ujian!U216="","",IF(LEFT(Ujian!U216,1)=SEKOR!U$2,1,0))</f>
        <v/>
      </c>
      <c r="V209" s="125" t="str">
        <f>IF(Ujian!V216="","",IF(LEFT(Ujian!V216,1)=SEKOR!V$2,1,0))</f>
        <v/>
      </c>
      <c r="W209" s="125" t="str">
        <f>IF(Ujian!W216="","",IF(LEFT(Ujian!W216,1)=SEKOR!W$2,1,0))</f>
        <v/>
      </c>
      <c r="X209" s="125" t="str">
        <f>IF(Ujian!X216="","",IF(LEFT(Ujian!X216,1)=SEKOR!X$2,1,0))</f>
        <v/>
      </c>
      <c r="Y209" s="125" t="str">
        <f>IF(Ujian!Y216="","",IF(LEFT(Ujian!Y216,1)=SEKOR!Y$2,1,0))</f>
        <v/>
      </c>
      <c r="Z209" s="125" t="str">
        <f>IF(Ujian!Z216="","",IF(LEFT(Ujian!Z216,1)=SEKOR!Z$2,1,0))</f>
        <v/>
      </c>
      <c r="AA209" s="125" t="str">
        <f>IF(Ujian!AA216="","",IF(LEFT(Ujian!AA216,1)=SEKOR!AA$2,1,0))</f>
        <v/>
      </c>
      <c r="AB209" s="125" t="str">
        <f>IF(Ujian!AB216="","",IF(LEFT(Ujian!AB216,1)=SEKOR!AB$2,1,0))</f>
        <v/>
      </c>
      <c r="AC209" s="125" t="str">
        <f>IF(Ujian!AC216="","",IF(LEFT(Ujian!AC216,1)=SEKOR!AC$2,1,0))</f>
        <v/>
      </c>
      <c r="AD209" s="125" t="str">
        <f>IF(Ujian!AD216="","",IF(LEFT(Ujian!AD216,1)=SEKOR!AD$2,1,0))</f>
        <v/>
      </c>
      <c r="AE209" s="125" t="str">
        <f>IF(Ujian!AE216="","",IF(LEFT(Ujian!AE216,1)=SEKOR!AE$2,1,0))</f>
        <v/>
      </c>
      <c r="AF209" s="125" t="str">
        <f>IF(Ujian!AF216="","",IF(LEFT(Ujian!AF216,1)=SEKOR!AF$2,1,0))</f>
        <v/>
      </c>
      <c r="AG209" s="125" t="str">
        <f>IF(Ujian!AG216="","",IF(LEFT(Ujian!AG216,1)=SEKOR!AG$2,1,0))</f>
        <v/>
      </c>
      <c r="AH209" s="125" t="str">
        <f>IF(Ujian!AH216="","",IF(LEFT(Ujian!AH216,1)=SEKOR!AH$2,1,0))</f>
        <v/>
      </c>
      <c r="AI209" s="125" t="str">
        <f>IF(Ujian!AI216="","",IF(LEFT(Ujian!AI216,1)=SEKOR!AI$2,1,0))</f>
        <v/>
      </c>
      <c r="AJ209" s="125" t="str">
        <f>IF(Ujian!AJ216="","",IF(LEFT(Ujian!AJ216,1)=SEKOR!AJ$2,1,0))</f>
        <v/>
      </c>
      <c r="AK209" s="125" t="str">
        <f>IF(Ujian!AK216="","",IF(LEFT(Ujian!AK216,1)=SEKOR!AK$2,1,0))</f>
        <v/>
      </c>
      <c r="AL209" s="125" t="str">
        <f>IF(Ujian!AL216="","",IF(LEFT(Ujian!AL216,1)=SEKOR!AL$2,1,0))</f>
        <v/>
      </c>
      <c r="AM209" s="125" t="str">
        <f>IF(Ujian!AM216="","",IF(LEFT(Ujian!AM216,1)=SEKOR!AM$2,1,0))</f>
        <v/>
      </c>
      <c r="AN209" s="125" t="str">
        <f>IF(Ujian!AN216="","",IF(LEFT(Ujian!AN216,1)=SEKOR!AN$2,1,0))</f>
        <v/>
      </c>
      <c r="AO209" s="125" t="str">
        <f>IF(Ujian!AO216="","",IF(LEFT(Ujian!AO216,1)=SEKOR!AO$2,1,0))</f>
        <v/>
      </c>
      <c r="AP209" s="125" t="str">
        <f>IF(Ujian!AP216="","",IF(LEFT(Ujian!AP216,1)=SEKOR!AP$2,1,0))</f>
        <v/>
      </c>
      <c r="AQ209" s="125" t="str">
        <f>IF(Ujian!AQ216="","",IF(LEFT(Ujian!AQ216,1)=SEKOR!AQ$2,1,0))</f>
        <v/>
      </c>
      <c r="AR209" s="125" t="str">
        <f>IF(Ujian!AR216="","",IF(LEFT(Ujian!AR216,1)=SEKOR!AR$2,1,0))</f>
        <v/>
      </c>
      <c r="AS209" s="125" t="str">
        <f>IF(Ujian!AS216="","",IF(LEFT(Ujian!AS216,1)=SEKOR!AS$2,1,0))</f>
        <v/>
      </c>
      <c r="AT209" s="125" t="str">
        <f>IF(Ujian!AT216="","",IF(LEFT(Ujian!AT216,1)=SEKOR!AT$2,1,0))</f>
        <v/>
      </c>
      <c r="AU209" s="125" t="str">
        <f>IF(Ujian!AU216="","",IF(LEFT(Ujian!AU216,1)=SEKOR!AU$2,1,0))</f>
        <v/>
      </c>
      <c r="AV209" s="125" t="str">
        <f>IF(Ujian!AV216="","",IF(LEFT(Ujian!AV216,1)=SEKOR!AV$2,1,0))</f>
        <v/>
      </c>
      <c r="AW209" s="125" t="str">
        <f>IF(Ujian!AW216="","",IF(LEFT(Ujian!AW216,1)=SEKOR!AW$2,1,0))</f>
        <v/>
      </c>
      <c r="AX209" s="125" t="str">
        <f>IF(Ujian!AX216="","",IF(LEFT(Ujian!AX216,1)=SEKOR!AX$2,1,0))</f>
        <v/>
      </c>
      <c r="AY209" s="125" t="str">
        <f>IF(Ujian!AY216="","",IF(LEFT(Ujian!AY216,1)=SEKOR!AY$2,1,0))</f>
        <v/>
      </c>
      <c r="AZ209" s="125" t="str">
        <f>IF(Ujian!AZ216="","",IF(LEFT(Ujian!AZ216,1)=SEKOR!AZ$2,1,0))</f>
        <v/>
      </c>
      <c r="BA209" s="125" t="str">
        <f>IF(Ujian!BA216="","",IF(LEFT(Ujian!BA216,1)=SEKOR!BA$2,1,0))</f>
        <v/>
      </c>
      <c r="BB209" s="125" t="str">
        <f>IF(Ujian!BB216="","",IF(LEFT(Ujian!BB216,1)=SEKOR!BB$2,1,0))</f>
        <v/>
      </c>
      <c r="BC209" s="125" t="str">
        <f>IF(Ujian!BC216="","",IF(LEFT(Ujian!BC216,1)=SEKOR!BC$2,1,0))</f>
        <v/>
      </c>
      <c r="BD209" s="125" t="str">
        <f>IF(Ujian!BD216="","",IF(LEFT(Ujian!BD216,1)=SEKOR!BD$2,1,0))</f>
        <v/>
      </c>
      <c r="BE209" s="125" t="str">
        <f>IF(Ujian!BE216="","",IF(LEFT(Ujian!BE216,1)=SEKOR!BE$2,1,0))</f>
        <v/>
      </c>
      <c r="BF209" s="125" t="str">
        <f>IF(Ujian!BF216="","",IF(LEFT(Ujian!BF216,1)=SEKOR!BF$2,1,0))</f>
        <v/>
      </c>
      <c r="BG209" s="125" t="str">
        <f>IF(Ujian!BG216="","",IF(LEFT(Ujian!BG216,1)=SEKOR!BG$2,1,0))</f>
        <v/>
      </c>
      <c r="BH209" s="125" t="str">
        <f>IF(Ujian!BH216="","",IF(LEFT(Ujian!BH216,1)=SEKOR!BH$2,1,0))</f>
        <v/>
      </c>
      <c r="BI209" s="125" t="str">
        <f>IF(Ujian!BI216="","",IF(LEFT(Ujian!BI216,1)=SEKOR!BI$2,1,0))</f>
        <v/>
      </c>
      <c r="BJ209" s="125" t="str">
        <f>IF(Ujian!BJ216="","",IF(LEFT(Ujian!BJ216,1)=SEKOR!BJ$2,1,0))</f>
        <v/>
      </c>
      <c r="BK209" s="125" t="str">
        <f>IF(Ujian!BK216="","",IF(LEFT(Ujian!BK216,1)=SEKOR!BK$2,1,0))</f>
        <v/>
      </c>
      <c r="BL209" s="18">
        <f t="shared" si="6"/>
        <v>0</v>
      </c>
      <c r="BM209" s="18">
        <f>COUNTIF($D209:$BK209,"")+DATA!$F$14-DATA!$F$12</f>
        <v>60</v>
      </c>
      <c r="BN209" s="17">
        <f>IF(COUNTIF($D209:$BK209,1)&gt;DATA!$F$14,DATA!$F$14,COUNTIF($D209:$BK209,1))</f>
        <v>0</v>
      </c>
      <c r="BO209" s="17">
        <f>IF((BN209+COUNTIF($D209:$BK209,0))&lt;=DATA!$F$14,COUNTIF($D209:$BK209,0),DATA!$F$14-SEKOR!BN209)</f>
        <v>0</v>
      </c>
      <c r="BP209" s="4" t="str">
        <f>IF(BL209=0,"",BN209/DATA!$F$14*100)</f>
        <v/>
      </c>
      <c r="BQ209" s="121" t="str">
        <f t="shared" si="7"/>
        <v/>
      </c>
      <c r="BR209" s="2" t="str">
        <f>IF(Praktik!$E209=0,"",Praktik!$E209)</f>
        <v/>
      </c>
      <c r="BS209" s="2" t="str">
        <f>IF(BR209="","",(BP209*DATAINFO!$O$4)+(SEKOR!BR209*DATAINFO!$O$5)/(DATAINFO!$O$4+DATAINFO!$O$5))</f>
        <v/>
      </c>
      <c r="BT209" s="2" t="str">
        <f>IF(BL209=0,"",IF(DATA!$F$18="TIDAK",ROUNDUP((IF!$L$8*SEKOR!$BP209)+IF!$L$9,0),IF($BR209="","",ROUNDUP((IF!$L$20*$BS209)+IF!$L$21,0))))</f>
        <v/>
      </c>
      <c r="BU209" s="47" t="str">
        <f>IF(BP209="","",IF(SEKOR!BP209&gt;=DATA!$J$12,1,0))</f>
        <v/>
      </c>
      <c r="BV209" s="47" t="str">
        <f>IF(BQ209="","",IF(SEKOR!BQ209&gt;=DATA!$J$12,1,0))</f>
        <v/>
      </c>
      <c r="BW209" s="47" t="str">
        <f>IF(BR209="","",IF(SEKOR!BR209&gt;=DATA!$J$12,1,0))</f>
        <v/>
      </c>
      <c r="BX209" s="47" t="str">
        <f>IF(BT209="","",IF(DATA!$J$14="",IF(SEKOR!BT209&gt;=DATA!$J$12,1,0),IF(SEKOR!BT209&gt;=DATA!$J$14,1,0)))</f>
        <v/>
      </c>
    </row>
    <row r="210" spans="1:76" x14ac:dyDescent="0.25">
      <c r="A210" s="20" t="s">
        <v>237</v>
      </c>
      <c r="B210" s="21" t="str">
        <f>IF(Ujian!B217="","",Ujian!B217)</f>
        <v/>
      </c>
      <c r="C210" s="57" t="str">
        <f>IF(Ujian!C217="","",Ujian!C217)</f>
        <v/>
      </c>
      <c r="D210" s="125" t="str">
        <f>IF(Ujian!D217="","",IF(LEFT(Ujian!D217,1)=SEKOR!D$2,1,0))</f>
        <v/>
      </c>
      <c r="E210" s="125" t="str">
        <f>IF(Ujian!E217="","",IF(LEFT(Ujian!E217,1)=SEKOR!E$2,1,0))</f>
        <v/>
      </c>
      <c r="F210" s="125" t="str">
        <f>IF(Ujian!F217="","",IF(LEFT(Ujian!F217,1)=SEKOR!F$2,1,0))</f>
        <v/>
      </c>
      <c r="G210" s="125" t="str">
        <f>IF(Ujian!G217="","",IF(LEFT(Ujian!G217,1)=SEKOR!G$2,1,0))</f>
        <v/>
      </c>
      <c r="H210" s="125" t="str">
        <f>IF(Ujian!H217="","",IF(LEFT(Ujian!H217,1)=SEKOR!H$2,1,0))</f>
        <v/>
      </c>
      <c r="I210" s="125" t="str">
        <f>IF(Ujian!I217="","",IF(LEFT(Ujian!I217,1)=SEKOR!I$2,1,0))</f>
        <v/>
      </c>
      <c r="J210" s="125" t="str">
        <f>IF(Ujian!J217="","",IF(LEFT(Ujian!J217,1)=SEKOR!J$2,1,0))</f>
        <v/>
      </c>
      <c r="K210" s="125" t="str">
        <f>IF(Ujian!K217="","",IF(LEFT(Ujian!K217,1)=SEKOR!K$2,1,0))</f>
        <v/>
      </c>
      <c r="L210" s="125" t="str">
        <f>IF(Ujian!L217="","",IF(LEFT(Ujian!L217,1)=SEKOR!L$2,1,0))</f>
        <v/>
      </c>
      <c r="M210" s="125" t="str">
        <f>IF(Ujian!M217="","",IF(LEFT(Ujian!M217,1)=SEKOR!M$2,1,0))</f>
        <v/>
      </c>
      <c r="N210" s="125" t="str">
        <f>IF(Ujian!N217="","",IF(LEFT(Ujian!N217,1)=SEKOR!N$2,1,0))</f>
        <v/>
      </c>
      <c r="O210" s="125" t="str">
        <f>IF(Ujian!O217="","",IF(LEFT(Ujian!O217,1)=SEKOR!O$2,1,0))</f>
        <v/>
      </c>
      <c r="P210" s="125" t="str">
        <f>IF(Ujian!P217="","",IF(LEFT(Ujian!P217,1)=SEKOR!P$2,1,0))</f>
        <v/>
      </c>
      <c r="Q210" s="125" t="str">
        <f>IF(Ujian!Q217="","",IF(LEFT(Ujian!Q217,1)=SEKOR!Q$2,1,0))</f>
        <v/>
      </c>
      <c r="R210" s="125" t="str">
        <f>IF(Ujian!R217="","",IF(LEFT(Ujian!R217,1)=SEKOR!R$2,1,0))</f>
        <v/>
      </c>
      <c r="S210" s="125" t="str">
        <f>IF(Ujian!S217="","",IF(LEFT(Ujian!S217,1)=SEKOR!S$2,1,0))</f>
        <v/>
      </c>
      <c r="T210" s="125" t="str">
        <f>IF(Ujian!T217="","",IF(LEFT(Ujian!T217,1)=SEKOR!T$2,1,0))</f>
        <v/>
      </c>
      <c r="U210" s="125" t="str">
        <f>IF(Ujian!U217="","",IF(LEFT(Ujian!U217,1)=SEKOR!U$2,1,0))</f>
        <v/>
      </c>
      <c r="V210" s="125" t="str">
        <f>IF(Ujian!V217="","",IF(LEFT(Ujian!V217,1)=SEKOR!V$2,1,0))</f>
        <v/>
      </c>
      <c r="W210" s="125" t="str">
        <f>IF(Ujian!W217="","",IF(LEFT(Ujian!W217,1)=SEKOR!W$2,1,0))</f>
        <v/>
      </c>
      <c r="X210" s="125" t="str">
        <f>IF(Ujian!X217="","",IF(LEFT(Ujian!X217,1)=SEKOR!X$2,1,0))</f>
        <v/>
      </c>
      <c r="Y210" s="125" t="str">
        <f>IF(Ujian!Y217="","",IF(LEFT(Ujian!Y217,1)=SEKOR!Y$2,1,0))</f>
        <v/>
      </c>
      <c r="Z210" s="125" t="str">
        <f>IF(Ujian!Z217="","",IF(LEFT(Ujian!Z217,1)=SEKOR!Z$2,1,0))</f>
        <v/>
      </c>
      <c r="AA210" s="125" t="str">
        <f>IF(Ujian!AA217="","",IF(LEFT(Ujian!AA217,1)=SEKOR!AA$2,1,0))</f>
        <v/>
      </c>
      <c r="AB210" s="125" t="str">
        <f>IF(Ujian!AB217="","",IF(LEFT(Ujian!AB217,1)=SEKOR!AB$2,1,0))</f>
        <v/>
      </c>
      <c r="AC210" s="125" t="str">
        <f>IF(Ujian!AC217="","",IF(LEFT(Ujian!AC217,1)=SEKOR!AC$2,1,0))</f>
        <v/>
      </c>
      <c r="AD210" s="125" t="str">
        <f>IF(Ujian!AD217="","",IF(LEFT(Ujian!AD217,1)=SEKOR!AD$2,1,0))</f>
        <v/>
      </c>
      <c r="AE210" s="125" t="str">
        <f>IF(Ujian!AE217="","",IF(LEFT(Ujian!AE217,1)=SEKOR!AE$2,1,0))</f>
        <v/>
      </c>
      <c r="AF210" s="125" t="str">
        <f>IF(Ujian!AF217="","",IF(LEFT(Ujian!AF217,1)=SEKOR!AF$2,1,0))</f>
        <v/>
      </c>
      <c r="AG210" s="125" t="str">
        <f>IF(Ujian!AG217="","",IF(LEFT(Ujian!AG217,1)=SEKOR!AG$2,1,0))</f>
        <v/>
      </c>
      <c r="AH210" s="125" t="str">
        <f>IF(Ujian!AH217="","",IF(LEFT(Ujian!AH217,1)=SEKOR!AH$2,1,0))</f>
        <v/>
      </c>
      <c r="AI210" s="125" t="str">
        <f>IF(Ujian!AI217="","",IF(LEFT(Ujian!AI217,1)=SEKOR!AI$2,1,0))</f>
        <v/>
      </c>
      <c r="AJ210" s="125" t="str">
        <f>IF(Ujian!AJ217="","",IF(LEFT(Ujian!AJ217,1)=SEKOR!AJ$2,1,0))</f>
        <v/>
      </c>
      <c r="AK210" s="125" t="str">
        <f>IF(Ujian!AK217="","",IF(LEFT(Ujian!AK217,1)=SEKOR!AK$2,1,0))</f>
        <v/>
      </c>
      <c r="AL210" s="125" t="str">
        <f>IF(Ujian!AL217="","",IF(LEFT(Ujian!AL217,1)=SEKOR!AL$2,1,0))</f>
        <v/>
      </c>
      <c r="AM210" s="125" t="str">
        <f>IF(Ujian!AM217="","",IF(LEFT(Ujian!AM217,1)=SEKOR!AM$2,1,0))</f>
        <v/>
      </c>
      <c r="AN210" s="125" t="str">
        <f>IF(Ujian!AN217="","",IF(LEFT(Ujian!AN217,1)=SEKOR!AN$2,1,0))</f>
        <v/>
      </c>
      <c r="AO210" s="125" t="str">
        <f>IF(Ujian!AO217="","",IF(LEFT(Ujian!AO217,1)=SEKOR!AO$2,1,0))</f>
        <v/>
      </c>
      <c r="AP210" s="125" t="str">
        <f>IF(Ujian!AP217="","",IF(LEFT(Ujian!AP217,1)=SEKOR!AP$2,1,0))</f>
        <v/>
      </c>
      <c r="AQ210" s="125" t="str">
        <f>IF(Ujian!AQ217="","",IF(LEFT(Ujian!AQ217,1)=SEKOR!AQ$2,1,0))</f>
        <v/>
      </c>
      <c r="AR210" s="125" t="str">
        <f>IF(Ujian!AR217="","",IF(LEFT(Ujian!AR217,1)=SEKOR!AR$2,1,0))</f>
        <v/>
      </c>
      <c r="AS210" s="125" t="str">
        <f>IF(Ujian!AS217="","",IF(LEFT(Ujian!AS217,1)=SEKOR!AS$2,1,0))</f>
        <v/>
      </c>
      <c r="AT210" s="125" t="str">
        <f>IF(Ujian!AT217="","",IF(LEFT(Ujian!AT217,1)=SEKOR!AT$2,1,0))</f>
        <v/>
      </c>
      <c r="AU210" s="125" t="str">
        <f>IF(Ujian!AU217="","",IF(LEFT(Ujian!AU217,1)=SEKOR!AU$2,1,0))</f>
        <v/>
      </c>
      <c r="AV210" s="125" t="str">
        <f>IF(Ujian!AV217="","",IF(LEFT(Ujian!AV217,1)=SEKOR!AV$2,1,0))</f>
        <v/>
      </c>
      <c r="AW210" s="125" t="str">
        <f>IF(Ujian!AW217="","",IF(LEFT(Ujian!AW217,1)=SEKOR!AW$2,1,0))</f>
        <v/>
      </c>
      <c r="AX210" s="125" t="str">
        <f>IF(Ujian!AX217="","",IF(LEFT(Ujian!AX217,1)=SEKOR!AX$2,1,0))</f>
        <v/>
      </c>
      <c r="AY210" s="125" t="str">
        <f>IF(Ujian!AY217="","",IF(LEFT(Ujian!AY217,1)=SEKOR!AY$2,1,0))</f>
        <v/>
      </c>
      <c r="AZ210" s="125" t="str">
        <f>IF(Ujian!AZ217="","",IF(LEFT(Ujian!AZ217,1)=SEKOR!AZ$2,1,0))</f>
        <v/>
      </c>
      <c r="BA210" s="125" t="str">
        <f>IF(Ujian!BA217="","",IF(LEFT(Ujian!BA217,1)=SEKOR!BA$2,1,0))</f>
        <v/>
      </c>
      <c r="BB210" s="125" t="str">
        <f>IF(Ujian!BB217="","",IF(LEFT(Ujian!BB217,1)=SEKOR!BB$2,1,0))</f>
        <v/>
      </c>
      <c r="BC210" s="125" t="str">
        <f>IF(Ujian!BC217="","",IF(LEFT(Ujian!BC217,1)=SEKOR!BC$2,1,0))</f>
        <v/>
      </c>
      <c r="BD210" s="125" t="str">
        <f>IF(Ujian!BD217="","",IF(LEFT(Ujian!BD217,1)=SEKOR!BD$2,1,0))</f>
        <v/>
      </c>
      <c r="BE210" s="125" t="str">
        <f>IF(Ujian!BE217="","",IF(LEFT(Ujian!BE217,1)=SEKOR!BE$2,1,0))</f>
        <v/>
      </c>
      <c r="BF210" s="125" t="str">
        <f>IF(Ujian!BF217="","",IF(LEFT(Ujian!BF217,1)=SEKOR!BF$2,1,0))</f>
        <v/>
      </c>
      <c r="BG210" s="125" t="str">
        <f>IF(Ujian!BG217="","",IF(LEFT(Ujian!BG217,1)=SEKOR!BG$2,1,0))</f>
        <v/>
      </c>
      <c r="BH210" s="125" t="str">
        <f>IF(Ujian!BH217="","",IF(LEFT(Ujian!BH217,1)=SEKOR!BH$2,1,0))</f>
        <v/>
      </c>
      <c r="BI210" s="125" t="str">
        <f>IF(Ujian!BI217="","",IF(LEFT(Ujian!BI217,1)=SEKOR!BI$2,1,0))</f>
        <v/>
      </c>
      <c r="BJ210" s="125" t="str">
        <f>IF(Ujian!BJ217="","",IF(LEFT(Ujian!BJ217,1)=SEKOR!BJ$2,1,0))</f>
        <v/>
      </c>
      <c r="BK210" s="125" t="str">
        <f>IF(Ujian!BK217="","",IF(LEFT(Ujian!BK217,1)=SEKOR!BK$2,1,0))</f>
        <v/>
      </c>
      <c r="BL210" s="18">
        <f t="shared" si="6"/>
        <v>0</v>
      </c>
      <c r="BM210" s="18">
        <f>COUNTIF($D210:$BK210,"")+DATA!$F$14-DATA!$F$12</f>
        <v>60</v>
      </c>
      <c r="BN210" s="17">
        <f>IF(COUNTIF($D210:$BK210,1)&gt;DATA!$F$14,DATA!$F$14,COUNTIF($D210:$BK210,1))</f>
        <v>0</v>
      </c>
      <c r="BO210" s="17">
        <f>IF((BN210+COUNTIF($D210:$BK210,0))&lt;=DATA!$F$14,COUNTIF($D210:$BK210,0),DATA!$F$14-SEKOR!BN210)</f>
        <v>0</v>
      </c>
      <c r="BP210" s="4" t="str">
        <f>IF(BL210=0,"",BN210/DATA!$F$14*100)</f>
        <v/>
      </c>
      <c r="BQ210" s="121" t="str">
        <f t="shared" si="7"/>
        <v/>
      </c>
      <c r="BR210" s="2" t="str">
        <f>IF(Praktik!$E210=0,"",Praktik!$E210)</f>
        <v/>
      </c>
      <c r="BS210" s="2" t="str">
        <f>IF(BR210="","",(BP210*DATAINFO!$O$4)+(SEKOR!BR210*DATAINFO!$O$5)/(DATAINFO!$O$4+DATAINFO!$O$5))</f>
        <v/>
      </c>
      <c r="BT210" s="2" t="str">
        <f>IF(BL210=0,"",IF(DATA!$F$18="TIDAK",ROUNDUP((IF!$L$8*SEKOR!$BP210)+IF!$L$9,0),IF($BR210="","",ROUNDUP((IF!$L$20*$BS210)+IF!$L$21,0))))</f>
        <v/>
      </c>
      <c r="BU210" s="47" t="str">
        <f>IF(BP210="","",IF(SEKOR!BP210&gt;=DATA!$J$12,1,0))</f>
        <v/>
      </c>
      <c r="BV210" s="47" t="str">
        <f>IF(BQ210="","",IF(SEKOR!BQ210&gt;=DATA!$J$12,1,0))</f>
        <v/>
      </c>
      <c r="BW210" s="47" t="str">
        <f>IF(BR210="","",IF(SEKOR!BR210&gt;=DATA!$J$12,1,0))</f>
        <v/>
      </c>
      <c r="BX210" s="47" t="str">
        <f>IF(BT210="","",IF(DATA!$J$14="",IF(SEKOR!BT210&gt;=DATA!$J$12,1,0),IF(SEKOR!BT210&gt;=DATA!$J$14,1,0)))</f>
        <v/>
      </c>
    </row>
    <row r="211" spans="1:76" x14ac:dyDescent="0.25">
      <c r="A211" s="20" t="s">
        <v>238</v>
      </c>
      <c r="B211" s="21" t="str">
        <f>IF(Ujian!B218="","",Ujian!B218)</f>
        <v/>
      </c>
      <c r="C211" s="57" t="str">
        <f>IF(Ujian!C218="","",Ujian!C218)</f>
        <v/>
      </c>
      <c r="D211" s="125" t="str">
        <f>IF(Ujian!D218="","",IF(LEFT(Ujian!D218,1)=SEKOR!D$2,1,0))</f>
        <v/>
      </c>
      <c r="E211" s="125" t="str">
        <f>IF(Ujian!E218="","",IF(LEFT(Ujian!E218,1)=SEKOR!E$2,1,0))</f>
        <v/>
      </c>
      <c r="F211" s="125" t="str">
        <f>IF(Ujian!F218="","",IF(LEFT(Ujian!F218,1)=SEKOR!F$2,1,0))</f>
        <v/>
      </c>
      <c r="G211" s="125" t="str">
        <f>IF(Ujian!G218="","",IF(LEFT(Ujian!G218,1)=SEKOR!G$2,1,0))</f>
        <v/>
      </c>
      <c r="H211" s="125" t="str">
        <f>IF(Ujian!H218="","",IF(LEFT(Ujian!H218,1)=SEKOR!H$2,1,0))</f>
        <v/>
      </c>
      <c r="I211" s="125" t="str">
        <f>IF(Ujian!I218="","",IF(LEFT(Ujian!I218,1)=SEKOR!I$2,1,0))</f>
        <v/>
      </c>
      <c r="J211" s="125" t="str">
        <f>IF(Ujian!J218="","",IF(LEFT(Ujian!J218,1)=SEKOR!J$2,1,0))</f>
        <v/>
      </c>
      <c r="K211" s="125" t="str">
        <f>IF(Ujian!K218="","",IF(LEFT(Ujian!K218,1)=SEKOR!K$2,1,0))</f>
        <v/>
      </c>
      <c r="L211" s="125" t="str">
        <f>IF(Ujian!L218="","",IF(LEFT(Ujian!L218,1)=SEKOR!L$2,1,0))</f>
        <v/>
      </c>
      <c r="M211" s="125" t="str">
        <f>IF(Ujian!M218="","",IF(LEFT(Ujian!M218,1)=SEKOR!M$2,1,0))</f>
        <v/>
      </c>
      <c r="N211" s="125" t="str">
        <f>IF(Ujian!N218="","",IF(LEFT(Ujian!N218,1)=SEKOR!N$2,1,0))</f>
        <v/>
      </c>
      <c r="O211" s="125" t="str">
        <f>IF(Ujian!O218="","",IF(LEFT(Ujian!O218,1)=SEKOR!O$2,1,0))</f>
        <v/>
      </c>
      <c r="P211" s="125" t="str">
        <f>IF(Ujian!P218="","",IF(LEFT(Ujian!P218,1)=SEKOR!P$2,1,0))</f>
        <v/>
      </c>
      <c r="Q211" s="125" t="str">
        <f>IF(Ujian!Q218="","",IF(LEFT(Ujian!Q218,1)=SEKOR!Q$2,1,0))</f>
        <v/>
      </c>
      <c r="R211" s="125" t="str">
        <f>IF(Ujian!R218="","",IF(LEFT(Ujian!R218,1)=SEKOR!R$2,1,0))</f>
        <v/>
      </c>
      <c r="S211" s="125" t="str">
        <f>IF(Ujian!S218="","",IF(LEFT(Ujian!S218,1)=SEKOR!S$2,1,0))</f>
        <v/>
      </c>
      <c r="T211" s="125" t="str">
        <f>IF(Ujian!T218="","",IF(LEFT(Ujian!T218,1)=SEKOR!T$2,1,0))</f>
        <v/>
      </c>
      <c r="U211" s="125" t="str">
        <f>IF(Ujian!U218="","",IF(LEFT(Ujian!U218,1)=SEKOR!U$2,1,0))</f>
        <v/>
      </c>
      <c r="V211" s="125" t="str">
        <f>IF(Ujian!V218="","",IF(LEFT(Ujian!V218,1)=SEKOR!V$2,1,0))</f>
        <v/>
      </c>
      <c r="W211" s="125" t="str">
        <f>IF(Ujian!W218="","",IF(LEFT(Ujian!W218,1)=SEKOR!W$2,1,0))</f>
        <v/>
      </c>
      <c r="X211" s="125" t="str">
        <f>IF(Ujian!X218="","",IF(LEFT(Ujian!X218,1)=SEKOR!X$2,1,0))</f>
        <v/>
      </c>
      <c r="Y211" s="125" t="str">
        <f>IF(Ujian!Y218="","",IF(LEFT(Ujian!Y218,1)=SEKOR!Y$2,1,0))</f>
        <v/>
      </c>
      <c r="Z211" s="125" t="str">
        <f>IF(Ujian!Z218="","",IF(LEFT(Ujian!Z218,1)=SEKOR!Z$2,1,0))</f>
        <v/>
      </c>
      <c r="AA211" s="125" t="str">
        <f>IF(Ujian!AA218="","",IF(LEFT(Ujian!AA218,1)=SEKOR!AA$2,1,0))</f>
        <v/>
      </c>
      <c r="AB211" s="125" t="str">
        <f>IF(Ujian!AB218="","",IF(LEFT(Ujian!AB218,1)=SEKOR!AB$2,1,0))</f>
        <v/>
      </c>
      <c r="AC211" s="125" t="str">
        <f>IF(Ujian!AC218="","",IF(LEFT(Ujian!AC218,1)=SEKOR!AC$2,1,0))</f>
        <v/>
      </c>
      <c r="AD211" s="125" t="str">
        <f>IF(Ujian!AD218="","",IF(LEFT(Ujian!AD218,1)=SEKOR!AD$2,1,0))</f>
        <v/>
      </c>
      <c r="AE211" s="125" t="str">
        <f>IF(Ujian!AE218="","",IF(LEFT(Ujian!AE218,1)=SEKOR!AE$2,1,0))</f>
        <v/>
      </c>
      <c r="AF211" s="125" t="str">
        <f>IF(Ujian!AF218="","",IF(LEFT(Ujian!AF218,1)=SEKOR!AF$2,1,0))</f>
        <v/>
      </c>
      <c r="AG211" s="125" t="str">
        <f>IF(Ujian!AG218="","",IF(LEFT(Ujian!AG218,1)=SEKOR!AG$2,1,0))</f>
        <v/>
      </c>
      <c r="AH211" s="125" t="str">
        <f>IF(Ujian!AH218="","",IF(LEFT(Ujian!AH218,1)=SEKOR!AH$2,1,0))</f>
        <v/>
      </c>
      <c r="AI211" s="125" t="str">
        <f>IF(Ujian!AI218="","",IF(LEFT(Ujian!AI218,1)=SEKOR!AI$2,1,0))</f>
        <v/>
      </c>
      <c r="AJ211" s="125" t="str">
        <f>IF(Ujian!AJ218="","",IF(LEFT(Ujian!AJ218,1)=SEKOR!AJ$2,1,0))</f>
        <v/>
      </c>
      <c r="AK211" s="125" t="str">
        <f>IF(Ujian!AK218="","",IF(LEFT(Ujian!AK218,1)=SEKOR!AK$2,1,0))</f>
        <v/>
      </c>
      <c r="AL211" s="125" t="str">
        <f>IF(Ujian!AL218="","",IF(LEFT(Ujian!AL218,1)=SEKOR!AL$2,1,0))</f>
        <v/>
      </c>
      <c r="AM211" s="125" t="str">
        <f>IF(Ujian!AM218="","",IF(LEFT(Ujian!AM218,1)=SEKOR!AM$2,1,0))</f>
        <v/>
      </c>
      <c r="AN211" s="125" t="str">
        <f>IF(Ujian!AN218="","",IF(LEFT(Ujian!AN218,1)=SEKOR!AN$2,1,0))</f>
        <v/>
      </c>
      <c r="AO211" s="125" t="str">
        <f>IF(Ujian!AO218="","",IF(LEFT(Ujian!AO218,1)=SEKOR!AO$2,1,0))</f>
        <v/>
      </c>
      <c r="AP211" s="125" t="str">
        <f>IF(Ujian!AP218="","",IF(LEFT(Ujian!AP218,1)=SEKOR!AP$2,1,0))</f>
        <v/>
      </c>
      <c r="AQ211" s="125" t="str">
        <f>IF(Ujian!AQ218="","",IF(LEFT(Ujian!AQ218,1)=SEKOR!AQ$2,1,0))</f>
        <v/>
      </c>
      <c r="AR211" s="125" t="str">
        <f>IF(Ujian!AR218="","",IF(LEFT(Ujian!AR218,1)=SEKOR!AR$2,1,0))</f>
        <v/>
      </c>
      <c r="AS211" s="125" t="str">
        <f>IF(Ujian!AS218="","",IF(LEFT(Ujian!AS218,1)=SEKOR!AS$2,1,0))</f>
        <v/>
      </c>
      <c r="AT211" s="125" t="str">
        <f>IF(Ujian!AT218="","",IF(LEFT(Ujian!AT218,1)=SEKOR!AT$2,1,0))</f>
        <v/>
      </c>
      <c r="AU211" s="125" t="str">
        <f>IF(Ujian!AU218="","",IF(LEFT(Ujian!AU218,1)=SEKOR!AU$2,1,0))</f>
        <v/>
      </c>
      <c r="AV211" s="125" t="str">
        <f>IF(Ujian!AV218="","",IF(LEFT(Ujian!AV218,1)=SEKOR!AV$2,1,0))</f>
        <v/>
      </c>
      <c r="AW211" s="125" t="str">
        <f>IF(Ujian!AW218="","",IF(LEFT(Ujian!AW218,1)=SEKOR!AW$2,1,0))</f>
        <v/>
      </c>
      <c r="AX211" s="125" t="str">
        <f>IF(Ujian!AX218="","",IF(LEFT(Ujian!AX218,1)=SEKOR!AX$2,1,0))</f>
        <v/>
      </c>
      <c r="AY211" s="125" t="str">
        <f>IF(Ujian!AY218="","",IF(LEFT(Ujian!AY218,1)=SEKOR!AY$2,1,0))</f>
        <v/>
      </c>
      <c r="AZ211" s="125" t="str">
        <f>IF(Ujian!AZ218="","",IF(LEFT(Ujian!AZ218,1)=SEKOR!AZ$2,1,0))</f>
        <v/>
      </c>
      <c r="BA211" s="125" t="str">
        <f>IF(Ujian!BA218="","",IF(LEFT(Ujian!BA218,1)=SEKOR!BA$2,1,0))</f>
        <v/>
      </c>
      <c r="BB211" s="125" t="str">
        <f>IF(Ujian!BB218="","",IF(LEFT(Ujian!BB218,1)=SEKOR!BB$2,1,0))</f>
        <v/>
      </c>
      <c r="BC211" s="125" t="str">
        <f>IF(Ujian!BC218="","",IF(LEFT(Ujian!BC218,1)=SEKOR!BC$2,1,0))</f>
        <v/>
      </c>
      <c r="BD211" s="125" t="str">
        <f>IF(Ujian!BD218="","",IF(LEFT(Ujian!BD218,1)=SEKOR!BD$2,1,0))</f>
        <v/>
      </c>
      <c r="BE211" s="125" t="str">
        <f>IF(Ujian!BE218="","",IF(LEFT(Ujian!BE218,1)=SEKOR!BE$2,1,0))</f>
        <v/>
      </c>
      <c r="BF211" s="125" t="str">
        <f>IF(Ujian!BF218="","",IF(LEFT(Ujian!BF218,1)=SEKOR!BF$2,1,0))</f>
        <v/>
      </c>
      <c r="BG211" s="125" t="str">
        <f>IF(Ujian!BG218="","",IF(LEFT(Ujian!BG218,1)=SEKOR!BG$2,1,0))</f>
        <v/>
      </c>
      <c r="BH211" s="125" t="str">
        <f>IF(Ujian!BH218="","",IF(LEFT(Ujian!BH218,1)=SEKOR!BH$2,1,0))</f>
        <v/>
      </c>
      <c r="BI211" s="125" t="str">
        <f>IF(Ujian!BI218="","",IF(LEFT(Ujian!BI218,1)=SEKOR!BI$2,1,0))</f>
        <v/>
      </c>
      <c r="BJ211" s="125" t="str">
        <f>IF(Ujian!BJ218="","",IF(LEFT(Ujian!BJ218,1)=SEKOR!BJ$2,1,0))</f>
        <v/>
      </c>
      <c r="BK211" s="125" t="str">
        <f>IF(Ujian!BK218="","",IF(LEFT(Ujian!BK218,1)=SEKOR!BK$2,1,0))</f>
        <v/>
      </c>
      <c r="BL211" s="18">
        <f t="shared" si="6"/>
        <v>0</v>
      </c>
      <c r="BM211" s="18">
        <f>COUNTIF($D211:$BK211,"")+DATA!$F$14-DATA!$F$12</f>
        <v>60</v>
      </c>
      <c r="BN211" s="17">
        <f>IF(COUNTIF($D211:$BK211,1)&gt;DATA!$F$14,DATA!$F$14,COUNTIF($D211:$BK211,1))</f>
        <v>0</v>
      </c>
      <c r="BO211" s="17">
        <f>IF((BN211+COUNTIF($D211:$BK211,0))&lt;=DATA!$F$14,COUNTIF($D211:$BK211,0),DATA!$F$14-SEKOR!BN211)</f>
        <v>0</v>
      </c>
      <c r="BP211" s="4" t="str">
        <f>IF(BL211=0,"",BN211/DATA!$F$14*100)</f>
        <v/>
      </c>
      <c r="BQ211" s="121" t="str">
        <f t="shared" si="7"/>
        <v/>
      </c>
      <c r="BR211" s="2" t="str">
        <f>IF(Praktik!$E211=0,"",Praktik!$E211)</f>
        <v/>
      </c>
      <c r="BS211" s="2" t="str">
        <f>IF(BR211="","",(BP211*DATAINFO!$O$4)+(SEKOR!BR211*DATAINFO!$O$5)/(DATAINFO!$O$4+DATAINFO!$O$5))</f>
        <v/>
      </c>
      <c r="BT211" s="2" t="str">
        <f>IF(BL211=0,"",IF(DATA!$F$18="TIDAK",ROUNDUP((IF!$L$8*SEKOR!$BP211)+IF!$L$9,0),IF($BR211="","",ROUNDUP((IF!$L$20*$BS211)+IF!$L$21,0))))</f>
        <v/>
      </c>
      <c r="BU211" s="47" t="str">
        <f>IF(BP211="","",IF(SEKOR!BP211&gt;=DATA!$J$12,1,0))</f>
        <v/>
      </c>
      <c r="BV211" s="47" t="str">
        <f>IF(BQ211="","",IF(SEKOR!BQ211&gt;=DATA!$J$12,1,0))</f>
        <v/>
      </c>
      <c r="BW211" s="47" t="str">
        <f>IF(BR211="","",IF(SEKOR!BR211&gt;=DATA!$J$12,1,0))</f>
        <v/>
      </c>
      <c r="BX211" s="47" t="str">
        <f>IF(BT211="","",IF(DATA!$J$14="",IF(SEKOR!BT211&gt;=DATA!$J$12,1,0),IF(SEKOR!BT211&gt;=DATA!$J$14,1,0)))</f>
        <v/>
      </c>
    </row>
    <row r="212" spans="1:76" x14ac:dyDescent="0.25">
      <c r="A212" s="20" t="s">
        <v>239</v>
      </c>
      <c r="B212" s="21" t="str">
        <f>IF(Ujian!B219="","",Ujian!B219)</f>
        <v/>
      </c>
      <c r="C212" s="57" t="str">
        <f>IF(Ujian!C219="","",Ujian!C219)</f>
        <v/>
      </c>
      <c r="D212" s="125" t="str">
        <f>IF(Ujian!D219="","",IF(LEFT(Ujian!D219,1)=SEKOR!D$2,1,0))</f>
        <v/>
      </c>
      <c r="E212" s="125" t="str">
        <f>IF(Ujian!E219="","",IF(LEFT(Ujian!E219,1)=SEKOR!E$2,1,0))</f>
        <v/>
      </c>
      <c r="F212" s="125" t="str">
        <f>IF(Ujian!F219="","",IF(LEFT(Ujian!F219,1)=SEKOR!F$2,1,0))</f>
        <v/>
      </c>
      <c r="G212" s="125" t="str">
        <f>IF(Ujian!G219="","",IF(LEFT(Ujian!G219,1)=SEKOR!G$2,1,0))</f>
        <v/>
      </c>
      <c r="H212" s="125" t="str">
        <f>IF(Ujian!H219="","",IF(LEFT(Ujian!H219,1)=SEKOR!H$2,1,0))</f>
        <v/>
      </c>
      <c r="I212" s="125" t="str">
        <f>IF(Ujian!I219="","",IF(LEFT(Ujian!I219,1)=SEKOR!I$2,1,0))</f>
        <v/>
      </c>
      <c r="J212" s="125" t="str">
        <f>IF(Ujian!J219="","",IF(LEFT(Ujian!J219,1)=SEKOR!J$2,1,0))</f>
        <v/>
      </c>
      <c r="K212" s="125" t="str">
        <f>IF(Ujian!K219="","",IF(LEFT(Ujian!K219,1)=SEKOR!K$2,1,0))</f>
        <v/>
      </c>
      <c r="L212" s="125" t="str">
        <f>IF(Ujian!L219="","",IF(LEFT(Ujian!L219,1)=SEKOR!L$2,1,0))</f>
        <v/>
      </c>
      <c r="M212" s="125" t="str">
        <f>IF(Ujian!M219="","",IF(LEFT(Ujian!M219,1)=SEKOR!M$2,1,0))</f>
        <v/>
      </c>
      <c r="N212" s="125" t="str">
        <f>IF(Ujian!N219="","",IF(LEFT(Ujian!N219,1)=SEKOR!N$2,1,0))</f>
        <v/>
      </c>
      <c r="O212" s="125" t="str">
        <f>IF(Ujian!O219="","",IF(LEFT(Ujian!O219,1)=SEKOR!O$2,1,0))</f>
        <v/>
      </c>
      <c r="P212" s="125" t="str">
        <f>IF(Ujian!P219="","",IF(LEFT(Ujian!P219,1)=SEKOR!P$2,1,0))</f>
        <v/>
      </c>
      <c r="Q212" s="125" t="str">
        <f>IF(Ujian!Q219="","",IF(LEFT(Ujian!Q219,1)=SEKOR!Q$2,1,0))</f>
        <v/>
      </c>
      <c r="R212" s="125" t="str">
        <f>IF(Ujian!R219="","",IF(LEFT(Ujian!R219,1)=SEKOR!R$2,1,0))</f>
        <v/>
      </c>
      <c r="S212" s="125" t="str">
        <f>IF(Ujian!S219="","",IF(LEFT(Ujian!S219,1)=SEKOR!S$2,1,0))</f>
        <v/>
      </c>
      <c r="T212" s="125" t="str">
        <f>IF(Ujian!T219="","",IF(LEFT(Ujian!T219,1)=SEKOR!T$2,1,0))</f>
        <v/>
      </c>
      <c r="U212" s="125" t="str">
        <f>IF(Ujian!U219="","",IF(LEFT(Ujian!U219,1)=SEKOR!U$2,1,0))</f>
        <v/>
      </c>
      <c r="V212" s="125" t="str">
        <f>IF(Ujian!V219="","",IF(LEFT(Ujian!V219,1)=SEKOR!V$2,1,0))</f>
        <v/>
      </c>
      <c r="W212" s="125" t="str">
        <f>IF(Ujian!W219="","",IF(LEFT(Ujian!W219,1)=SEKOR!W$2,1,0))</f>
        <v/>
      </c>
      <c r="X212" s="125" t="str">
        <f>IF(Ujian!X219="","",IF(LEFT(Ujian!X219,1)=SEKOR!X$2,1,0))</f>
        <v/>
      </c>
      <c r="Y212" s="125" t="str">
        <f>IF(Ujian!Y219="","",IF(LEFT(Ujian!Y219,1)=SEKOR!Y$2,1,0))</f>
        <v/>
      </c>
      <c r="Z212" s="125" t="str">
        <f>IF(Ujian!Z219="","",IF(LEFT(Ujian!Z219,1)=SEKOR!Z$2,1,0))</f>
        <v/>
      </c>
      <c r="AA212" s="125" t="str">
        <f>IF(Ujian!AA219="","",IF(LEFT(Ujian!AA219,1)=SEKOR!AA$2,1,0))</f>
        <v/>
      </c>
      <c r="AB212" s="125" t="str">
        <f>IF(Ujian!AB219="","",IF(LEFT(Ujian!AB219,1)=SEKOR!AB$2,1,0))</f>
        <v/>
      </c>
      <c r="AC212" s="125" t="str">
        <f>IF(Ujian!AC219="","",IF(LEFT(Ujian!AC219,1)=SEKOR!AC$2,1,0))</f>
        <v/>
      </c>
      <c r="AD212" s="125" t="str">
        <f>IF(Ujian!AD219="","",IF(LEFT(Ujian!AD219,1)=SEKOR!AD$2,1,0))</f>
        <v/>
      </c>
      <c r="AE212" s="125" t="str">
        <f>IF(Ujian!AE219="","",IF(LEFT(Ujian!AE219,1)=SEKOR!AE$2,1,0))</f>
        <v/>
      </c>
      <c r="AF212" s="125" t="str">
        <f>IF(Ujian!AF219="","",IF(LEFT(Ujian!AF219,1)=SEKOR!AF$2,1,0))</f>
        <v/>
      </c>
      <c r="AG212" s="125" t="str">
        <f>IF(Ujian!AG219="","",IF(LEFT(Ujian!AG219,1)=SEKOR!AG$2,1,0))</f>
        <v/>
      </c>
      <c r="AH212" s="125" t="str">
        <f>IF(Ujian!AH219="","",IF(LEFT(Ujian!AH219,1)=SEKOR!AH$2,1,0))</f>
        <v/>
      </c>
      <c r="AI212" s="125" t="str">
        <f>IF(Ujian!AI219="","",IF(LEFT(Ujian!AI219,1)=SEKOR!AI$2,1,0))</f>
        <v/>
      </c>
      <c r="AJ212" s="125" t="str">
        <f>IF(Ujian!AJ219="","",IF(LEFT(Ujian!AJ219,1)=SEKOR!AJ$2,1,0))</f>
        <v/>
      </c>
      <c r="AK212" s="125" t="str">
        <f>IF(Ujian!AK219="","",IF(LEFT(Ujian!AK219,1)=SEKOR!AK$2,1,0))</f>
        <v/>
      </c>
      <c r="AL212" s="125" t="str">
        <f>IF(Ujian!AL219="","",IF(LEFT(Ujian!AL219,1)=SEKOR!AL$2,1,0))</f>
        <v/>
      </c>
      <c r="AM212" s="125" t="str">
        <f>IF(Ujian!AM219="","",IF(LEFT(Ujian!AM219,1)=SEKOR!AM$2,1,0))</f>
        <v/>
      </c>
      <c r="AN212" s="125" t="str">
        <f>IF(Ujian!AN219="","",IF(LEFT(Ujian!AN219,1)=SEKOR!AN$2,1,0))</f>
        <v/>
      </c>
      <c r="AO212" s="125" t="str">
        <f>IF(Ujian!AO219="","",IF(LEFT(Ujian!AO219,1)=SEKOR!AO$2,1,0))</f>
        <v/>
      </c>
      <c r="AP212" s="125" t="str">
        <f>IF(Ujian!AP219="","",IF(LEFT(Ujian!AP219,1)=SEKOR!AP$2,1,0))</f>
        <v/>
      </c>
      <c r="AQ212" s="125" t="str">
        <f>IF(Ujian!AQ219="","",IF(LEFT(Ujian!AQ219,1)=SEKOR!AQ$2,1,0))</f>
        <v/>
      </c>
      <c r="AR212" s="125" t="str">
        <f>IF(Ujian!AR219="","",IF(LEFT(Ujian!AR219,1)=SEKOR!AR$2,1,0))</f>
        <v/>
      </c>
      <c r="AS212" s="125" t="str">
        <f>IF(Ujian!AS219="","",IF(LEFT(Ujian!AS219,1)=SEKOR!AS$2,1,0))</f>
        <v/>
      </c>
      <c r="AT212" s="125" t="str">
        <f>IF(Ujian!AT219="","",IF(LEFT(Ujian!AT219,1)=SEKOR!AT$2,1,0))</f>
        <v/>
      </c>
      <c r="AU212" s="125" t="str">
        <f>IF(Ujian!AU219="","",IF(LEFT(Ujian!AU219,1)=SEKOR!AU$2,1,0))</f>
        <v/>
      </c>
      <c r="AV212" s="125" t="str">
        <f>IF(Ujian!AV219="","",IF(LEFT(Ujian!AV219,1)=SEKOR!AV$2,1,0))</f>
        <v/>
      </c>
      <c r="AW212" s="125" t="str">
        <f>IF(Ujian!AW219="","",IF(LEFT(Ujian!AW219,1)=SEKOR!AW$2,1,0))</f>
        <v/>
      </c>
      <c r="AX212" s="125" t="str">
        <f>IF(Ujian!AX219="","",IF(LEFT(Ujian!AX219,1)=SEKOR!AX$2,1,0))</f>
        <v/>
      </c>
      <c r="AY212" s="125" t="str">
        <f>IF(Ujian!AY219="","",IF(LEFT(Ujian!AY219,1)=SEKOR!AY$2,1,0))</f>
        <v/>
      </c>
      <c r="AZ212" s="125" t="str">
        <f>IF(Ujian!AZ219="","",IF(LEFT(Ujian!AZ219,1)=SEKOR!AZ$2,1,0))</f>
        <v/>
      </c>
      <c r="BA212" s="125" t="str">
        <f>IF(Ujian!BA219="","",IF(LEFT(Ujian!BA219,1)=SEKOR!BA$2,1,0))</f>
        <v/>
      </c>
      <c r="BB212" s="125" t="str">
        <f>IF(Ujian!BB219="","",IF(LEFT(Ujian!BB219,1)=SEKOR!BB$2,1,0))</f>
        <v/>
      </c>
      <c r="BC212" s="125" t="str">
        <f>IF(Ujian!BC219="","",IF(LEFT(Ujian!BC219,1)=SEKOR!BC$2,1,0))</f>
        <v/>
      </c>
      <c r="BD212" s="125" t="str">
        <f>IF(Ujian!BD219="","",IF(LEFT(Ujian!BD219,1)=SEKOR!BD$2,1,0))</f>
        <v/>
      </c>
      <c r="BE212" s="125" t="str">
        <f>IF(Ujian!BE219="","",IF(LEFT(Ujian!BE219,1)=SEKOR!BE$2,1,0))</f>
        <v/>
      </c>
      <c r="BF212" s="125" t="str">
        <f>IF(Ujian!BF219="","",IF(LEFT(Ujian!BF219,1)=SEKOR!BF$2,1,0))</f>
        <v/>
      </c>
      <c r="BG212" s="125" t="str">
        <f>IF(Ujian!BG219="","",IF(LEFT(Ujian!BG219,1)=SEKOR!BG$2,1,0))</f>
        <v/>
      </c>
      <c r="BH212" s="125" t="str">
        <f>IF(Ujian!BH219="","",IF(LEFT(Ujian!BH219,1)=SEKOR!BH$2,1,0))</f>
        <v/>
      </c>
      <c r="BI212" s="125" t="str">
        <f>IF(Ujian!BI219="","",IF(LEFT(Ujian!BI219,1)=SEKOR!BI$2,1,0))</f>
        <v/>
      </c>
      <c r="BJ212" s="125" t="str">
        <f>IF(Ujian!BJ219="","",IF(LEFT(Ujian!BJ219,1)=SEKOR!BJ$2,1,0))</f>
        <v/>
      </c>
      <c r="BK212" s="125" t="str">
        <f>IF(Ujian!BK219="","",IF(LEFT(Ujian!BK219,1)=SEKOR!BK$2,1,0))</f>
        <v/>
      </c>
      <c r="BL212" s="18">
        <f t="shared" si="6"/>
        <v>0</v>
      </c>
      <c r="BM212" s="18">
        <f>COUNTIF($D212:$BK212,"")+DATA!$F$14-DATA!$F$12</f>
        <v>60</v>
      </c>
      <c r="BN212" s="17">
        <f>IF(COUNTIF($D212:$BK212,1)&gt;DATA!$F$14,DATA!$F$14,COUNTIF($D212:$BK212,1))</f>
        <v>0</v>
      </c>
      <c r="BO212" s="17">
        <f>IF((BN212+COUNTIF($D212:$BK212,0))&lt;=DATA!$F$14,COUNTIF($D212:$BK212,0),DATA!$F$14-SEKOR!BN212)</f>
        <v>0</v>
      </c>
      <c r="BP212" s="4" t="str">
        <f>IF(BL212=0,"",BN212/DATA!$F$14*100)</f>
        <v/>
      </c>
      <c r="BQ212" s="121" t="str">
        <f t="shared" si="7"/>
        <v/>
      </c>
      <c r="BR212" s="2" t="str">
        <f>IF(Praktik!$E212=0,"",Praktik!$E212)</f>
        <v/>
      </c>
      <c r="BS212" s="2" t="str">
        <f>IF(BR212="","",(BP212*DATAINFO!$O$4)+(SEKOR!BR212*DATAINFO!$O$5)/(DATAINFO!$O$4+DATAINFO!$O$5))</f>
        <v/>
      </c>
      <c r="BT212" s="2" t="str">
        <f>IF(BL212=0,"",IF(DATA!$F$18="TIDAK",ROUNDUP((IF!$L$8*SEKOR!$BP212)+IF!$L$9,0),IF($BR212="","",ROUNDUP((IF!$L$20*$BS212)+IF!$L$21,0))))</f>
        <v/>
      </c>
      <c r="BU212" s="47" t="str">
        <f>IF(BP212="","",IF(SEKOR!BP212&gt;=DATA!$J$12,1,0))</f>
        <v/>
      </c>
      <c r="BV212" s="47" t="str">
        <f>IF(BQ212="","",IF(SEKOR!BQ212&gt;=DATA!$J$12,1,0))</f>
        <v/>
      </c>
      <c r="BW212" s="47" t="str">
        <f>IF(BR212="","",IF(SEKOR!BR212&gt;=DATA!$J$12,1,0))</f>
        <v/>
      </c>
      <c r="BX212" s="47" t="str">
        <f>IF(BT212="","",IF(DATA!$J$14="",IF(SEKOR!BT212&gt;=DATA!$J$12,1,0),IF(SEKOR!BT212&gt;=DATA!$J$14,1,0)))</f>
        <v/>
      </c>
    </row>
    <row r="213" spans="1:76" x14ac:dyDescent="0.25">
      <c r="A213" s="20" t="s">
        <v>240</v>
      </c>
      <c r="B213" s="21" t="str">
        <f>IF(Ujian!B220="","",Ujian!B220)</f>
        <v/>
      </c>
      <c r="C213" s="57" t="str">
        <f>IF(Ujian!C220="","",Ujian!C220)</f>
        <v/>
      </c>
      <c r="D213" s="125" t="str">
        <f>IF(Ujian!D220="","",IF(LEFT(Ujian!D220,1)=SEKOR!D$2,1,0))</f>
        <v/>
      </c>
      <c r="E213" s="125" t="str">
        <f>IF(Ujian!E220="","",IF(LEFT(Ujian!E220,1)=SEKOR!E$2,1,0))</f>
        <v/>
      </c>
      <c r="F213" s="125" t="str">
        <f>IF(Ujian!F220="","",IF(LEFT(Ujian!F220,1)=SEKOR!F$2,1,0))</f>
        <v/>
      </c>
      <c r="G213" s="125" t="str">
        <f>IF(Ujian!G220="","",IF(LEFT(Ujian!G220,1)=SEKOR!G$2,1,0))</f>
        <v/>
      </c>
      <c r="H213" s="125" t="str">
        <f>IF(Ujian!H220="","",IF(LEFT(Ujian!H220,1)=SEKOR!H$2,1,0))</f>
        <v/>
      </c>
      <c r="I213" s="125" t="str">
        <f>IF(Ujian!I220="","",IF(LEFT(Ujian!I220,1)=SEKOR!I$2,1,0))</f>
        <v/>
      </c>
      <c r="J213" s="125" t="str">
        <f>IF(Ujian!J220="","",IF(LEFT(Ujian!J220,1)=SEKOR!J$2,1,0))</f>
        <v/>
      </c>
      <c r="K213" s="125" t="str">
        <f>IF(Ujian!K220="","",IF(LEFT(Ujian!K220,1)=SEKOR!K$2,1,0))</f>
        <v/>
      </c>
      <c r="L213" s="125" t="str">
        <f>IF(Ujian!L220="","",IF(LEFT(Ujian!L220,1)=SEKOR!L$2,1,0))</f>
        <v/>
      </c>
      <c r="M213" s="125" t="str">
        <f>IF(Ujian!M220="","",IF(LEFT(Ujian!M220,1)=SEKOR!M$2,1,0))</f>
        <v/>
      </c>
      <c r="N213" s="125" t="str">
        <f>IF(Ujian!N220="","",IF(LEFT(Ujian!N220,1)=SEKOR!N$2,1,0))</f>
        <v/>
      </c>
      <c r="O213" s="125" t="str">
        <f>IF(Ujian!O220="","",IF(LEFT(Ujian!O220,1)=SEKOR!O$2,1,0))</f>
        <v/>
      </c>
      <c r="P213" s="125" t="str">
        <f>IF(Ujian!P220="","",IF(LEFT(Ujian!P220,1)=SEKOR!P$2,1,0))</f>
        <v/>
      </c>
      <c r="Q213" s="125" t="str">
        <f>IF(Ujian!Q220="","",IF(LEFT(Ujian!Q220,1)=SEKOR!Q$2,1,0))</f>
        <v/>
      </c>
      <c r="R213" s="125" t="str">
        <f>IF(Ujian!R220="","",IF(LEFT(Ujian!R220,1)=SEKOR!R$2,1,0))</f>
        <v/>
      </c>
      <c r="S213" s="125" t="str">
        <f>IF(Ujian!S220="","",IF(LEFT(Ujian!S220,1)=SEKOR!S$2,1,0))</f>
        <v/>
      </c>
      <c r="T213" s="125" t="str">
        <f>IF(Ujian!T220="","",IF(LEFT(Ujian!T220,1)=SEKOR!T$2,1,0))</f>
        <v/>
      </c>
      <c r="U213" s="125" t="str">
        <f>IF(Ujian!U220="","",IF(LEFT(Ujian!U220,1)=SEKOR!U$2,1,0))</f>
        <v/>
      </c>
      <c r="V213" s="125" t="str">
        <f>IF(Ujian!V220="","",IF(LEFT(Ujian!V220,1)=SEKOR!V$2,1,0))</f>
        <v/>
      </c>
      <c r="W213" s="125" t="str">
        <f>IF(Ujian!W220="","",IF(LEFT(Ujian!W220,1)=SEKOR!W$2,1,0))</f>
        <v/>
      </c>
      <c r="X213" s="125" t="str">
        <f>IF(Ujian!X220="","",IF(LEFT(Ujian!X220,1)=SEKOR!X$2,1,0))</f>
        <v/>
      </c>
      <c r="Y213" s="125" t="str">
        <f>IF(Ujian!Y220="","",IF(LEFT(Ujian!Y220,1)=SEKOR!Y$2,1,0))</f>
        <v/>
      </c>
      <c r="Z213" s="125" t="str">
        <f>IF(Ujian!Z220="","",IF(LEFT(Ujian!Z220,1)=SEKOR!Z$2,1,0))</f>
        <v/>
      </c>
      <c r="AA213" s="125" t="str">
        <f>IF(Ujian!AA220="","",IF(LEFT(Ujian!AA220,1)=SEKOR!AA$2,1,0))</f>
        <v/>
      </c>
      <c r="AB213" s="125" t="str">
        <f>IF(Ujian!AB220="","",IF(LEFT(Ujian!AB220,1)=SEKOR!AB$2,1,0))</f>
        <v/>
      </c>
      <c r="AC213" s="125" t="str">
        <f>IF(Ujian!AC220="","",IF(LEFT(Ujian!AC220,1)=SEKOR!AC$2,1,0))</f>
        <v/>
      </c>
      <c r="AD213" s="125" t="str">
        <f>IF(Ujian!AD220="","",IF(LEFT(Ujian!AD220,1)=SEKOR!AD$2,1,0))</f>
        <v/>
      </c>
      <c r="AE213" s="125" t="str">
        <f>IF(Ujian!AE220="","",IF(LEFT(Ujian!AE220,1)=SEKOR!AE$2,1,0))</f>
        <v/>
      </c>
      <c r="AF213" s="125" t="str">
        <f>IF(Ujian!AF220="","",IF(LEFT(Ujian!AF220,1)=SEKOR!AF$2,1,0))</f>
        <v/>
      </c>
      <c r="AG213" s="125" t="str">
        <f>IF(Ujian!AG220="","",IF(LEFT(Ujian!AG220,1)=SEKOR!AG$2,1,0))</f>
        <v/>
      </c>
      <c r="AH213" s="125" t="str">
        <f>IF(Ujian!AH220="","",IF(LEFT(Ujian!AH220,1)=SEKOR!AH$2,1,0))</f>
        <v/>
      </c>
      <c r="AI213" s="125" t="str">
        <f>IF(Ujian!AI220="","",IF(LEFT(Ujian!AI220,1)=SEKOR!AI$2,1,0))</f>
        <v/>
      </c>
      <c r="AJ213" s="125" t="str">
        <f>IF(Ujian!AJ220="","",IF(LEFT(Ujian!AJ220,1)=SEKOR!AJ$2,1,0))</f>
        <v/>
      </c>
      <c r="AK213" s="125" t="str">
        <f>IF(Ujian!AK220="","",IF(LEFT(Ujian!AK220,1)=SEKOR!AK$2,1,0))</f>
        <v/>
      </c>
      <c r="AL213" s="125" t="str">
        <f>IF(Ujian!AL220="","",IF(LEFT(Ujian!AL220,1)=SEKOR!AL$2,1,0))</f>
        <v/>
      </c>
      <c r="AM213" s="125" t="str">
        <f>IF(Ujian!AM220="","",IF(LEFT(Ujian!AM220,1)=SEKOR!AM$2,1,0))</f>
        <v/>
      </c>
      <c r="AN213" s="125" t="str">
        <f>IF(Ujian!AN220="","",IF(LEFT(Ujian!AN220,1)=SEKOR!AN$2,1,0))</f>
        <v/>
      </c>
      <c r="AO213" s="125" t="str">
        <f>IF(Ujian!AO220="","",IF(LEFT(Ujian!AO220,1)=SEKOR!AO$2,1,0))</f>
        <v/>
      </c>
      <c r="AP213" s="125" t="str">
        <f>IF(Ujian!AP220="","",IF(LEFT(Ujian!AP220,1)=SEKOR!AP$2,1,0))</f>
        <v/>
      </c>
      <c r="AQ213" s="125" t="str">
        <f>IF(Ujian!AQ220="","",IF(LEFT(Ujian!AQ220,1)=SEKOR!AQ$2,1,0))</f>
        <v/>
      </c>
      <c r="AR213" s="125" t="str">
        <f>IF(Ujian!AR220="","",IF(LEFT(Ujian!AR220,1)=SEKOR!AR$2,1,0))</f>
        <v/>
      </c>
      <c r="AS213" s="125" t="str">
        <f>IF(Ujian!AS220="","",IF(LEFT(Ujian!AS220,1)=SEKOR!AS$2,1,0))</f>
        <v/>
      </c>
      <c r="AT213" s="125" t="str">
        <f>IF(Ujian!AT220="","",IF(LEFT(Ujian!AT220,1)=SEKOR!AT$2,1,0))</f>
        <v/>
      </c>
      <c r="AU213" s="125" t="str">
        <f>IF(Ujian!AU220="","",IF(LEFT(Ujian!AU220,1)=SEKOR!AU$2,1,0))</f>
        <v/>
      </c>
      <c r="AV213" s="125" t="str">
        <f>IF(Ujian!AV220="","",IF(LEFT(Ujian!AV220,1)=SEKOR!AV$2,1,0))</f>
        <v/>
      </c>
      <c r="AW213" s="125" t="str">
        <f>IF(Ujian!AW220="","",IF(LEFT(Ujian!AW220,1)=SEKOR!AW$2,1,0))</f>
        <v/>
      </c>
      <c r="AX213" s="125" t="str">
        <f>IF(Ujian!AX220="","",IF(LEFT(Ujian!AX220,1)=SEKOR!AX$2,1,0))</f>
        <v/>
      </c>
      <c r="AY213" s="125" t="str">
        <f>IF(Ujian!AY220="","",IF(LEFT(Ujian!AY220,1)=SEKOR!AY$2,1,0))</f>
        <v/>
      </c>
      <c r="AZ213" s="125" t="str">
        <f>IF(Ujian!AZ220="","",IF(LEFT(Ujian!AZ220,1)=SEKOR!AZ$2,1,0))</f>
        <v/>
      </c>
      <c r="BA213" s="125" t="str">
        <f>IF(Ujian!BA220="","",IF(LEFT(Ujian!BA220,1)=SEKOR!BA$2,1,0))</f>
        <v/>
      </c>
      <c r="BB213" s="125" t="str">
        <f>IF(Ujian!BB220="","",IF(LEFT(Ujian!BB220,1)=SEKOR!BB$2,1,0))</f>
        <v/>
      </c>
      <c r="BC213" s="125" t="str">
        <f>IF(Ujian!BC220="","",IF(LEFT(Ujian!BC220,1)=SEKOR!BC$2,1,0))</f>
        <v/>
      </c>
      <c r="BD213" s="125" t="str">
        <f>IF(Ujian!BD220="","",IF(LEFT(Ujian!BD220,1)=SEKOR!BD$2,1,0))</f>
        <v/>
      </c>
      <c r="BE213" s="125" t="str">
        <f>IF(Ujian!BE220="","",IF(LEFT(Ujian!BE220,1)=SEKOR!BE$2,1,0))</f>
        <v/>
      </c>
      <c r="BF213" s="125" t="str">
        <f>IF(Ujian!BF220="","",IF(LEFT(Ujian!BF220,1)=SEKOR!BF$2,1,0))</f>
        <v/>
      </c>
      <c r="BG213" s="125" t="str">
        <f>IF(Ujian!BG220="","",IF(LEFT(Ujian!BG220,1)=SEKOR!BG$2,1,0))</f>
        <v/>
      </c>
      <c r="BH213" s="125" t="str">
        <f>IF(Ujian!BH220="","",IF(LEFT(Ujian!BH220,1)=SEKOR!BH$2,1,0))</f>
        <v/>
      </c>
      <c r="BI213" s="125" t="str">
        <f>IF(Ujian!BI220="","",IF(LEFT(Ujian!BI220,1)=SEKOR!BI$2,1,0))</f>
        <v/>
      </c>
      <c r="BJ213" s="125" t="str">
        <f>IF(Ujian!BJ220="","",IF(LEFT(Ujian!BJ220,1)=SEKOR!BJ$2,1,0))</f>
        <v/>
      </c>
      <c r="BK213" s="125" t="str">
        <f>IF(Ujian!BK220="","",IF(LEFT(Ujian!BK220,1)=SEKOR!BK$2,1,0))</f>
        <v/>
      </c>
      <c r="BL213" s="18">
        <f t="shared" si="6"/>
        <v>0</v>
      </c>
      <c r="BM213" s="18">
        <f>COUNTIF($D213:$BK213,"")+DATA!$F$14-DATA!$F$12</f>
        <v>60</v>
      </c>
      <c r="BN213" s="17">
        <f>IF(COUNTIF($D213:$BK213,1)&gt;DATA!$F$14,DATA!$F$14,COUNTIF($D213:$BK213,1))</f>
        <v>0</v>
      </c>
      <c r="BO213" s="17">
        <f>IF((BN213+COUNTIF($D213:$BK213,0))&lt;=DATA!$F$14,COUNTIF($D213:$BK213,0),DATA!$F$14-SEKOR!BN213)</f>
        <v>0</v>
      </c>
      <c r="BP213" s="4" t="str">
        <f>IF(BL213=0,"",BN213/DATA!$F$14*100)</f>
        <v/>
      </c>
      <c r="BQ213" s="121" t="str">
        <f t="shared" si="7"/>
        <v/>
      </c>
      <c r="BR213" s="2" t="str">
        <f>IF(Praktik!$E213=0,"",Praktik!$E213)</f>
        <v/>
      </c>
      <c r="BS213" s="2" t="str">
        <f>IF(BR213="","",(BP213*DATAINFO!$O$4)+(SEKOR!BR213*DATAINFO!$O$5)/(DATAINFO!$O$4+DATAINFO!$O$5))</f>
        <v/>
      </c>
      <c r="BT213" s="2" t="str">
        <f>IF(BL213=0,"",IF(DATA!$F$18="TIDAK",ROUNDUP((IF!$L$8*SEKOR!$BP213)+IF!$L$9,0),IF($BR213="","",ROUNDUP((IF!$L$20*$BS213)+IF!$L$21,0))))</f>
        <v/>
      </c>
      <c r="BU213" s="47" t="str">
        <f>IF(BP213="","",IF(SEKOR!BP213&gt;=DATA!$J$12,1,0))</f>
        <v/>
      </c>
      <c r="BV213" s="47" t="str">
        <f>IF(BQ213="","",IF(SEKOR!BQ213&gt;=DATA!$J$12,1,0))</f>
        <v/>
      </c>
      <c r="BW213" s="47" t="str">
        <f>IF(BR213="","",IF(SEKOR!BR213&gt;=DATA!$J$12,1,0))</f>
        <v/>
      </c>
      <c r="BX213" s="47" t="str">
        <f>IF(BT213="","",IF(DATA!$J$14="",IF(SEKOR!BT213&gt;=DATA!$J$12,1,0),IF(SEKOR!BT213&gt;=DATA!$J$14,1,0)))</f>
        <v/>
      </c>
    </row>
    <row r="214" spans="1:76" x14ac:dyDescent="0.25">
      <c r="A214" s="20" t="s">
        <v>241</v>
      </c>
      <c r="B214" s="21" t="str">
        <f>IF(Ujian!B221="","",Ujian!B221)</f>
        <v/>
      </c>
      <c r="C214" s="57" t="str">
        <f>IF(Ujian!C221="","",Ujian!C221)</f>
        <v/>
      </c>
      <c r="D214" s="125" t="str">
        <f>IF(Ujian!D221="","",IF(LEFT(Ujian!D221,1)=SEKOR!D$2,1,0))</f>
        <v/>
      </c>
      <c r="E214" s="125" t="str">
        <f>IF(Ujian!E221="","",IF(LEFT(Ujian!E221,1)=SEKOR!E$2,1,0))</f>
        <v/>
      </c>
      <c r="F214" s="125" t="str">
        <f>IF(Ujian!F221="","",IF(LEFT(Ujian!F221,1)=SEKOR!F$2,1,0))</f>
        <v/>
      </c>
      <c r="G214" s="125" t="str">
        <f>IF(Ujian!G221="","",IF(LEFT(Ujian!G221,1)=SEKOR!G$2,1,0))</f>
        <v/>
      </c>
      <c r="H214" s="125" t="str">
        <f>IF(Ujian!H221="","",IF(LEFT(Ujian!H221,1)=SEKOR!H$2,1,0))</f>
        <v/>
      </c>
      <c r="I214" s="125" t="str">
        <f>IF(Ujian!I221="","",IF(LEFT(Ujian!I221,1)=SEKOR!I$2,1,0))</f>
        <v/>
      </c>
      <c r="J214" s="125" t="str">
        <f>IF(Ujian!J221="","",IF(LEFT(Ujian!J221,1)=SEKOR!J$2,1,0))</f>
        <v/>
      </c>
      <c r="K214" s="125" t="str">
        <f>IF(Ujian!K221="","",IF(LEFT(Ujian!K221,1)=SEKOR!K$2,1,0))</f>
        <v/>
      </c>
      <c r="L214" s="125" t="str">
        <f>IF(Ujian!L221="","",IF(LEFT(Ujian!L221,1)=SEKOR!L$2,1,0))</f>
        <v/>
      </c>
      <c r="M214" s="125" t="str">
        <f>IF(Ujian!M221="","",IF(LEFT(Ujian!M221,1)=SEKOR!M$2,1,0))</f>
        <v/>
      </c>
      <c r="N214" s="125" t="str">
        <f>IF(Ujian!N221="","",IF(LEFT(Ujian!N221,1)=SEKOR!N$2,1,0))</f>
        <v/>
      </c>
      <c r="O214" s="125" t="str">
        <f>IF(Ujian!O221="","",IF(LEFT(Ujian!O221,1)=SEKOR!O$2,1,0))</f>
        <v/>
      </c>
      <c r="P214" s="125" t="str">
        <f>IF(Ujian!P221="","",IF(LEFT(Ujian!P221,1)=SEKOR!P$2,1,0))</f>
        <v/>
      </c>
      <c r="Q214" s="125" t="str">
        <f>IF(Ujian!Q221="","",IF(LEFT(Ujian!Q221,1)=SEKOR!Q$2,1,0))</f>
        <v/>
      </c>
      <c r="R214" s="125" t="str">
        <f>IF(Ujian!R221="","",IF(LEFT(Ujian!R221,1)=SEKOR!R$2,1,0))</f>
        <v/>
      </c>
      <c r="S214" s="125" t="str">
        <f>IF(Ujian!S221="","",IF(LEFT(Ujian!S221,1)=SEKOR!S$2,1,0))</f>
        <v/>
      </c>
      <c r="T214" s="125" t="str">
        <f>IF(Ujian!T221="","",IF(LEFT(Ujian!T221,1)=SEKOR!T$2,1,0))</f>
        <v/>
      </c>
      <c r="U214" s="125" t="str">
        <f>IF(Ujian!U221="","",IF(LEFT(Ujian!U221,1)=SEKOR!U$2,1,0))</f>
        <v/>
      </c>
      <c r="V214" s="125" t="str">
        <f>IF(Ujian!V221="","",IF(LEFT(Ujian!V221,1)=SEKOR!V$2,1,0))</f>
        <v/>
      </c>
      <c r="W214" s="125" t="str">
        <f>IF(Ujian!W221="","",IF(LEFT(Ujian!W221,1)=SEKOR!W$2,1,0))</f>
        <v/>
      </c>
      <c r="X214" s="125" t="str">
        <f>IF(Ujian!X221="","",IF(LEFT(Ujian!X221,1)=SEKOR!X$2,1,0))</f>
        <v/>
      </c>
      <c r="Y214" s="125" t="str">
        <f>IF(Ujian!Y221="","",IF(LEFT(Ujian!Y221,1)=SEKOR!Y$2,1,0))</f>
        <v/>
      </c>
      <c r="Z214" s="125" t="str">
        <f>IF(Ujian!Z221="","",IF(LEFT(Ujian!Z221,1)=SEKOR!Z$2,1,0))</f>
        <v/>
      </c>
      <c r="AA214" s="125" t="str">
        <f>IF(Ujian!AA221="","",IF(LEFT(Ujian!AA221,1)=SEKOR!AA$2,1,0))</f>
        <v/>
      </c>
      <c r="AB214" s="125" t="str">
        <f>IF(Ujian!AB221="","",IF(LEFT(Ujian!AB221,1)=SEKOR!AB$2,1,0))</f>
        <v/>
      </c>
      <c r="AC214" s="125" t="str">
        <f>IF(Ujian!AC221="","",IF(LEFT(Ujian!AC221,1)=SEKOR!AC$2,1,0))</f>
        <v/>
      </c>
      <c r="AD214" s="125" t="str">
        <f>IF(Ujian!AD221="","",IF(LEFT(Ujian!AD221,1)=SEKOR!AD$2,1,0))</f>
        <v/>
      </c>
      <c r="AE214" s="125" t="str">
        <f>IF(Ujian!AE221="","",IF(LEFT(Ujian!AE221,1)=SEKOR!AE$2,1,0))</f>
        <v/>
      </c>
      <c r="AF214" s="125" t="str">
        <f>IF(Ujian!AF221="","",IF(LEFT(Ujian!AF221,1)=SEKOR!AF$2,1,0))</f>
        <v/>
      </c>
      <c r="AG214" s="125" t="str">
        <f>IF(Ujian!AG221="","",IF(LEFT(Ujian!AG221,1)=SEKOR!AG$2,1,0))</f>
        <v/>
      </c>
      <c r="AH214" s="125" t="str">
        <f>IF(Ujian!AH221="","",IF(LEFT(Ujian!AH221,1)=SEKOR!AH$2,1,0))</f>
        <v/>
      </c>
      <c r="AI214" s="125" t="str">
        <f>IF(Ujian!AI221="","",IF(LEFT(Ujian!AI221,1)=SEKOR!AI$2,1,0))</f>
        <v/>
      </c>
      <c r="AJ214" s="125" t="str">
        <f>IF(Ujian!AJ221="","",IF(LEFT(Ujian!AJ221,1)=SEKOR!AJ$2,1,0))</f>
        <v/>
      </c>
      <c r="AK214" s="125" t="str">
        <f>IF(Ujian!AK221="","",IF(LEFT(Ujian!AK221,1)=SEKOR!AK$2,1,0))</f>
        <v/>
      </c>
      <c r="AL214" s="125" t="str">
        <f>IF(Ujian!AL221="","",IF(LEFT(Ujian!AL221,1)=SEKOR!AL$2,1,0))</f>
        <v/>
      </c>
      <c r="AM214" s="125" t="str">
        <f>IF(Ujian!AM221="","",IF(LEFT(Ujian!AM221,1)=SEKOR!AM$2,1,0))</f>
        <v/>
      </c>
      <c r="AN214" s="125" t="str">
        <f>IF(Ujian!AN221="","",IF(LEFT(Ujian!AN221,1)=SEKOR!AN$2,1,0))</f>
        <v/>
      </c>
      <c r="AO214" s="125" t="str">
        <f>IF(Ujian!AO221="","",IF(LEFT(Ujian!AO221,1)=SEKOR!AO$2,1,0))</f>
        <v/>
      </c>
      <c r="AP214" s="125" t="str">
        <f>IF(Ujian!AP221="","",IF(LEFT(Ujian!AP221,1)=SEKOR!AP$2,1,0))</f>
        <v/>
      </c>
      <c r="AQ214" s="125" t="str">
        <f>IF(Ujian!AQ221="","",IF(LEFT(Ujian!AQ221,1)=SEKOR!AQ$2,1,0))</f>
        <v/>
      </c>
      <c r="AR214" s="125" t="str">
        <f>IF(Ujian!AR221="","",IF(LEFT(Ujian!AR221,1)=SEKOR!AR$2,1,0))</f>
        <v/>
      </c>
      <c r="AS214" s="125" t="str">
        <f>IF(Ujian!AS221="","",IF(LEFT(Ujian!AS221,1)=SEKOR!AS$2,1,0))</f>
        <v/>
      </c>
      <c r="AT214" s="125" t="str">
        <f>IF(Ujian!AT221="","",IF(LEFT(Ujian!AT221,1)=SEKOR!AT$2,1,0))</f>
        <v/>
      </c>
      <c r="AU214" s="125" t="str">
        <f>IF(Ujian!AU221="","",IF(LEFT(Ujian!AU221,1)=SEKOR!AU$2,1,0))</f>
        <v/>
      </c>
      <c r="AV214" s="125" t="str">
        <f>IF(Ujian!AV221="","",IF(LEFT(Ujian!AV221,1)=SEKOR!AV$2,1,0))</f>
        <v/>
      </c>
      <c r="AW214" s="125" t="str">
        <f>IF(Ujian!AW221="","",IF(LEFT(Ujian!AW221,1)=SEKOR!AW$2,1,0))</f>
        <v/>
      </c>
      <c r="AX214" s="125" t="str">
        <f>IF(Ujian!AX221="","",IF(LEFT(Ujian!AX221,1)=SEKOR!AX$2,1,0))</f>
        <v/>
      </c>
      <c r="AY214" s="125" t="str">
        <f>IF(Ujian!AY221="","",IF(LEFT(Ujian!AY221,1)=SEKOR!AY$2,1,0))</f>
        <v/>
      </c>
      <c r="AZ214" s="125" t="str">
        <f>IF(Ujian!AZ221="","",IF(LEFT(Ujian!AZ221,1)=SEKOR!AZ$2,1,0))</f>
        <v/>
      </c>
      <c r="BA214" s="125" t="str">
        <f>IF(Ujian!BA221="","",IF(LEFT(Ujian!BA221,1)=SEKOR!BA$2,1,0))</f>
        <v/>
      </c>
      <c r="BB214" s="125" t="str">
        <f>IF(Ujian!BB221="","",IF(LEFT(Ujian!BB221,1)=SEKOR!BB$2,1,0))</f>
        <v/>
      </c>
      <c r="BC214" s="125" t="str">
        <f>IF(Ujian!BC221="","",IF(LEFT(Ujian!BC221,1)=SEKOR!BC$2,1,0))</f>
        <v/>
      </c>
      <c r="BD214" s="125" t="str">
        <f>IF(Ujian!BD221="","",IF(LEFT(Ujian!BD221,1)=SEKOR!BD$2,1,0))</f>
        <v/>
      </c>
      <c r="BE214" s="125" t="str">
        <f>IF(Ujian!BE221="","",IF(LEFT(Ujian!BE221,1)=SEKOR!BE$2,1,0))</f>
        <v/>
      </c>
      <c r="BF214" s="125" t="str">
        <f>IF(Ujian!BF221="","",IF(LEFT(Ujian!BF221,1)=SEKOR!BF$2,1,0))</f>
        <v/>
      </c>
      <c r="BG214" s="125" t="str">
        <f>IF(Ujian!BG221="","",IF(LEFT(Ujian!BG221,1)=SEKOR!BG$2,1,0))</f>
        <v/>
      </c>
      <c r="BH214" s="125" t="str">
        <f>IF(Ujian!BH221="","",IF(LEFT(Ujian!BH221,1)=SEKOR!BH$2,1,0))</f>
        <v/>
      </c>
      <c r="BI214" s="125" t="str">
        <f>IF(Ujian!BI221="","",IF(LEFT(Ujian!BI221,1)=SEKOR!BI$2,1,0))</f>
        <v/>
      </c>
      <c r="BJ214" s="125" t="str">
        <f>IF(Ujian!BJ221="","",IF(LEFT(Ujian!BJ221,1)=SEKOR!BJ$2,1,0))</f>
        <v/>
      </c>
      <c r="BK214" s="125" t="str">
        <f>IF(Ujian!BK221="","",IF(LEFT(Ujian!BK221,1)=SEKOR!BK$2,1,0))</f>
        <v/>
      </c>
      <c r="BL214" s="18">
        <f t="shared" si="6"/>
        <v>0</v>
      </c>
      <c r="BM214" s="18">
        <f>COUNTIF($D214:$BK214,"")+DATA!$F$14-DATA!$F$12</f>
        <v>60</v>
      </c>
      <c r="BN214" s="17">
        <f>IF(COUNTIF($D214:$BK214,1)&gt;DATA!$F$14,DATA!$F$14,COUNTIF($D214:$BK214,1))</f>
        <v>0</v>
      </c>
      <c r="BO214" s="17">
        <f>IF((BN214+COUNTIF($D214:$BK214,0))&lt;=DATA!$F$14,COUNTIF($D214:$BK214,0),DATA!$F$14-SEKOR!BN214)</f>
        <v>0</v>
      </c>
      <c r="BP214" s="4" t="str">
        <f>IF(BL214=0,"",BN214/DATA!$F$14*100)</f>
        <v/>
      </c>
      <c r="BQ214" s="121" t="str">
        <f t="shared" si="7"/>
        <v/>
      </c>
      <c r="BR214" s="2" t="str">
        <f>IF(Praktik!$E214=0,"",Praktik!$E214)</f>
        <v/>
      </c>
      <c r="BS214" s="2" t="str">
        <f>IF(BR214="","",(BP214*DATAINFO!$O$4)+(SEKOR!BR214*DATAINFO!$O$5)/(DATAINFO!$O$4+DATAINFO!$O$5))</f>
        <v/>
      </c>
      <c r="BT214" s="2" t="str">
        <f>IF(BL214=0,"",IF(DATA!$F$18="TIDAK",ROUNDUP((IF!$L$8*SEKOR!$BP214)+IF!$L$9,0),IF($BR214="","",ROUNDUP((IF!$L$20*$BS214)+IF!$L$21,0))))</f>
        <v/>
      </c>
      <c r="BU214" s="47" t="str">
        <f>IF(BP214="","",IF(SEKOR!BP214&gt;=DATA!$J$12,1,0))</f>
        <v/>
      </c>
      <c r="BV214" s="47" t="str">
        <f>IF(BQ214="","",IF(SEKOR!BQ214&gt;=DATA!$J$12,1,0))</f>
        <v/>
      </c>
      <c r="BW214" s="47" t="str">
        <f>IF(BR214="","",IF(SEKOR!BR214&gt;=DATA!$J$12,1,0))</f>
        <v/>
      </c>
      <c r="BX214" s="47" t="str">
        <f>IF(BT214="","",IF(DATA!$J$14="",IF(SEKOR!BT214&gt;=DATA!$J$12,1,0),IF(SEKOR!BT214&gt;=DATA!$J$14,1,0)))</f>
        <v/>
      </c>
    </row>
    <row r="215" spans="1:76" x14ac:dyDescent="0.25">
      <c r="A215" s="20" t="s">
        <v>242</v>
      </c>
      <c r="B215" s="21" t="str">
        <f>IF(Ujian!B222="","",Ujian!B222)</f>
        <v/>
      </c>
      <c r="C215" s="57" t="str">
        <f>IF(Ujian!C222="","",Ujian!C222)</f>
        <v/>
      </c>
      <c r="D215" s="125" t="str">
        <f>IF(Ujian!D222="","",IF(LEFT(Ujian!D222,1)=SEKOR!D$2,1,0))</f>
        <v/>
      </c>
      <c r="E215" s="125" t="str">
        <f>IF(Ujian!E222="","",IF(LEFT(Ujian!E222,1)=SEKOR!E$2,1,0))</f>
        <v/>
      </c>
      <c r="F215" s="125" t="str">
        <f>IF(Ujian!F222="","",IF(LEFT(Ujian!F222,1)=SEKOR!F$2,1,0))</f>
        <v/>
      </c>
      <c r="G215" s="125" t="str">
        <f>IF(Ujian!G222="","",IF(LEFT(Ujian!G222,1)=SEKOR!G$2,1,0))</f>
        <v/>
      </c>
      <c r="H215" s="125" t="str">
        <f>IF(Ujian!H222="","",IF(LEFT(Ujian!H222,1)=SEKOR!H$2,1,0))</f>
        <v/>
      </c>
      <c r="I215" s="125" t="str">
        <f>IF(Ujian!I222="","",IF(LEFT(Ujian!I222,1)=SEKOR!I$2,1,0))</f>
        <v/>
      </c>
      <c r="J215" s="125" t="str">
        <f>IF(Ujian!J222="","",IF(LEFT(Ujian!J222,1)=SEKOR!J$2,1,0))</f>
        <v/>
      </c>
      <c r="K215" s="125" t="str">
        <f>IF(Ujian!K222="","",IF(LEFT(Ujian!K222,1)=SEKOR!K$2,1,0))</f>
        <v/>
      </c>
      <c r="L215" s="125" t="str">
        <f>IF(Ujian!L222="","",IF(LEFT(Ujian!L222,1)=SEKOR!L$2,1,0))</f>
        <v/>
      </c>
      <c r="M215" s="125" t="str">
        <f>IF(Ujian!M222="","",IF(LEFT(Ujian!M222,1)=SEKOR!M$2,1,0))</f>
        <v/>
      </c>
      <c r="N215" s="125" t="str">
        <f>IF(Ujian!N222="","",IF(LEFT(Ujian!N222,1)=SEKOR!N$2,1,0))</f>
        <v/>
      </c>
      <c r="O215" s="125" t="str">
        <f>IF(Ujian!O222="","",IF(LEFT(Ujian!O222,1)=SEKOR!O$2,1,0))</f>
        <v/>
      </c>
      <c r="P215" s="125" t="str">
        <f>IF(Ujian!P222="","",IF(LEFT(Ujian!P222,1)=SEKOR!P$2,1,0))</f>
        <v/>
      </c>
      <c r="Q215" s="125" t="str">
        <f>IF(Ujian!Q222="","",IF(LEFT(Ujian!Q222,1)=SEKOR!Q$2,1,0))</f>
        <v/>
      </c>
      <c r="R215" s="125" t="str">
        <f>IF(Ujian!R222="","",IF(LEFT(Ujian!R222,1)=SEKOR!R$2,1,0))</f>
        <v/>
      </c>
      <c r="S215" s="125" t="str">
        <f>IF(Ujian!S222="","",IF(LEFT(Ujian!S222,1)=SEKOR!S$2,1,0))</f>
        <v/>
      </c>
      <c r="T215" s="125" t="str">
        <f>IF(Ujian!T222="","",IF(LEFT(Ujian!T222,1)=SEKOR!T$2,1,0))</f>
        <v/>
      </c>
      <c r="U215" s="125" t="str">
        <f>IF(Ujian!U222="","",IF(LEFT(Ujian!U222,1)=SEKOR!U$2,1,0))</f>
        <v/>
      </c>
      <c r="V215" s="125" t="str">
        <f>IF(Ujian!V222="","",IF(LEFT(Ujian!V222,1)=SEKOR!V$2,1,0))</f>
        <v/>
      </c>
      <c r="W215" s="125" t="str">
        <f>IF(Ujian!W222="","",IF(LEFT(Ujian!W222,1)=SEKOR!W$2,1,0))</f>
        <v/>
      </c>
      <c r="X215" s="125" t="str">
        <f>IF(Ujian!X222="","",IF(LEFT(Ujian!X222,1)=SEKOR!X$2,1,0))</f>
        <v/>
      </c>
      <c r="Y215" s="125" t="str">
        <f>IF(Ujian!Y222="","",IF(LEFT(Ujian!Y222,1)=SEKOR!Y$2,1,0))</f>
        <v/>
      </c>
      <c r="Z215" s="125" t="str">
        <f>IF(Ujian!Z222="","",IF(LEFT(Ujian!Z222,1)=SEKOR!Z$2,1,0))</f>
        <v/>
      </c>
      <c r="AA215" s="125" t="str">
        <f>IF(Ujian!AA222="","",IF(LEFT(Ujian!AA222,1)=SEKOR!AA$2,1,0))</f>
        <v/>
      </c>
      <c r="AB215" s="125" t="str">
        <f>IF(Ujian!AB222="","",IF(LEFT(Ujian!AB222,1)=SEKOR!AB$2,1,0))</f>
        <v/>
      </c>
      <c r="AC215" s="125" t="str">
        <f>IF(Ujian!AC222="","",IF(LEFT(Ujian!AC222,1)=SEKOR!AC$2,1,0))</f>
        <v/>
      </c>
      <c r="AD215" s="125" t="str">
        <f>IF(Ujian!AD222="","",IF(LEFT(Ujian!AD222,1)=SEKOR!AD$2,1,0))</f>
        <v/>
      </c>
      <c r="AE215" s="125" t="str">
        <f>IF(Ujian!AE222="","",IF(LEFT(Ujian!AE222,1)=SEKOR!AE$2,1,0))</f>
        <v/>
      </c>
      <c r="AF215" s="125" t="str">
        <f>IF(Ujian!AF222="","",IF(LEFT(Ujian!AF222,1)=SEKOR!AF$2,1,0))</f>
        <v/>
      </c>
      <c r="AG215" s="125" t="str">
        <f>IF(Ujian!AG222="","",IF(LEFT(Ujian!AG222,1)=SEKOR!AG$2,1,0))</f>
        <v/>
      </c>
      <c r="AH215" s="125" t="str">
        <f>IF(Ujian!AH222="","",IF(LEFT(Ujian!AH222,1)=SEKOR!AH$2,1,0))</f>
        <v/>
      </c>
      <c r="AI215" s="125" t="str">
        <f>IF(Ujian!AI222="","",IF(LEFT(Ujian!AI222,1)=SEKOR!AI$2,1,0))</f>
        <v/>
      </c>
      <c r="AJ215" s="125" t="str">
        <f>IF(Ujian!AJ222="","",IF(LEFT(Ujian!AJ222,1)=SEKOR!AJ$2,1,0))</f>
        <v/>
      </c>
      <c r="AK215" s="125" t="str">
        <f>IF(Ujian!AK222="","",IF(LEFT(Ujian!AK222,1)=SEKOR!AK$2,1,0))</f>
        <v/>
      </c>
      <c r="AL215" s="125" t="str">
        <f>IF(Ujian!AL222="","",IF(LEFT(Ujian!AL222,1)=SEKOR!AL$2,1,0))</f>
        <v/>
      </c>
      <c r="AM215" s="125" t="str">
        <f>IF(Ujian!AM222="","",IF(LEFT(Ujian!AM222,1)=SEKOR!AM$2,1,0))</f>
        <v/>
      </c>
      <c r="AN215" s="125" t="str">
        <f>IF(Ujian!AN222="","",IF(LEFT(Ujian!AN222,1)=SEKOR!AN$2,1,0))</f>
        <v/>
      </c>
      <c r="AO215" s="125" t="str">
        <f>IF(Ujian!AO222="","",IF(LEFT(Ujian!AO222,1)=SEKOR!AO$2,1,0))</f>
        <v/>
      </c>
      <c r="AP215" s="125" t="str">
        <f>IF(Ujian!AP222="","",IF(LEFT(Ujian!AP222,1)=SEKOR!AP$2,1,0))</f>
        <v/>
      </c>
      <c r="AQ215" s="125" t="str">
        <f>IF(Ujian!AQ222="","",IF(LEFT(Ujian!AQ222,1)=SEKOR!AQ$2,1,0))</f>
        <v/>
      </c>
      <c r="AR215" s="125" t="str">
        <f>IF(Ujian!AR222="","",IF(LEFT(Ujian!AR222,1)=SEKOR!AR$2,1,0))</f>
        <v/>
      </c>
      <c r="AS215" s="125" t="str">
        <f>IF(Ujian!AS222="","",IF(LEFT(Ujian!AS222,1)=SEKOR!AS$2,1,0))</f>
        <v/>
      </c>
      <c r="AT215" s="125" t="str">
        <f>IF(Ujian!AT222="","",IF(LEFT(Ujian!AT222,1)=SEKOR!AT$2,1,0))</f>
        <v/>
      </c>
      <c r="AU215" s="125" t="str">
        <f>IF(Ujian!AU222="","",IF(LEFT(Ujian!AU222,1)=SEKOR!AU$2,1,0))</f>
        <v/>
      </c>
      <c r="AV215" s="125" t="str">
        <f>IF(Ujian!AV222="","",IF(LEFT(Ujian!AV222,1)=SEKOR!AV$2,1,0))</f>
        <v/>
      </c>
      <c r="AW215" s="125" t="str">
        <f>IF(Ujian!AW222="","",IF(LEFT(Ujian!AW222,1)=SEKOR!AW$2,1,0))</f>
        <v/>
      </c>
      <c r="AX215" s="125" t="str">
        <f>IF(Ujian!AX222="","",IF(LEFT(Ujian!AX222,1)=SEKOR!AX$2,1,0))</f>
        <v/>
      </c>
      <c r="AY215" s="125" t="str">
        <f>IF(Ujian!AY222="","",IF(LEFT(Ujian!AY222,1)=SEKOR!AY$2,1,0))</f>
        <v/>
      </c>
      <c r="AZ215" s="125" t="str">
        <f>IF(Ujian!AZ222="","",IF(LEFT(Ujian!AZ222,1)=SEKOR!AZ$2,1,0))</f>
        <v/>
      </c>
      <c r="BA215" s="125" t="str">
        <f>IF(Ujian!BA222="","",IF(LEFT(Ujian!BA222,1)=SEKOR!BA$2,1,0))</f>
        <v/>
      </c>
      <c r="BB215" s="125" t="str">
        <f>IF(Ujian!BB222="","",IF(LEFT(Ujian!BB222,1)=SEKOR!BB$2,1,0))</f>
        <v/>
      </c>
      <c r="BC215" s="125" t="str">
        <f>IF(Ujian!BC222="","",IF(LEFT(Ujian!BC222,1)=SEKOR!BC$2,1,0))</f>
        <v/>
      </c>
      <c r="BD215" s="125" t="str">
        <f>IF(Ujian!BD222="","",IF(LEFT(Ujian!BD222,1)=SEKOR!BD$2,1,0))</f>
        <v/>
      </c>
      <c r="BE215" s="125" t="str">
        <f>IF(Ujian!BE222="","",IF(LEFT(Ujian!BE222,1)=SEKOR!BE$2,1,0))</f>
        <v/>
      </c>
      <c r="BF215" s="125" t="str">
        <f>IF(Ujian!BF222="","",IF(LEFT(Ujian!BF222,1)=SEKOR!BF$2,1,0))</f>
        <v/>
      </c>
      <c r="BG215" s="125" t="str">
        <f>IF(Ujian!BG222="","",IF(LEFT(Ujian!BG222,1)=SEKOR!BG$2,1,0))</f>
        <v/>
      </c>
      <c r="BH215" s="125" t="str">
        <f>IF(Ujian!BH222="","",IF(LEFT(Ujian!BH222,1)=SEKOR!BH$2,1,0))</f>
        <v/>
      </c>
      <c r="BI215" s="125" t="str">
        <f>IF(Ujian!BI222="","",IF(LEFT(Ujian!BI222,1)=SEKOR!BI$2,1,0))</f>
        <v/>
      </c>
      <c r="BJ215" s="125" t="str">
        <f>IF(Ujian!BJ222="","",IF(LEFT(Ujian!BJ222,1)=SEKOR!BJ$2,1,0))</f>
        <v/>
      </c>
      <c r="BK215" s="125" t="str">
        <f>IF(Ujian!BK222="","",IF(LEFT(Ujian!BK222,1)=SEKOR!BK$2,1,0))</f>
        <v/>
      </c>
      <c r="BL215" s="18">
        <f t="shared" si="6"/>
        <v>0</v>
      </c>
      <c r="BM215" s="18">
        <f>COUNTIF($D215:$BK215,"")+DATA!$F$14-DATA!$F$12</f>
        <v>60</v>
      </c>
      <c r="BN215" s="17">
        <f>IF(COUNTIF($D215:$BK215,1)&gt;DATA!$F$14,DATA!$F$14,COUNTIF($D215:$BK215,1))</f>
        <v>0</v>
      </c>
      <c r="BO215" s="17">
        <f>IF((BN215+COUNTIF($D215:$BK215,0))&lt;=DATA!$F$14,COUNTIF($D215:$BK215,0),DATA!$F$14-SEKOR!BN215)</f>
        <v>0</v>
      </c>
      <c r="BP215" s="4" t="str">
        <f>IF(BL215=0,"",BN215/DATA!$F$14*100)</f>
        <v/>
      </c>
      <c r="BQ215" s="121" t="str">
        <f t="shared" si="7"/>
        <v/>
      </c>
      <c r="BR215" s="2" t="str">
        <f>IF(Praktik!$E215=0,"",Praktik!$E215)</f>
        <v/>
      </c>
      <c r="BS215" s="2" t="str">
        <f>IF(BR215="","",(BP215*DATAINFO!$O$4)+(SEKOR!BR215*DATAINFO!$O$5)/(DATAINFO!$O$4+DATAINFO!$O$5))</f>
        <v/>
      </c>
      <c r="BT215" s="2" t="str">
        <f>IF(BL215=0,"",IF(DATA!$F$18="TIDAK",ROUNDUP((IF!$L$8*SEKOR!$BP215)+IF!$L$9,0),IF($BR215="","",ROUNDUP((IF!$L$20*$BS215)+IF!$L$21,0))))</f>
        <v/>
      </c>
      <c r="BU215" s="47" t="str">
        <f>IF(BP215="","",IF(SEKOR!BP215&gt;=DATA!$J$12,1,0))</f>
        <v/>
      </c>
      <c r="BV215" s="47" t="str">
        <f>IF(BQ215="","",IF(SEKOR!BQ215&gt;=DATA!$J$12,1,0))</f>
        <v/>
      </c>
      <c r="BW215" s="47" t="str">
        <f>IF(BR215="","",IF(SEKOR!BR215&gt;=DATA!$J$12,1,0))</f>
        <v/>
      </c>
      <c r="BX215" s="47" t="str">
        <f>IF(BT215="","",IF(DATA!$J$14="",IF(SEKOR!BT215&gt;=DATA!$J$12,1,0),IF(SEKOR!BT215&gt;=DATA!$J$14,1,0)))</f>
        <v/>
      </c>
    </row>
    <row r="216" spans="1:76" x14ac:dyDescent="0.25">
      <c r="A216" s="20" t="s">
        <v>243</v>
      </c>
      <c r="B216" s="21" t="str">
        <f>IF(Ujian!B223="","",Ujian!B223)</f>
        <v/>
      </c>
      <c r="C216" s="57" t="str">
        <f>IF(Ujian!C223="","",Ujian!C223)</f>
        <v/>
      </c>
      <c r="D216" s="125" t="str">
        <f>IF(Ujian!D223="","",IF(LEFT(Ujian!D223,1)=SEKOR!D$2,1,0))</f>
        <v/>
      </c>
      <c r="E216" s="125" t="str">
        <f>IF(Ujian!E223="","",IF(LEFT(Ujian!E223,1)=SEKOR!E$2,1,0))</f>
        <v/>
      </c>
      <c r="F216" s="125" t="str">
        <f>IF(Ujian!F223="","",IF(LEFT(Ujian!F223,1)=SEKOR!F$2,1,0))</f>
        <v/>
      </c>
      <c r="G216" s="125" t="str">
        <f>IF(Ujian!G223="","",IF(LEFT(Ujian!G223,1)=SEKOR!G$2,1,0))</f>
        <v/>
      </c>
      <c r="H216" s="125" t="str">
        <f>IF(Ujian!H223="","",IF(LEFT(Ujian!H223,1)=SEKOR!H$2,1,0))</f>
        <v/>
      </c>
      <c r="I216" s="125" t="str">
        <f>IF(Ujian!I223="","",IF(LEFT(Ujian!I223,1)=SEKOR!I$2,1,0))</f>
        <v/>
      </c>
      <c r="J216" s="125" t="str">
        <f>IF(Ujian!J223="","",IF(LEFT(Ujian!J223,1)=SEKOR!J$2,1,0))</f>
        <v/>
      </c>
      <c r="K216" s="125" t="str">
        <f>IF(Ujian!K223="","",IF(LEFT(Ujian!K223,1)=SEKOR!K$2,1,0))</f>
        <v/>
      </c>
      <c r="L216" s="125" t="str">
        <f>IF(Ujian!L223="","",IF(LEFT(Ujian!L223,1)=SEKOR!L$2,1,0))</f>
        <v/>
      </c>
      <c r="M216" s="125" t="str">
        <f>IF(Ujian!M223="","",IF(LEFT(Ujian!M223,1)=SEKOR!M$2,1,0))</f>
        <v/>
      </c>
      <c r="N216" s="125" t="str">
        <f>IF(Ujian!N223="","",IF(LEFT(Ujian!N223,1)=SEKOR!N$2,1,0))</f>
        <v/>
      </c>
      <c r="O216" s="125" t="str">
        <f>IF(Ujian!O223="","",IF(LEFT(Ujian!O223,1)=SEKOR!O$2,1,0))</f>
        <v/>
      </c>
      <c r="P216" s="125" t="str">
        <f>IF(Ujian!P223="","",IF(LEFT(Ujian!P223,1)=SEKOR!P$2,1,0))</f>
        <v/>
      </c>
      <c r="Q216" s="125" t="str">
        <f>IF(Ujian!Q223="","",IF(LEFT(Ujian!Q223,1)=SEKOR!Q$2,1,0))</f>
        <v/>
      </c>
      <c r="R216" s="125" t="str">
        <f>IF(Ujian!R223="","",IF(LEFT(Ujian!R223,1)=SEKOR!R$2,1,0))</f>
        <v/>
      </c>
      <c r="S216" s="125" t="str">
        <f>IF(Ujian!S223="","",IF(LEFT(Ujian!S223,1)=SEKOR!S$2,1,0))</f>
        <v/>
      </c>
      <c r="T216" s="125" t="str">
        <f>IF(Ujian!T223="","",IF(LEFT(Ujian!T223,1)=SEKOR!T$2,1,0))</f>
        <v/>
      </c>
      <c r="U216" s="125" t="str">
        <f>IF(Ujian!U223="","",IF(LEFT(Ujian!U223,1)=SEKOR!U$2,1,0))</f>
        <v/>
      </c>
      <c r="V216" s="125" t="str">
        <f>IF(Ujian!V223="","",IF(LEFT(Ujian!V223,1)=SEKOR!V$2,1,0))</f>
        <v/>
      </c>
      <c r="W216" s="125" t="str">
        <f>IF(Ujian!W223="","",IF(LEFT(Ujian!W223,1)=SEKOR!W$2,1,0))</f>
        <v/>
      </c>
      <c r="X216" s="125" t="str">
        <f>IF(Ujian!X223="","",IF(LEFT(Ujian!X223,1)=SEKOR!X$2,1,0))</f>
        <v/>
      </c>
      <c r="Y216" s="125" t="str">
        <f>IF(Ujian!Y223="","",IF(LEFT(Ujian!Y223,1)=SEKOR!Y$2,1,0))</f>
        <v/>
      </c>
      <c r="Z216" s="125" t="str">
        <f>IF(Ujian!Z223="","",IF(LEFT(Ujian!Z223,1)=SEKOR!Z$2,1,0))</f>
        <v/>
      </c>
      <c r="AA216" s="125" t="str">
        <f>IF(Ujian!AA223="","",IF(LEFT(Ujian!AA223,1)=SEKOR!AA$2,1,0))</f>
        <v/>
      </c>
      <c r="AB216" s="125" t="str">
        <f>IF(Ujian!AB223="","",IF(LEFT(Ujian!AB223,1)=SEKOR!AB$2,1,0))</f>
        <v/>
      </c>
      <c r="AC216" s="125" t="str">
        <f>IF(Ujian!AC223="","",IF(LEFT(Ujian!AC223,1)=SEKOR!AC$2,1,0))</f>
        <v/>
      </c>
      <c r="AD216" s="125" t="str">
        <f>IF(Ujian!AD223="","",IF(LEFT(Ujian!AD223,1)=SEKOR!AD$2,1,0))</f>
        <v/>
      </c>
      <c r="AE216" s="125" t="str">
        <f>IF(Ujian!AE223="","",IF(LEFT(Ujian!AE223,1)=SEKOR!AE$2,1,0))</f>
        <v/>
      </c>
      <c r="AF216" s="125" t="str">
        <f>IF(Ujian!AF223="","",IF(LEFT(Ujian!AF223,1)=SEKOR!AF$2,1,0))</f>
        <v/>
      </c>
      <c r="AG216" s="125" t="str">
        <f>IF(Ujian!AG223="","",IF(LEFT(Ujian!AG223,1)=SEKOR!AG$2,1,0))</f>
        <v/>
      </c>
      <c r="AH216" s="125" t="str">
        <f>IF(Ujian!AH223="","",IF(LEFT(Ujian!AH223,1)=SEKOR!AH$2,1,0))</f>
        <v/>
      </c>
      <c r="AI216" s="125" t="str">
        <f>IF(Ujian!AI223="","",IF(LEFT(Ujian!AI223,1)=SEKOR!AI$2,1,0))</f>
        <v/>
      </c>
      <c r="AJ216" s="125" t="str">
        <f>IF(Ujian!AJ223="","",IF(LEFT(Ujian!AJ223,1)=SEKOR!AJ$2,1,0))</f>
        <v/>
      </c>
      <c r="AK216" s="125" t="str">
        <f>IF(Ujian!AK223="","",IF(LEFT(Ujian!AK223,1)=SEKOR!AK$2,1,0))</f>
        <v/>
      </c>
      <c r="AL216" s="125" t="str">
        <f>IF(Ujian!AL223="","",IF(LEFT(Ujian!AL223,1)=SEKOR!AL$2,1,0))</f>
        <v/>
      </c>
      <c r="AM216" s="125" t="str">
        <f>IF(Ujian!AM223="","",IF(LEFT(Ujian!AM223,1)=SEKOR!AM$2,1,0))</f>
        <v/>
      </c>
      <c r="AN216" s="125" t="str">
        <f>IF(Ujian!AN223="","",IF(LEFT(Ujian!AN223,1)=SEKOR!AN$2,1,0))</f>
        <v/>
      </c>
      <c r="AO216" s="125" t="str">
        <f>IF(Ujian!AO223="","",IF(LEFT(Ujian!AO223,1)=SEKOR!AO$2,1,0))</f>
        <v/>
      </c>
      <c r="AP216" s="125" t="str">
        <f>IF(Ujian!AP223="","",IF(LEFT(Ujian!AP223,1)=SEKOR!AP$2,1,0))</f>
        <v/>
      </c>
      <c r="AQ216" s="125" t="str">
        <f>IF(Ujian!AQ223="","",IF(LEFT(Ujian!AQ223,1)=SEKOR!AQ$2,1,0))</f>
        <v/>
      </c>
      <c r="AR216" s="125" t="str">
        <f>IF(Ujian!AR223="","",IF(LEFT(Ujian!AR223,1)=SEKOR!AR$2,1,0))</f>
        <v/>
      </c>
      <c r="AS216" s="125" t="str">
        <f>IF(Ujian!AS223="","",IF(LEFT(Ujian!AS223,1)=SEKOR!AS$2,1,0))</f>
        <v/>
      </c>
      <c r="AT216" s="125" t="str">
        <f>IF(Ujian!AT223="","",IF(LEFT(Ujian!AT223,1)=SEKOR!AT$2,1,0))</f>
        <v/>
      </c>
      <c r="AU216" s="125" t="str">
        <f>IF(Ujian!AU223="","",IF(LEFT(Ujian!AU223,1)=SEKOR!AU$2,1,0))</f>
        <v/>
      </c>
      <c r="AV216" s="125" t="str">
        <f>IF(Ujian!AV223="","",IF(LEFT(Ujian!AV223,1)=SEKOR!AV$2,1,0))</f>
        <v/>
      </c>
      <c r="AW216" s="125" t="str">
        <f>IF(Ujian!AW223="","",IF(LEFT(Ujian!AW223,1)=SEKOR!AW$2,1,0))</f>
        <v/>
      </c>
      <c r="AX216" s="125" t="str">
        <f>IF(Ujian!AX223="","",IF(LEFT(Ujian!AX223,1)=SEKOR!AX$2,1,0))</f>
        <v/>
      </c>
      <c r="AY216" s="125" t="str">
        <f>IF(Ujian!AY223="","",IF(LEFT(Ujian!AY223,1)=SEKOR!AY$2,1,0))</f>
        <v/>
      </c>
      <c r="AZ216" s="125" t="str">
        <f>IF(Ujian!AZ223="","",IF(LEFT(Ujian!AZ223,1)=SEKOR!AZ$2,1,0))</f>
        <v/>
      </c>
      <c r="BA216" s="125" t="str">
        <f>IF(Ujian!BA223="","",IF(LEFT(Ujian!BA223,1)=SEKOR!BA$2,1,0))</f>
        <v/>
      </c>
      <c r="BB216" s="125" t="str">
        <f>IF(Ujian!BB223="","",IF(LEFT(Ujian!BB223,1)=SEKOR!BB$2,1,0))</f>
        <v/>
      </c>
      <c r="BC216" s="125" t="str">
        <f>IF(Ujian!BC223="","",IF(LEFT(Ujian!BC223,1)=SEKOR!BC$2,1,0))</f>
        <v/>
      </c>
      <c r="BD216" s="125" t="str">
        <f>IF(Ujian!BD223="","",IF(LEFT(Ujian!BD223,1)=SEKOR!BD$2,1,0))</f>
        <v/>
      </c>
      <c r="BE216" s="125" t="str">
        <f>IF(Ujian!BE223="","",IF(LEFT(Ujian!BE223,1)=SEKOR!BE$2,1,0))</f>
        <v/>
      </c>
      <c r="BF216" s="125" t="str">
        <f>IF(Ujian!BF223="","",IF(LEFT(Ujian!BF223,1)=SEKOR!BF$2,1,0))</f>
        <v/>
      </c>
      <c r="BG216" s="125" t="str">
        <f>IF(Ujian!BG223="","",IF(LEFT(Ujian!BG223,1)=SEKOR!BG$2,1,0))</f>
        <v/>
      </c>
      <c r="BH216" s="125" t="str">
        <f>IF(Ujian!BH223="","",IF(LEFT(Ujian!BH223,1)=SEKOR!BH$2,1,0))</f>
        <v/>
      </c>
      <c r="BI216" s="125" t="str">
        <f>IF(Ujian!BI223="","",IF(LEFT(Ujian!BI223,1)=SEKOR!BI$2,1,0))</f>
        <v/>
      </c>
      <c r="BJ216" s="125" t="str">
        <f>IF(Ujian!BJ223="","",IF(LEFT(Ujian!BJ223,1)=SEKOR!BJ$2,1,0))</f>
        <v/>
      </c>
      <c r="BK216" s="125" t="str">
        <f>IF(Ujian!BK223="","",IF(LEFT(Ujian!BK223,1)=SEKOR!BK$2,1,0))</f>
        <v/>
      </c>
      <c r="BL216" s="18">
        <f t="shared" si="6"/>
        <v>0</v>
      </c>
      <c r="BM216" s="18">
        <f>COUNTIF($D216:$BK216,"")+DATA!$F$14-DATA!$F$12</f>
        <v>60</v>
      </c>
      <c r="BN216" s="17">
        <f>IF(COUNTIF($D216:$BK216,1)&gt;DATA!$F$14,DATA!$F$14,COUNTIF($D216:$BK216,1))</f>
        <v>0</v>
      </c>
      <c r="BO216" s="17">
        <f>IF((BN216+COUNTIF($D216:$BK216,0))&lt;=DATA!$F$14,COUNTIF($D216:$BK216,0),DATA!$F$14-SEKOR!BN216)</f>
        <v>0</v>
      </c>
      <c r="BP216" s="4" t="str">
        <f>IF(BL216=0,"",BN216/DATA!$F$14*100)</f>
        <v/>
      </c>
      <c r="BQ216" s="121" t="str">
        <f t="shared" si="7"/>
        <v/>
      </c>
      <c r="BR216" s="2" t="str">
        <f>IF(Praktik!$E216=0,"",Praktik!$E216)</f>
        <v/>
      </c>
      <c r="BS216" s="2" t="str">
        <f>IF(BR216="","",(BP216*DATAINFO!$O$4)+(SEKOR!BR216*DATAINFO!$O$5)/(DATAINFO!$O$4+DATAINFO!$O$5))</f>
        <v/>
      </c>
      <c r="BT216" s="2" t="str">
        <f>IF(BL216=0,"",IF(DATA!$F$18="TIDAK",ROUNDUP((IF!$L$8*SEKOR!$BP216)+IF!$L$9,0),IF($BR216="","",ROUNDUP((IF!$L$20*$BS216)+IF!$L$21,0))))</f>
        <v/>
      </c>
      <c r="BU216" s="47" t="str">
        <f>IF(BP216="","",IF(SEKOR!BP216&gt;=DATA!$J$12,1,0))</f>
        <v/>
      </c>
      <c r="BV216" s="47" t="str">
        <f>IF(BQ216="","",IF(SEKOR!BQ216&gt;=DATA!$J$12,1,0))</f>
        <v/>
      </c>
      <c r="BW216" s="47" t="str">
        <f>IF(BR216="","",IF(SEKOR!BR216&gt;=DATA!$J$12,1,0))</f>
        <v/>
      </c>
      <c r="BX216" s="47" t="str">
        <f>IF(BT216="","",IF(DATA!$J$14="",IF(SEKOR!BT216&gt;=DATA!$J$12,1,0),IF(SEKOR!BT216&gt;=DATA!$J$14,1,0)))</f>
        <v/>
      </c>
    </row>
    <row r="217" spans="1:76" x14ac:dyDescent="0.25">
      <c r="A217" s="20" t="s">
        <v>244</v>
      </c>
      <c r="B217" s="21" t="str">
        <f>IF(Ujian!B224="","",Ujian!B224)</f>
        <v/>
      </c>
      <c r="C217" s="57" t="str">
        <f>IF(Ujian!C224="","",Ujian!C224)</f>
        <v/>
      </c>
      <c r="D217" s="125" t="str">
        <f>IF(Ujian!D224="","",IF(LEFT(Ujian!D224,1)=SEKOR!D$2,1,0))</f>
        <v/>
      </c>
      <c r="E217" s="125" t="str">
        <f>IF(Ujian!E224="","",IF(LEFT(Ujian!E224,1)=SEKOR!E$2,1,0))</f>
        <v/>
      </c>
      <c r="F217" s="125" t="str">
        <f>IF(Ujian!F224="","",IF(LEFT(Ujian!F224,1)=SEKOR!F$2,1,0))</f>
        <v/>
      </c>
      <c r="G217" s="125" t="str">
        <f>IF(Ujian!G224="","",IF(LEFT(Ujian!G224,1)=SEKOR!G$2,1,0))</f>
        <v/>
      </c>
      <c r="H217" s="125" t="str">
        <f>IF(Ujian!H224="","",IF(LEFT(Ujian!H224,1)=SEKOR!H$2,1,0))</f>
        <v/>
      </c>
      <c r="I217" s="125" t="str">
        <f>IF(Ujian!I224="","",IF(LEFT(Ujian!I224,1)=SEKOR!I$2,1,0))</f>
        <v/>
      </c>
      <c r="J217" s="125" t="str">
        <f>IF(Ujian!J224="","",IF(LEFT(Ujian!J224,1)=SEKOR!J$2,1,0))</f>
        <v/>
      </c>
      <c r="K217" s="125" t="str">
        <f>IF(Ujian!K224="","",IF(LEFT(Ujian!K224,1)=SEKOR!K$2,1,0))</f>
        <v/>
      </c>
      <c r="L217" s="125" t="str">
        <f>IF(Ujian!L224="","",IF(LEFT(Ujian!L224,1)=SEKOR!L$2,1,0))</f>
        <v/>
      </c>
      <c r="M217" s="125" t="str">
        <f>IF(Ujian!M224="","",IF(LEFT(Ujian!M224,1)=SEKOR!M$2,1,0))</f>
        <v/>
      </c>
      <c r="N217" s="125" t="str">
        <f>IF(Ujian!N224="","",IF(LEFT(Ujian!N224,1)=SEKOR!N$2,1,0))</f>
        <v/>
      </c>
      <c r="O217" s="125" t="str">
        <f>IF(Ujian!O224="","",IF(LEFT(Ujian!O224,1)=SEKOR!O$2,1,0))</f>
        <v/>
      </c>
      <c r="P217" s="125" t="str">
        <f>IF(Ujian!P224="","",IF(LEFT(Ujian!P224,1)=SEKOR!P$2,1,0))</f>
        <v/>
      </c>
      <c r="Q217" s="125" t="str">
        <f>IF(Ujian!Q224="","",IF(LEFT(Ujian!Q224,1)=SEKOR!Q$2,1,0))</f>
        <v/>
      </c>
      <c r="R217" s="125" t="str">
        <f>IF(Ujian!R224="","",IF(LEFT(Ujian!R224,1)=SEKOR!R$2,1,0))</f>
        <v/>
      </c>
      <c r="S217" s="125" t="str">
        <f>IF(Ujian!S224="","",IF(LEFT(Ujian!S224,1)=SEKOR!S$2,1,0))</f>
        <v/>
      </c>
      <c r="T217" s="125" t="str">
        <f>IF(Ujian!T224="","",IF(LEFT(Ujian!T224,1)=SEKOR!T$2,1,0))</f>
        <v/>
      </c>
      <c r="U217" s="125" t="str">
        <f>IF(Ujian!U224="","",IF(LEFT(Ujian!U224,1)=SEKOR!U$2,1,0))</f>
        <v/>
      </c>
      <c r="V217" s="125" t="str">
        <f>IF(Ujian!V224="","",IF(LEFT(Ujian!V224,1)=SEKOR!V$2,1,0))</f>
        <v/>
      </c>
      <c r="W217" s="125" t="str">
        <f>IF(Ujian!W224="","",IF(LEFT(Ujian!W224,1)=SEKOR!W$2,1,0))</f>
        <v/>
      </c>
      <c r="X217" s="125" t="str">
        <f>IF(Ujian!X224="","",IF(LEFT(Ujian!X224,1)=SEKOR!X$2,1,0))</f>
        <v/>
      </c>
      <c r="Y217" s="125" t="str">
        <f>IF(Ujian!Y224="","",IF(LEFT(Ujian!Y224,1)=SEKOR!Y$2,1,0))</f>
        <v/>
      </c>
      <c r="Z217" s="125" t="str">
        <f>IF(Ujian!Z224="","",IF(LEFT(Ujian!Z224,1)=SEKOR!Z$2,1,0))</f>
        <v/>
      </c>
      <c r="AA217" s="125" t="str">
        <f>IF(Ujian!AA224="","",IF(LEFT(Ujian!AA224,1)=SEKOR!AA$2,1,0))</f>
        <v/>
      </c>
      <c r="AB217" s="125" t="str">
        <f>IF(Ujian!AB224="","",IF(LEFT(Ujian!AB224,1)=SEKOR!AB$2,1,0))</f>
        <v/>
      </c>
      <c r="AC217" s="125" t="str">
        <f>IF(Ujian!AC224="","",IF(LEFT(Ujian!AC224,1)=SEKOR!AC$2,1,0))</f>
        <v/>
      </c>
      <c r="AD217" s="125" t="str">
        <f>IF(Ujian!AD224="","",IF(LEFT(Ujian!AD224,1)=SEKOR!AD$2,1,0))</f>
        <v/>
      </c>
      <c r="AE217" s="125" t="str">
        <f>IF(Ujian!AE224="","",IF(LEFT(Ujian!AE224,1)=SEKOR!AE$2,1,0))</f>
        <v/>
      </c>
      <c r="AF217" s="125" t="str">
        <f>IF(Ujian!AF224="","",IF(LEFT(Ujian!AF224,1)=SEKOR!AF$2,1,0))</f>
        <v/>
      </c>
      <c r="AG217" s="125" t="str">
        <f>IF(Ujian!AG224="","",IF(LEFT(Ujian!AG224,1)=SEKOR!AG$2,1,0))</f>
        <v/>
      </c>
      <c r="AH217" s="125" t="str">
        <f>IF(Ujian!AH224="","",IF(LEFT(Ujian!AH224,1)=SEKOR!AH$2,1,0))</f>
        <v/>
      </c>
      <c r="AI217" s="125" t="str">
        <f>IF(Ujian!AI224="","",IF(LEFT(Ujian!AI224,1)=SEKOR!AI$2,1,0))</f>
        <v/>
      </c>
      <c r="AJ217" s="125" t="str">
        <f>IF(Ujian!AJ224="","",IF(LEFT(Ujian!AJ224,1)=SEKOR!AJ$2,1,0))</f>
        <v/>
      </c>
      <c r="AK217" s="125" t="str">
        <f>IF(Ujian!AK224="","",IF(LEFT(Ujian!AK224,1)=SEKOR!AK$2,1,0))</f>
        <v/>
      </c>
      <c r="AL217" s="125" t="str">
        <f>IF(Ujian!AL224="","",IF(LEFT(Ujian!AL224,1)=SEKOR!AL$2,1,0))</f>
        <v/>
      </c>
      <c r="AM217" s="125" t="str">
        <f>IF(Ujian!AM224="","",IF(LEFT(Ujian!AM224,1)=SEKOR!AM$2,1,0))</f>
        <v/>
      </c>
      <c r="AN217" s="125" t="str">
        <f>IF(Ujian!AN224="","",IF(LEFT(Ujian!AN224,1)=SEKOR!AN$2,1,0))</f>
        <v/>
      </c>
      <c r="AO217" s="125" t="str">
        <f>IF(Ujian!AO224="","",IF(LEFT(Ujian!AO224,1)=SEKOR!AO$2,1,0))</f>
        <v/>
      </c>
      <c r="AP217" s="125" t="str">
        <f>IF(Ujian!AP224="","",IF(LEFT(Ujian!AP224,1)=SEKOR!AP$2,1,0))</f>
        <v/>
      </c>
      <c r="AQ217" s="125" t="str">
        <f>IF(Ujian!AQ224="","",IF(LEFT(Ujian!AQ224,1)=SEKOR!AQ$2,1,0))</f>
        <v/>
      </c>
      <c r="AR217" s="125" t="str">
        <f>IF(Ujian!AR224="","",IF(LEFT(Ujian!AR224,1)=SEKOR!AR$2,1,0))</f>
        <v/>
      </c>
      <c r="AS217" s="125" t="str">
        <f>IF(Ujian!AS224="","",IF(LEFT(Ujian!AS224,1)=SEKOR!AS$2,1,0))</f>
        <v/>
      </c>
      <c r="AT217" s="125" t="str">
        <f>IF(Ujian!AT224="","",IF(LEFT(Ujian!AT224,1)=SEKOR!AT$2,1,0))</f>
        <v/>
      </c>
      <c r="AU217" s="125" t="str">
        <f>IF(Ujian!AU224="","",IF(LEFT(Ujian!AU224,1)=SEKOR!AU$2,1,0))</f>
        <v/>
      </c>
      <c r="AV217" s="125" t="str">
        <f>IF(Ujian!AV224="","",IF(LEFT(Ujian!AV224,1)=SEKOR!AV$2,1,0))</f>
        <v/>
      </c>
      <c r="AW217" s="125" t="str">
        <f>IF(Ujian!AW224="","",IF(LEFT(Ujian!AW224,1)=SEKOR!AW$2,1,0))</f>
        <v/>
      </c>
      <c r="AX217" s="125" t="str">
        <f>IF(Ujian!AX224="","",IF(LEFT(Ujian!AX224,1)=SEKOR!AX$2,1,0))</f>
        <v/>
      </c>
      <c r="AY217" s="125" t="str">
        <f>IF(Ujian!AY224="","",IF(LEFT(Ujian!AY224,1)=SEKOR!AY$2,1,0))</f>
        <v/>
      </c>
      <c r="AZ217" s="125" t="str">
        <f>IF(Ujian!AZ224="","",IF(LEFT(Ujian!AZ224,1)=SEKOR!AZ$2,1,0))</f>
        <v/>
      </c>
      <c r="BA217" s="125" t="str">
        <f>IF(Ujian!BA224="","",IF(LEFT(Ujian!BA224,1)=SEKOR!BA$2,1,0))</f>
        <v/>
      </c>
      <c r="BB217" s="125" t="str">
        <f>IF(Ujian!BB224="","",IF(LEFT(Ujian!BB224,1)=SEKOR!BB$2,1,0))</f>
        <v/>
      </c>
      <c r="BC217" s="125" t="str">
        <f>IF(Ujian!BC224="","",IF(LEFT(Ujian!BC224,1)=SEKOR!BC$2,1,0))</f>
        <v/>
      </c>
      <c r="BD217" s="125" t="str">
        <f>IF(Ujian!BD224="","",IF(LEFT(Ujian!BD224,1)=SEKOR!BD$2,1,0))</f>
        <v/>
      </c>
      <c r="BE217" s="125" t="str">
        <f>IF(Ujian!BE224="","",IF(LEFT(Ujian!BE224,1)=SEKOR!BE$2,1,0))</f>
        <v/>
      </c>
      <c r="BF217" s="125" t="str">
        <f>IF(Ujian!BF224="","",IF(LEFT(Ujian!BF224,1)=SEKOR!BF$2,1,0))</f>
        <v/>
      </c>
      <c r="BG217" s="125" t="str">
        <f>IF(Ujian!BG224="","",IF(LEFT(Ujian!BG224,1)=SEKOR!BG$2,1,0))</f>
        <v/>
      </c>
      <c r="BH217" s="125" t="str">
        <f>IF(Ujian!BH224="","",IF(LEFT(Ujian!BH224,1)=SEKOR!BH$2,1,0))</f>
        <v/>
      </c>
      <c r="BI217" s="125" t="str">
        <f>IF(Ujian!BI224="","",IF(LEFT(Ujian!BI224,1)=SEKOR!BI$2,1,0))</f>
        <v/>
      </c>
      <c r="BJ217" s="125" t="str">
        <f>IF(Ujian!BJ224="","",IF(LEFT(Ujian!BJ224,1)=SEKOR!BJ$2,1,0))</f>
        <v/>
      </c>
      <c r="BK217" s="125" t="str">
        <f>IF(Ujian!BK224="","",IF(LEFT(Ujian!BK224,1)=SEKOR!BK$2,1,0))</f>
        <v/>
      </c>
      <c r="BL217" s="18">
        <f t="shared" si="6"/>
        <v>0</v>
      </c>
      <c r="BM217" s="18">
        <f>COUNTIF($D217:$BK217,"")+DATA!$F$14-DATA!$F$12</f>
        <v>60</v>
      </c>
      <c r="BN217" s="17">
        <f>IF(COUNTIF($D217:$BK217,1)&gt;DATA!$F$14,DATA!$F$14,COUNTIF($D217:$BK217,1))</f>
        <v>0</v>
      </c>
      <c r="BO217" s="17">
        <f>IF((BN217+COUNTIF($D217:$BK217,0))&lt;=DATA!$F$14,COUNTIF($D217:$BK217,0),DATA!$F$14-SEKOR!BN217)</f>
        <v>0</v>
      </c>
      <c r="BP217" s="4" t="str">
        <f>IF(BL217=0,"",BN217/DATA!$F$14*100)</f>
        <v/>
      </c>
      <c r="BQ217" s="121" t="str">
        <f t="shared" si="7"/>
        <v/>
      </c>
      <c r="BR217" s="2" t="str">
        <f>IF(Praktik!$E217=0,"",Praktik!$E217)</f>
        <v/>
      </c>
      <c r="BS217" s="2" t="str">
        <f>IF(BR217="","",(BP217*DATAINFO!$O$4)+(SEKOR!BR217*DATAINFO!$O$5)/(DATAINFO!$O$4+DATAINFO!$O$5))</f>
        <v/>
      </c>
      <c r="BT217" s="2" t="str">
        <f>IF(BL217=0,"",IF(DATA!$F$18="TIDAK",ROUNDUP((IF!$L$8*SEKOR!$BP217)+IF!$L$9,0),IF($BR217="","",ROUNDUP((IF!$L$20*$BS217)+IF!$L$21,0))))</f>
        <v/>
      </c>
      <c r="BU217" s="47" t="str">
        <f>IF(BP217="","",IF(SEKOR!BP217&gt;=DATA!$J$12,1,0))</f>
        <v/>
      </c>
      <c r="BV217" s="47" t="str">
        <f>IF(BQ217="","",IF(SEKOR!BQ217&gt;=DATA!$J$12,1,0))</f>
        <v/>
      </c>
      <c r="BW217" s="47" t="str">
        <f>IF(BR217="","",IF(SEKOR!BR217&gt;=DATA!$J$12,1,0))</f>
        <v/>
      </c>
      <c r="BX217" s="47" t="str">
        <f>IF(BT217="","",IF(DATA!$J$14="",IF(SEKOR!BT217&gt;=DATA!$J$12,1,0),IF(SEKOR!BT217&gt;=DATA!$J$14,1,0)))</f>
        <v/>
      </c>
    </row>
    <row r="218" spans="1:76" x14ac:dyDescent="0.25">
      <c r="A218" s="20" t="s">
        <v>245</v>
      </c>
      <c r="B218" s="21" t="str">
        <f>IF(Ujian!B225="","",Ujian!B225)</f>
        <v/>
      </c>
      <c r="C218" s="57" t="str">
        <f>IF(Ujian!C225="","",Ujian!C225)</f>
        <v/>
      </c>
      <c r="D218" s="125" t="str">
        <f>IF(Ujian!D225="","",IF(LEFT(Ujian!D225,1)=SEKOR!D$2,1,0))</f>
        <v/>
      </c>
      <c r="E218" s="125" t="str">
        <f>IF(Ujian!E225="","",IF(LEFT(Ujian!E225,1)=SEKOR!E$2,1,0))</f>
        <v/>
      </c>
      <c r="F218" s="125" t="str">
        <f>IF(Ujian!F225="","",IF(LEFT(Ujian!F225,1)=SEKOR!F$2,1,0))</f>
        <v/>
      </c>
      <c r="G218" s="125" t="str">
        <f>IF(Ujian!G225="","",IF(LEFT(Ujian!G225,1)=SEKOR!G$2,1,0))</f>
        <v/>
      </c>
      <c r="H218" s="125" t="str">
        <f>IF(Ujian!H225="","",IF(LEFT(Ujian!H225,1)=SEKOR!H$2,1,0))</f>
        <v/>
      </c>
      <c r="I218" s="125" t="str">
        <f>IF(Ujian!I225="","",IF(LEFT(Ujian!I225,1)=SEKOR!I$2,1,0))</f>
        <v/>
      </c>
      <c r="J218" s="125" t="str">
        <f>IF(Ujian!J225="","",IF(LEFT(Ujian!J225,1)=SEKOR!J$2,1,0))</f>
        <v/>
      </c>
      <c r="K218" s="125" t="str">
        <f>IF(Ujian!K225="","",IF(LEFT(Ujian!K225,1)=SEKOR!K$2,1,0))</f>
        <v/>
      </c>
      <c r="L218" s="125" t="str">
        <f>IF(Ujian!L225="","",IF(LEFT(Ujian!L225,1)=SEKOR!L$2,1,0))</f>
        <v/>
      </c>
      <c r="M218" s="125" t="str">
        <f>IF(Ujian!M225="","",IF(LEFT(Ujian!M225,1)=SEKOR!M$2,1,0))</f>
        <v/>
      </c>
      <c r="N218" s="125" t="str">
        <f>IF(Ujian!N225="","",IF(LEFT(Ujian!N225,1)=SEKOR!N$2,1,0))</f>
        <v/>
      </c>
      <c r="O218" s="125" t="str">
        <f>IF(Ujian!O225="","",IF(LEFT(Ujian!O225,1)=SEKOR!O$2,1,0))</f>
        <v/>
      </c>
      <c r="P218" s="125" t="str">
        <f>IF(Ujian!P225="","",IF(LEFT(Ujian!P225,1)=SEKOR!P$2,1,0))</f>
        <v/>
      </c>
      <c r="Q218" s="125" t="str">
        <f>IF(Ujian!Q225="","",IF(LEFT(Ujian!Q225,1)=SEKOR!Q$2,1,0))</f>
        <v/>
      </c>
      <c r="R218" s="125" t="str">
        <f>IF(Ujian!R225="","",IF(LEFT(Ujian!R225,1)=SEKOR!R$2,1,0))</f>
        <v/>
      </c>
      <c r="S218" s="125" t="str">
        <f>IF(Ujian!S225="","",IF(LEFT(Ujian!S225,1)=SEKOR!S$2,1,0))</f>
        <v/>
      </c>
      <c r="T218" s="125" t="str">
        <f>IF(Ujian!T225="","",IF(LEFT(Ujian!T225,1)=SEKOR!T$2,1,0))</f>
        <v/>
      </c>
      <c r="U218" s="125" t="str">
        <f>IF(Ujian!U225="","",IF(LEFT(Ujian!U225,1)=SEKOR!U$2,1,0))</f>
        <v/>
      </c>
      <c r="V218" s="125" t="str">
        <f>IF(Ujian!V225="","",IF(LEFT(Ujian!V225,1)=SEKOR!V$2,1,0))</f>
        <v/>
      </c>
      <c r="W218" s="125" t="str">
        <f>IF(Ujian!W225="","",IF(LEFT(Ujian!W225,1)=SEKOR!W$2,1,0))</f>
        <v/>
      </c>
      <c r="X218" s="125" t="str">
        <f>IF(Ujian!X225="","",IF(LEFT(Ujian!X225,1)=SEKOR!X$2,1,0))</f>
        <v/>
      </c>
      <c r="Y218" s="125" t="str">
        <f>IF(Ujian!Y225="","",IF(LEFT(Ujian!Y225,1)=SEKOR!Y$2,1,0))</f>
        <v/>
      </c>
      <c r="Z218" s="125" t="str">
        <f>IF(Ujian!Z225="","",IF(LEFT(Ujian!Z225,1)=SEKOR!Z$2,1,0))</f>
        <v/>
      </c>
      <c r="AA218" s="125" t="str">
        <f>IF(Ujian!AA225="","",IF(LEFT(Ujian!AA225,1)=SEKOR!AA$2,1,0))</f>
        <v/>
      </c>
      <c r="AB218" s="125" t="str">
        <f>IF(Ujian!AB225="","",IF(LEFT(Ujian!AB225,1)=SEKOR!AB$2,1,0))</f>
        <v/>
      </c>
      <c r="AC218" s="125" t="str">
        <f>IF(Ujian!AC225="","",IF(LEFT(Ujian!AC225,1)=SEKOR!AC$2,1,0))</f>
        <v/>
      </c>
      <c r="AD218" s="125" t="str">
        <f>IF(Ujian!AD225="","",IF(LEFT(Ujian!AD225,1)=SEKOR!AD$2,1,0))</f>
        <v/>
      </c>
      <c r="AE218" s="125" t="str">
        <f>IF(Ujian!AE225="","",IF(LEFT(Ujian!AE225,1)=SEKOR!AE$2,1,0))</f>
        <v/>
      </c>
      <c r="AF218" s="125" t="str">
        <f>IF(Ujian!AF225="","",IF(LEFT(Ujian!AF225,1)=SEKOR!AF$2,1,0))</f>
        <v/>
      </c>
      <c r="AG218" s="125" t="str">
        <f>IF(Ujian!AG225="","",IF(LEFT(Ujian!AG225,1)=SEKOR!AG$2,1,0))</f>
        <v/>
      </c>
      <c r="AH218" s="125" t="str">
        <f>IF(Ujian!AH225="","",IF(LEFT(Ujian!AH225,1)=SEKOR!AH$2,1,0))</f>
        <v/>
      </c>
      <c r="AI218" s="125" t="str">
        <f>IF(Ujian!AI225="","",IF(LEFT(Ujian!AI225,1)=SEKOR!AI$2,1,0))</f>
        <v/>
      </c>
      <c r="AJ218" s="125" t="str">
        <f>IF(Ujian!AJ225="","",IF(LEFT(Ujian!AJ225,1)=SEKOR!AJ$2,1,0))</f>
        <v/>
      </c>
      <c r="AK218" s="125" t="str">
        <f>IF(Ujian!AK225="","",IF(LEFT(Ujian!AK225,1)=SEKOR!AK$2,1,0))</f>
        <v/>
      </c>
      <c r="AL218" s="125" t="str">
        <f>IF(Ujian!AL225="","",IF(LEFT(Ujian!AL225,1)=SEKOR!AL$2,1,0))</f>
        <v/>
      </c>
      <c r="AM218" s="125" t="str">
        <f>IF(Ujian!AM225="","",IF(LEFT(Ujian!AM225,1)=SEKOR!AM$2,1,0))</f>
        <v/>
      </c>
      <c r="AN218" s="125" t="str">
        <f>IF(Ujian!AN225="","",IF(LEFT(Ujian!AN225,1)=SEKOR!AN$2,1,0))</f>
        <v/>
      </c>
      <c r="AO218" s="125" t="str">
        <f>IF(Ujian!AO225="","",IF(LEFT(Ujian!AO225,1)=SEKOR!AO$2,1,0))</f>
        <v/>
      </c>
      <c r="AP218" s="125" t="str">
        <f>IF(Ujian!AP225="","",IF(LEFT(Ujian!AP225,1)=SEKOR!AP$2,1,0))</f>
        <v/>
      </c>
      <c r="AQ218" s="125" t="str">
        <f>IF(Ujian!AQ225="","",IF(LEFT(Ujian!AQ225,1)=SEKOR!AQ$2,1,0))</f>
        <v/>
      </c>
      <c r="AR218" s="125" t="str">
        <f>IF(Ujian!AR225="","",IF(LEFT(Ujian!AR225,1)=SEKOR!AR$2,1,0))</f>
        <v/>
      </c>
      <c r="AS218" s="125" t="str">
        <f>IF(Ujian!AS225="","",IF(LEFT(Ujian!AS225,1)=SEKOR!AS$2,1,0))</f>
        <v/>
      </c>
      <c r="AT218" s="125" t="str">
        <f>IF(Ujian!AT225="","",IF(LEFT(Ujian!AT225,1)=SEKOR!AT$2,1,0))</f>
        <v/>
      </c>
      <c r="AU218" s="125" t="str">
        <f>IF(Ujian!AU225="","",IF(LEFT(Ujian!AU225,1)=SEKOR!AU$2,1,0))</f>
        <v/>
      </c>
      <c r="AV218" s="125" t="str">
        <f>IF(Ujian!AV225="","",IF(LEFT(Ujian!AV225,1)=SEKOR!AV$2,1,0))</f>
        <v/>
      </c>
      <c r="AW218" s="125" t="str">
        <f>IF(Ujian!AW225="","",IF(LEFT(Ujian!AW225,1)=SEKOR!AW$2,1,0))</f>
        <v/>
      </c>
      <c r="AX218" s="125" t="str">
        <f>IF(Ujian!AX225="","",IF(LEFT(Ujian!AX225,1)=SEKOR!AX$2,1,0))</f>
        <v/>
      </c>
      <c r="AY218" s="125" t="str">
        <f>IF(Ujian!AY225="","",IF(LEFT(Ujian!AY225,1)=SEKOR!AY$2,1,0))</f>
        <v/>
      </c>
      <c r="AZ218" s="125" t="str">
        <f>IF(Ujian!AZ225="","",IF(LEFT(Ujian!AZ225,1)=SEKOR!AZ$2,1,0))</f>
        <v/>
      </c>
      <c r="BA218" s="125" t="str">
        <f>IF(Ujian!BA225="","",IF(LEFT(Ujian!BA225,1)=SEKOR!BA$2,1,0))</f>
        <v/>
      </c>
      <c r="BB218" s="125" t="str">
        <f>IF(Ujian!BB225="","",IF(LEFT(Ujian!BB225,1)=SEKOR!BB$2,1,0))</f>
        <v/>
      </c>
      <c r="BC218" s="125" t="str">
        <f>IF(Ujian!BC225="","",IF(LEFT(Ujian!BC225,1)=SEKOR!BC$2,1,0))</f>
        <v/>
      </c>
      <c r="BD218" s="125" t="str">
        <f>IF(Ujian!BD225="","",IF(LEFT(Ujian!BD225,1)=SEKOR!BD$2,1,0))</f>
        <v/>
      </c>
      <c r="BE218" s="125" t="str">
        <f>IF(Ujian!BE225="","",IF(LEFT(Ujian!BE225,1)=SEKOR!BE$2,1,0))</f>
        <v/>
      </c>
      <c r="BF218" s="125" t="str">
        <f>IF(Ujian!BF225="","",IF(LEFT(Ujian!BF225,1)=SEKOR!BF$2,1,0))</f>
        <v/>
      </c>
      <c r="BG218" s="125" t="str">
        <f>IF(Ujian!BG225="","",IF(LEFT(Ujian!BG225,1)=SEKOR!BG$2,1,0))</f>
        <v/>
      </c>
      <c r="BH218" s="125" t="str">
        <f>IF(Ujian!BH225="","",IF(LEFT(Ujian!BH225,1)=SEKOR!BH$2,1,0))</f>
        <v/>
      </c>
      <c r="BI218" s="125" t="str">
        <f>IF(Ujian!BI225="","",IF(LEFT(Ujian!BI225,1)=SEKOR!BI$2,1,0))</f>
        <v/>
      </c>
      <c r="BJ218" s="125" t="str">
        <f>IF(Ujian!BJ225="","",IF(LEFT(Ujian!BJ225,1)=SEKOR!BJ$2,1,0))</f>
        <v/>
      </c>
      <c r="BK218" s="125" t="str">
        <f>IF(Ujian!BK225="","",IF(LEFT(Ujian!BK225,1)=SEKOR!BK$2,1,0))</f>
        <v/>
      </c>
      <c r="BL218" s="18">
        <f t="shared" si="6"/>
        <v>0</v>
      </c>
      <c r="BM218" s="18">
        <f>COUNTIF($D218:$BK218,"")+DATA!$F$14-DATA!$F$12</f>
        <v>60</v>
      </c>
      <c r="BN218" s="17">
        <f>IF(COUNTIF($D218:$BK218,1)&gt;DATA!$F$14,DATA!$F$14,COUNTIF($D218:$BK218,1))</f>
        <v>0</v>
      </c>
      <c r="BO218" s="17">
        <f>IF((BN218+COUNTIF($D218:$BK218,0))&lt;=DATA!$F$14,COUNTIF($D218:$BK218,0),DATA!$F$14-SEKOR!BN218)</f>
        <v>0</v>
      </c>
      <c r="BP218" s="4" t="str">
        <f>IF(BL218=0,"",BN218/DATA!$F$14*100)</f>
        <v/>
      </c>
      <c r="BQ218" s="121" t="str">
        <f t="shared" si="7"/>
        <v/>
      </c>
      <c r="BR218" s="2" t="str">
        <f>IF(Praktik!$E218=0,"",Praktik!$E218)</f>
        <v/>
      </c>
      <c r="BS218" s="2" t="str">
        <f>IF(BR218="","",(BP218*DATAINFO!$O$4)+(SEKOR!BR218*DATAINFO!$O$5)/(DATAINFO!$O$4+DATAINFO!$O$5))</f>
        <v/>
      </c>
      <c r="BT218" s="2" t="str">
        <f>IF(BL218=0,"",IF(DATA!$F$18="TIDAK",ROUNDUP((IF!$L$8*SEKOR!$BP218)+IF!$L$9,0),IF($BR218="","",ROUNDUP((IF!$L$20*$BS218)+IF!$L$21,0))))</f>
        <v/>
      </c>
      <c r="BU218" s="47" t="str">
        <f>IF(BP218="","",IF(SEKOR!BP218&gt;=DATA!$J$12,1,0))</f>
        <v/>
      </c>
      <c r="BV218" s="47" t="str">
        <f>IF(BQ218="","",IF(SEKOR!BQ218&gt;=DATA!$J$12,1,0))</f>
        <v/>
      </c>
      <c r="BW218" s="47" t="str">
        <f>IF(BR218="","",IF(SEKOR!BR218&gt;=DATA!$J$12,1,0))</f>
        <v/>
      </c>
      <c r="BX218" s="47" t="str">
        <f>IF(BT218="","",IF(DATA!$J$14="",IF(SEKOR!BT218&gt;=DATA!$J$12,1,0),IF(SEKOR!BT218&gt;=DATA!$J$14,1,0)))</f>
        <v/>
      </c>
    </row>
    <row r="219" spans="1:76" x14ac:dyDescent="0.25">
      <c r="A219" s="20" t="s">
        <v>246</v>
      </c>
      <c r="B219" s="21" t="str">
        <f>IF(Ujian!B226="","",Ujian!B226)</f>
        <v/>
      </c>
      <c r="C219" s="57" t="str">
        <f>IF(Ujian!C226="","",Ujian!C226)</f>
        <v/>
      </c>
      <c r="D219" s="125" t="str">
        <f>IF(Ujian!D226="","",IF(LEFT(Ujian!D226,1)=SEKOR!D$2,1,0))</f>
        <v/>
      </c>
      <c r="E219" s="125" t="str">
        <f>IF(Ujian!E226="","",IF(LEFT(Ujian!E226,1)=SEKOR!E$2,1,0))</f>
        <v/>
      </c>
      <c r="F219" s="125" t="str">
        <f>IF(Ujian!F226="","",IF(LEFT(Ujian!F226,1)=SEKOR!F$2,1,0))</f>
        <v/>
      </c>
      <c r="G219" s="125" t="str">
        <f>IF(Ujian!G226="","",IF(LEFT(Ujian!G226,1)=SEKOR!G$2,1,0))</f>
        <v/>
      </c>
      <c r="H219" s="125" t="str">
        <f>IF(Ujian!H226="","",IF(LEFT(Ujian!H226,1)=SEKOR!H$2,1,0))</f>
        <v/>
      </c>
      <c r="I219" s="125" t="str">
        <f>IF(Ujian!I226="","",IF(LEFT(Ujian!I226,1)=SEKOR!I$2,1,0))</f>
        <v/>
      </c>
      <c r="J219" s="125" t="str">
        <f>IF(Ujian!J226="","",IF(LEFT(Ujian!J226,1)=SEKOR!J$2,1,0))</f>
        <v/>
      </c>
      <c r="K219" s="125" t="str">
        <f>IF(Ujian!K226="","",IF(LEFT(Ujian!K226,1)=SEKOR!K$2,1,0))</f>
        <v/>
      </c>
      <c r="L219" s="125" t="str">
        <f>IF(Ujian!L226="","",IF(LEFT(Ujian!L226,1)=SEKOR!L$2,1,0))</f>
        <v/>
      </c>
      <c r="M219" s="125" t="str">
        <f>IF(Ujian!M226="","",IF(LEFT(Ujian!M226,1)=SEKOR!M$2,1,0))</f>
        <v/>
      </c>
      <c r="N219" s="125" t="str">
        <f>IF(Ujian!N226="","",IF(LEFT(Ujian!N226,1)=SEKOR!N$2,1,0))</f>
        <v/>
      </c>
      <c r="O219" s="125" t="str">
        <f>IF(Ujian!O226="","",IF(LEFT(Ujian!O226,1)=SEKOR!O$2,1,0))</f>
        <v/>
      </c>
      <c r="P219" s="125" t="str">
        <f>IF(Ujian!P226="","",IF(LEFT(Ujian!P226,1)=SEKOR!P$2,1,0))</f>
        <v/>
      </c>
      <c r="Q219" s="125" t="str">
        <f>IF(Ujian!Q226="","",IF(LEFT(Ujian!Q226,1)=SEKOR!Q$2,1,0))</f>
        <v/>
      </c>
      <c r="R219" s="125" t="str">
        <f>IF(Ujian!R226="","",IF(LEFT(Ujian!R226,1)=SEKOR!R$2,1,0))</f>
        <v/>
      </c>
      <c r="S219" s="125" t="str">
        <f>IF(Ujian!S226="","",IF(LEFT(Ujian!S226,1)=SEKOR!S$2,1,0))</f>
        <v/>
      </c>
      <c r="T219" s="125" t="str">
        <f>IF(Ujian!T226="","",IF(LEFT(Ujian!T226,1)=SEKOR!T$2,1,0))</f>
        <v/>
      </c>
      <c r="U219" s="125" t="str">
        <f>IF(Ujian!U226="","",IF(LEFT(Ujian!U226,1)=SEKOR!U$2,1,0))</f>
        <v/>
      </c>
      <c r="V219" s="125" t="str">
        <f>IF(Ujian!V226="","",IF(LEFT(Ujian!V226,1)=SEKOR!V$2,1,0))</f>
        <v/>
      </c>
      <c r="W219" s="125" t="str">
        <f>IF(Ujian!W226="","",IF(LEFT(Ujian!W226,1)=SEKOR!W$2,1,0))</f>
        <v/>
      </c>
      <c r="X219" s="125" t="str">
        <f>IF(Ujian!X226="","",IF(LEFT(Ujian!X226,1)=SEKOR!X$2,1,0))</f>
        <v/>
      </c>
      <c r="Y219" s="125" t="str">
        <f>IF(Ujian!Y226="","",IF(LEFT(Ujian!Y226,1)=SEKOR!Y$2,1,0))</f>
        <v/>
      </c>
      <c r="Z219" s="125" t="str">
        <f>IF(Ujian!Z226="","",IF(LEFT(Ujian!Z226,1)=SEKOR!Z$2,1,0))</f>
        <v/>
      </c>
      <c r="AA219" s="125" t="str">
        <f>IF(Ujian!AA226="","",IF(LEFT(Ujian!AA226,1)=SEKOR!AA$2,1,0))</f>
        <v/>
      </c>
      <c r="AB219" s="125" t="str">
        <f>IF(Ujian!AB226="","",IF(LEFT(Ujian!AB226,1)=SEKOR!AB$2,1,0))</f>
        <v/>
      </c>
      <c r="AC219" s="125" t="str">
        <f>IF(Ujian!AC226="","",IF(LEFT(Ujian!AC226,1)=SEKOR!AC$2,1,0))</f>
        <v/>
      </c>
      <c r="AD219" s="125" t="str">
        <f>IF(Ujian!AD226="","",IF(LEFT(Ujian!AD226,1)=SEKOR!AD$2,1,0))</f>
        <v/>
      </c>
      <c r="AE219" s="125" t="str">
        <f>IF(Ujian!AE226="","",IF(LEFT(Ujian!AE226,1)=SEKOR!AE$2,1,0))</f>
        <v/>
      </c>
      <c r="AF219" s="125" t="str">
        <f>IF(Ujian!AF226="","",IF(LEFT(Ujian!AF226,1)=SEKOR!AF$2,1,0))</f>
        <v/>
      </c>
      <c r="AG219" s="125" t="str">
        <f>IF(Ujian!AG226="","",IF(LEFT(Ujian!AG226,1)=SEKOR!AG$2,1,0))</f>
        <v/>
      </c>
      <c r="AH219" s="125" t="str">
        <f>IF(Ujian!AH226="","",IF(LEFT(Ujian!AH226,1)=SEKOR!AH$2,1,0))</f>
        <v/>
      </c>
      <c r="AI219" s="125" t="str">
        <f>IF(Ujian!AI226="","",IF(LEFT(Ujian!AI226,1)=SEKOR!AI$2,1,0))</f>
        <v/>
      </c>
      <c r="AJ219" s="125" t="str">
        <f>IF(Ujian!AJ226="","",IF(LEFT(Ujian!AJ226,1)=SEKOR!AJ$2,1,0))</f>
        <v/>
      </c>
      <c r="AK219" s="125" t="str">
        <f>IF(Ujian!AK226="","",IF(LEFT(Ujian!AK226,1)=SEKOR!AK$2,1,0))</f>
        <v/>
      </c>
      <c r="AL219" s="125" t="str">
        <f>IF(Ujian!AL226="","",IF(LEFT(Ujian!AL226,1)=SEKOR!AL$2,1,0))</f>
        <v/>
      </c>
      <c r="AM219" s="125" t="str">
        <f>IF(Ujian!AM226="","",IF(LEFT(Ujian!AM226,1)=SEKOR!AM$2,1,0))</f>
        <v/>
      </c>
      <c r="AN219" s="125" t="str">
        <f>IF(Ujian!AN226="","",IF(LEFT(Ujian!AN226,1)=SEKOR!AN$2,1,0))</f>
        <v/>
      </c>
      <c r="AO219" s="125" t="str">
        <f>IF(Ujian!AO226="","",IF(LEFT(Ujian!AO226,1)=SEKOR!AO$2,1,0))</f>
        <v/>
      </c>
      <c r="AP219" s="125" t="str">
        <f>IF(Ujian!AP226="","",IF(LEFT(Ujian!AP226,1)=SEKOR!AP$2,1,0))</f>
        <v/>
      </c>
      <c r="AQ219" s="125" t="str">
        <f>IF(Ujian!AQ226="","",IF(LEFT(Ujian!AQ226,1)=SEKOR!AQ$2,1,0))</f>
        <v/>
      </c>
      <c r="AR219" s="125" t="str">
        <f>IF(Ujian!AR226="","",IF(LEFT(Ujian!AR226,1)=SEKOR!AR$2,1,0))</f>
        <v/>
      </c>
      <c r="AS219" s="125" t="str">
        <f>IF(Ujian!AS226="","",IF(LEFT(Ujian!AS226,1)=SEKOR!AS$2,1,0))</f>
        <v/>
      </c>
      <c r="AT219" s="125" t="str">
        <f>IF(Ujian!AT226="","",IF(LEFT(Ujian!AT226,1)=SEKOR!AT$2,1,0))</f>
        <v/>
      </c>
      <c r="AU219" s="125" t="str">
        <f>IF(Ujian!AU226="","",IF(LEFT(Ujian!AU226,1)=SEKOR!AU$2,1,0))</f>
        <v/>
      </c>
      <c r="AV219" s="125" t="str">
        <f>IF(Ujian!AV226="","",IF(LEFT(Ujian!AV226,1)=SEKOR!AV$2,1,0))</f>
        <v/>
      </c>
      <c r="AW219" s="125" t="str">
        <f>IF(Ujian!AW226="","",IF(LEFT(Ujian!AW226,1)=SEKOR!AW$2,1,0))</f>
        <v/>
      </c>
      <c r="AX219" s="125" t="str">
        <f>IF(Ujian!AX226="","",IF(LEFT(Ujian!AX226,1)=SEKOR!AX$2,1,0))</f>
        <v/>
      </c>
      <c r="AY219" s="125" t="str">
        <f>IF(Ujian!AY226="","",IF(LEFT(Ujian!AY226,1)=SEKOR!AY$2,1,0))</f>
        <v/>
      </c>
      <c r="AZ219" s="125" t="str">
        <f>IF(Ujian!AZ226="","",IF(LEFT(Ujian!AZ226,1)=SEKOR!AZ$2,1,0))</f>
        <v/>
      </c>
      <c r="BA219" s="125" t="str">
        <f>IF(Ujian!BA226="","",IF(LEFT(Ujian!BA226,1)=SEKOR!BA$2,1,0))</f>
        <v/>
      </c>
      <c r="BB219" s="125" t="str">
        <f>IF(Ujian!BB226="","",IF(LEFT(Ujian!BB226,1)=SEKOR!BB$2,1,0))</f>
        <v/>
      </c>
      <c r="BC219" s="125" t="str">
        <f>IF(Ujian!BC226="","",IF(LEFT(Ujian!BC226,1)=SEKOR!BC$2,1,0))</f>
        <v/>
      </c>
      <c r="BD219" s="125" t="str">
        <f>IF(Ujian!BD226="","",IF(LEFT(Ujian!BD226,1)=SEKOR!BD$2,1,0))</f>
        <v/>
      </c>
      <c r="BE219" s="125" t="str">
        <f>IF(Ujian!BE226="","",IF(LEFT(Ujian!BE226,1)=SEKOR!BE$2,1,0))</f>
        <v/>
      </c>
      <c r="BF219" s="125" t="str">
        <f>IF(Ujian!BF226="","",IF(LEFT(Ujian!BF226,1)=SEKOR!BF$2,1,0))</f>
        <v/>
      </c>
      <c r="BG219" s="125" t="str">
        <f>IF(Ujian!BG226="","",IF(LEFT(Ujian!BG226,1)=SEKOR!BG$2,1,0))</f>
        <v/>
      </c>
      <c r="BH219" s="125" t="str">
        <f>IF(Ujian!BH226="","",IF(LEFT(Ujian!BH226,1)=SEKOR!BH$2,1,0))</f>
        <v/>
      </c>
      <c r="BI219" s="125" t="str">
        <f>IF(Ujian!BI226="","",IF(LEFT(Ujian!BI226,1)=SEKOR!BI$2,1,0))</f>
        <v/>
      </c>
      <c r="BJ219" s="125" t="str">
        <f>IF(Ujian!BJ226="","",IF(LEFT(Ujian!BJ226,1)=SEKOR!BJ$2,1,0))</f>
        <v/>
      </c>
      <c r="BK219" s="125" t="str">
        <f>IF(Ujian!BK226="","",IF(LEFT(Ujian!BK226,1)=SEKOR!BK$2,1,0))</f>
        <v/>
      </c>
      <c r="BL219" s="18">
        <f t="shared" si="6"/>
        <v>0</v>
      </c>
      <c r="BM219" s="18">
        <f>COUNTIF($D219:$BK219,"")+DATA!$F$14-DATA!$F$12</f>
        <v>60</v>
      </c>
      <c r="BN219" s="17">
        <f>IF(COUNTIF($D219:$BK219,1)&gt;DATA!$F$14,DATA!$F$14,COUNTIF($D219:$BK219,1))</f>
        <v>0</v>
      </c>
      <c r="BO219" s="17">
        <f>IF((BN219+COUNTIF($D219:$BK219,0))&lt;=DATA!$F$14,COUNTIF($D219:$BK219,0),DATA!$F$14-SEKOR!BN219)</f>
        <v>0</v>
      </c>
      <c r="BP219" s="4" t="str">
        <f>IF(BL219=0,"",BN219/DATA!$F$14*100)</f>
        <v/>
      </c>
      <c r="BQ219" s="121" t="str">
        <f t="shared" si="7"/>
        <v/>
      </c>
      <c r="BR219" s="2" t="str">
        <f>IF(Praktik!$E219=0,"",Praktik!$E219)</f>
        <v/>
      </c>
      <c r="BS219" s="2" t="str">
        <f>IF(BR219="","",(BP219*DATAINFO!$O$4)+(SEKOR!BR219*DATAINFO!$O$5)/(DATAINFO!$O$4+DATAINFO!$O$5))</f>
        <v/>
      </c>
      <c r="BT219" s="2" t="str">
        <f>IF(BL219=0,"",IF(DATA!$F$18="TIDAK",ROUNDUP((IF!$L$8*SEKOR!$BP219)+IF!$L$9,0),IF($BR219="","",ROUNDUP((IF!$L$20*$BS219)+IF!$L$21,0))))</f>
        <v/>
      </c>
      <c r="BU219" s="47" t="str">
        <f>IF(BP219="","",IF(SEKOR!BP219&gt;=DATA!$J$12,1,0))</f>
        <v/>
      </c>
      <c r="BV219" s="47" t="str">
        <f>IF(BQ219="","",IF(SEKOR!BQ219&gt;=DATA!$J$12,1,0))</f>
        <v/>
      </c>
      <c r="BW219" s="47" t="str">
        <f>IF(BR219="","",IF(SEKOR!BR219&gt;=DATA!$J$12,1,0))</f>
        <v/>
      </c>
      <c r="BX219" s="47" t="str">
        <f>IF(BT219="","",IF(DATA!$J$14="",IF(SEKOR!BT219&gt;=DATA!$J$12,1,0),IF(SEKOR!BT219&gt;=DATA!$J$14,1,0)))</f>
        <v/>
      </c>
    </row>
    <row r="220" spans="1:76" x14ac:dyDescent="0.25">
      <c r="A220" s="20" t="s">
        <v>247</v>
      </c>
      <c r="B220" s="21" t="str">
        <f>IF(Ujian!B227="","",Ujian!B227)</f>
        <v/>
      </c>
      <c r="C220" s="57" t="str">
        <f>IF(Ujian!C227="","",Ujian!C227)</f>
        <v/>
      </c>
      <c r="D220" s="125" t="str">
        <f>IF(Ujian!D227="","",IF(LEFT(Ujian!D227,1)=SEKOR!D$2,1,0))</f>
        <v/>
      </c>
      <c r="E220" s="125" t="str">
        <f>IF(Ujian!E227="","",IF(LEFT(Ujian!E227,1)=SEKOR!E$2,1,0))</f>
        <v/>
      </c>
      <c r="F220" s="125" t="str">
        <f>IF(Ujian!F227="","",IF(LEFT(Ujian!F227,1)=SEKOR!F$2,1,0))</f>
        <v/>
      </c>
      <c r="G220" s="125" t="str">
        <f>IF(Ujian!G227="","",IF(LEFT(Ujian!G227,1)=SEKOR!G$2,1,0))</f>
        <v/>
      </c>
      <c r="H220" s="125" t="str">
        <f>IF(Ujian!H227="","",IF(LEFT(Ujian!H227,1)=SEKOR!H$2,1,0))</f>
        <v/>
      </c>
      <c r="I220" s="125" t="str">
        <f>IF(Ujian!I227="","",IF(LEFT(Ujian!I227,1)=SEKOR!I$2,1,0))</f>
        <v/>
      </c>
      <c r="J220" s="125" t="str">
        <f>IF(Ujian!J227="","",IF(LEFT(Ujian!J227,1)=SEKOR!J$2,1,0))</f>
        <v/>
      </c>
      <c r="K220" s="125" t="str">
        <f>IF(Ujian!K227="","",IF(LEFT(Ujian!K227,1)=SEKOR!K$2,1,0))</f>
        <v/>
      </c>
      <c r="L220" s="125" t="str">
        <f>IF(Ujian!L227="","",IF(LEFT(Ujian!L227,1)=SEKOR!L$2,1,0))</f>
        <v/>
      </c>
      <c r="M220" s="125" t="str">
        <f>IF(Ujian!M227="","",IF(LEFT(Ujian!M227,1)=SEKOR!M$2,1,0))</f>
        <v/>
      </c>
      <c r="N220" s="125" t="str">
        <f>IF(Ujian!N227="","",IF(LEFT(Ujian!N227,1)=SEKOR!N$2,1,0))</f>
        <v/>
      </c>
      <c r="O220" s="125" t="str">
        <f>IF(Ujian!O227="","",IF(LEFT(Ujian!O227,1)=SEKOR!O$2,1,0))</f>
        <v/>
      </c>
      <c r="P220" s="125" t="str">
        <f>IF(Ujian!P227="","",IF(LEFT(Ujian!P227,1)=SEKOR!P$2,1,0))</f>
        <v/>
      </c>
      <c r="Q220" s="125" t="str">
        <f>IF(Ujian!Q227="","",IF(LEFT(Ujian!Q227,1)=SEKOR!Q$2,1,0))</f>
        <v/>
      </c>
      <c r="R220" s="125" t="str">
        <f>IF(Ujian!R227="","",IF(LEFT(Ujian!R227,1)=SEKOR!R$2,1,0))</f>
        <v/>
      </c>
      <c r="S220" s="125" t="str">
        <f>IF(Ujian!S227="","",IF(LEFT(Ujian!S227,1)=SEKOR!S$2,1,0))</f>
        <v/>
      </c>
      <c r="T220" s="125" t="str">
        <f>IF(Ujian!T227="","",IF(LEFT(Ujian!T227,1)=SEKOR!T$2,1,0))</f>
        <v/>
      </c>
      <c r="U220" s="125" t="str">
        <f>IF(Ujian!U227="","",IF(LEFT(Ujian!U227,1)=SEKOR!U$2,1,0))</f>
        <v/>
      </c>
      <c r="V220" s="125" t="str">
        <f>IF(Ujian!V227="","",IF(LEFT(Ujian!V227,1)=SEKOR!V$2,1,0))</f>
        <v/>
      </c>
      <c r="W220" s="125" t="str">
        <f>IF(Ujian!W227="","",IF(LEFT(Ujian!W227,1)=SEKOR!W$2,1,0))</f>
        <v/>
      </c>
      <c r="X220" s="125" t="str">
        <f>IF(Ujian!X227="","",IF(LEFT(Ujian!X227,1)=SEKOR!X$2,1,0))</f>
        <v/>
      </c>
      <c r="Y220" s="125" t="str">
        <f>IF(Ujian!Y227="","",IF(LEFT(Ujian!Y227,1)=SEKOR!Y$2,1,0))</f>
        <v/>
      </c>
      <c r="Z220" s="125" t="str">
        <f>IF(Ujian!Z227="","",IF(LEFT(Ujian!Z227,1)=SEKOR!Z$2,1,0))</f>
        <v/>
      </c>
      <c r="AA220" s="125" t="str">
        <f>IF(Ujian!AA227="","",IF(LEFT(Ujian!AA227,1)=SEKOR!AA$2,1,0))</f>
        <v/>
      </c>
      <c r="AB220" s="125" t="str">
        <f>IF(Ujian!AB227="","",IF(LEFT(Ujian!AB227,1)=SEKOR!AB$2,1,0))</f>
        <v/>
      </c>
      <c r="AC220" s="125" t="str">
        <f>IF(Ujian!AC227="","",IF(LEFT(Ujian!AC227,1)=SEKOR!AC$2,1,0))</f>
        <v/>
      </c>
      <c r="AD220" s="125" t="str">
        <f>IF(Ujian!AD227="","",IF(LEFT(Ujian!AD227,1)=SEKOR!AD$2,1,0))</f>
        <v/>
      </c>
      <c r="AE220" s="125" t="str">
        <f>IF(Ujian!AE227="","",IF(LEFT(Ujian!AE227,1)=SEKOR!AE$2,1,0))</f>
        <v/>
      </c>
      <c r="AF220" s="125" t="str">
        <f>IF(Ujian!AF227="","",IF(LEFT(Ujian!AF227,1)=SEKOR!AF$2,1,0))</f>
        <v/>
      </c>
      <c r="AG220" s="125" t="str">
        <f>IF(Ujian!AG227="","",IF(LEFT(Ujian!AG227,1)=SEKOR!AG$2,1,0))</f>
        <v/>
      </c>
      <c r="AH220" s="125" t="str">
        <f>IF(Ujian!AH227="","",IF(LEFT(Ujian!AH227,1)=SEKOR!AH$2,1,0))</f>
        <v/>
      </c>
      <c r="AI220" s="125" t="str">
        <f>IF(Ujian!AI227="","",IF(LEFT(Ujian!AI227,1)=SEKOR!AI$2,1,0))</f>
        <v/>
      </c>
      <c r="AJ220" s="125" t="str">
        <f>IF(Ujian!AJ227="","",IF(LEFT(Ujian!AJ227,1)=SEKOR!AJ$2,1,0))</f>
        <v/>
      </c>
      <c r="AK220" s="125" t="str">
        <f>IF(Ujian!AK227="","",IF(LEFT(Ujian!AK227,1)=SEKOR!AK$2,1,0))</f>
        <v/>
      </c>
      <c r="AL220" s="125" t="str">
        <f>IF(Ujian!AL227="","",IF(LEFT(Ujian!AL227,1)=SEKOR!AL$2,1,0))</f>
        <v/>
      </c>
      <c r="AM220" s="125" t="str">
        <f>IF(Ujian!AM227="","",IF(LEFT(Ujian!AM227,1)=SEKOR!AM$2,1,0))</f>
        <v/>
      </c>
      <c r="AN220" s="125" t="str">
        <f>IF(Ujian!AN227="","",IF(LEFT(Ujian!AN227,1)=SEKOR!AN$2,1,0))</f>
        <v/>
      </c>
      <c r="AO220" s="125" t="str">
        <f>IF(Ujian!AO227="","",IF(LEFT(Ujian!AO227,1)=SEKOR!AO$2,1,0))</f>
        <v/>
      </c>
      <c r="AP220" s="125" t="str">
        <f>IF(Ujian!AP227="","",IF(LEFT(Ujian!AP227,1)=SEKOR!AP$2,1,0))</f>
        <v/>
      </c>
      <c r="AQ220" s="125" t="str">
        <f>IF(Ujian!AQ227="","",IF(LEFT(Ujian!AQ227,1)=SEKOR!AQ$2,1,0))</f>
        <v/>
      </c>
      <c r="AR220" s="125" t="str">
        <f>IF(Ujian!AR227="","",IF(LEFT(Ujian!AR227,1)=SEKOR!AR$2,1,0))</f>
        <v/>
      </c>
      <c r="AS220" s="125" t="str">
        <f>IF(Ujian!AS227="","",IF(LEFT(Ujian!AS227,1)=SEKOR!AS$2,1,0))</f>
        <v/>
      </c>
      <c r="AT220" s="125" t="str">
        <f>IF(Ujian!AT227="","",IF(LEFT(Ujian!AT227,1)=SEKOR!AT$2,1,0))</f>
        <v/>
      </c>
      <c r="AU220" s="125" t="str">
        <f>IF(Ujian!AU227="","",IF(LEFT(Ujian!AU227,1)=SEKOR!AU$2,1,0))</f>
        <v/>
      </c>
      <c r="AV220" s="125" t="str">
        <f>IF(Ujian!AV227="","",IF(LEFT(Ujian!AV227,1)=SEKOR!AV$2,1,0))</f>
        <v/>
      </c>
      <c r="AW220" s="125" t="str">
        <f>IF(Ujian!AW227="","",IF(LEFT(Ujian!AW227,1)=SEKOR!AW$2,1,0))</f>
        <v/>
      </c>
      <c r="AX220" s="125" t="str">
        <f>IF(Ujian!AX227="","",IF(LEFT(Ujian!AX227,1)=SEKOR!AX$2,1,0))</f>
        <v/>
      </c>
      <c r="AY220" s="125" t="str">
        <f>IF(Ujian!AY227="","",IF(LEFT(Ujian!AY227,1)=SEKOR!AY$2,1,0))</f>
        <v/>
      </c>
      <c r="AZ220" s="125" t="str">
        <f>IF(Ujian!AZ227="","",IF(LEFT(Ujian!AZ227,1)=SEKOR!AZ$2,1,0))</f>
        <v/>
      </c>
      <c r="BA220" s="125" t="str">
        <f>IF(Ujian!BA227="","",IF(LEFT(Ujian!BA227,1)=SEKOR!BA$2,1,0))</f>
        <v/>
      </c>
      <c r="BB220" s="125" t="str">
        <f>IF(Ujian!BB227="","",IF(LEFT(Ujian!BB227,1)=SEKOR!BB$2,1,0))</f>
        <v/>
      </c>
      <c r="BC220" s="125" t="str">
        <f>IF(Ujian!BC227="","",IF(LEFT(Ujian!BC227,1)=SEKOR!BC$2,1,0))</f>
        <v/>
      </c>
      <c r="BD220" s="125" t="str">
        <f>IF(Ujian!BD227="","",IF(LEFT(Ujian!BD227,1)=SEKOR!BD$2,1,0))</f>
        <v/>
      </c>
      <c r="BE220" s="125" t="str">
        <f>IF(Ujian!BE227="","",IF(LEFT(Ujian!BE227,1)=SEKOR!BE$2,1,0))</f>
        <v/>
      </c>
      <c r="BF220" s="125" t="str">
        <f>IF(Ujian!BF227="","",IF(LEFT(Ujian!BF227,1)=SEKOR!BF$2,1,0))</f>
        <v/>
      </c>
      <c r="BG220" s="125" t="str">
        <f>IF(Ujian!BG227="","",IF(LEFT(Ujian!BG227,1)=SEKOR!BG$2,1,0))</f>
        <v/>
      </c>
      <c r="BH220" s="125" t="str">
        <f>IF(Ujian!BH227="","",IF(LEFT(Ujian!BH227,1)=SEKOR!BH$2,1,0))</f>
        <v/>
      </c>
      <c r="BI220" s="125" t="str">
        <f>IF(Ujian!BI227="","",IF(LEFT(Ujian!BI227,1)=SEKOR!BI$2,1,0))</f>
        <v/>
      </c>
      <c r="BJ220" s="125" t="str">
        <f>IF(Ujian!BJ227="","",IF(LEFT(Ujian!BJ227,1)=SEKOR!BJ$2,1,0))</f>
        <v/>
      </c>
      <c r="BK220" s="125" t="str">
        <f>IF(Ujian!BK227="","",IF(LEFT(Ujian!BK227,1)=SEKOR!BK$2,1,0))</f>
        <v/>
      </c>
      <c r="BL220" s="18">
        <f t="shared" si="6"/>
        <v>0</v>
      </c>
      <c r="BM220" s="18">
        <f>COUNTIF($D220:$BK220,"")+DATA!$F$14-DATA!$F$12</f>
        <v>60</v>
      </c>
      <c r="BN220" s="17">
        <f>IF(COUNTIF($D220:$BK220,1)&gt;DATA!$F$14,DATA!$F$14,COUNTIF($D220:$BK220,1))</f>
        <v>0</v>
      </c>
      <c r="BO220" s="17">
        <f>IF((BN220+COUNTIF($D220:$BK220,0))&lt;=DATA!$F$14,COUNTIF($D220:$BK220,0),DATA!$F$14-SEKOR!BN220)</f>
        <v>0</v>
      </c>
      <c r="BP220" s="4" t="str">
        <f>IF(BL220=0,"",BN220/DATA!$F$14*100)</f>
        <v/>
      </c>
      <c r="BQ220" s="121" t="str">
        <f t="shared" si="7"/>
        <v/>
      </c>
      <c r="BR220" s="2" t="str">
        <f>IF(Praktik!$E220=0,"",Praktik!$E220)</f>
        <v/>
      </c>
      <c r="BS220" s="2" t="str">
        <f>IF(BR220="","",(BP220*DATAINFO!$O$4)+(SEKOR!BR220*DATAINFO!$O$5)/(DATAINFO!$O$4+DATAINFO!$O$5))</f>
        <v/>
      </c>
      <c r="BT220" s="2" t="str">
        <f>IF(BL220=0,"",IF(DATA!$F$18="TIDAK",ROUNDUP((IF!$L$8*SEKOR!$BP220)+IF!$L$9,0),IF($BR220="","",ROUNDUP((IF!$L$20*$BS220)+IF!$L$21,0))))</f>
        <v/>
      </c>
      <c r="BU220" s="47" t="str">
        <f>IF(BP220="","",IF(SEKOR!BP220&gt;=DATA!$J$12,1,0))</f>
        <v/>
      </c>
      <c r="BV220" s="47" t="str">
        <f>IF(BQ220="","",IF(SEKOR!BQ220&gt;=DATA!$J$12,1,0))</f>
        <v/>
      </c>
      <c r="BW220" s="47" t="str">
        <f>IF(BR220="","",IF(SEKOR!BR220&gt;=DATA!$J$12,1,0))</f>
        <v/>
      </c>
      <c r="BX220" s="47" t="str">
        <f>IF(BT220="","",IF(DATA!$J$14="",IF(SEKOR!BT220&gt;=DATA!$J$12,1,0),IF(SEKOR!BT220&gt;=DATA!$J$14,1,0)))</f>
        <v/>
      </c>
    </row>
    <row r="221" spans="1:76" x14ac:dyDescent="0.25">
      <c r="A221" s="20" t="s">
        <v>248</v>
      </c>
      <c r="B221" s="21" t="str">
        <f>IF(Ujian!B228="","",Ujian!B228)</f>
        <v/>
      </c>
      <c r="C221" s="57" t="str">
        <f>IF(Ujian!C228="","",Ujian!C228)</f>
        <v/>
      </c>
      <c r="D221" s="125" t="str">
        <f>IF(Ujian!D228="","",IF(LEFT(Ujian!D228,1)=SEKOR!D$2,1,0))</f>
        <v/>
      </c>
      <c r="E221" s="125" t="str">
        <f>IF(Ujian!E228="","",IF(LEFT(Ujian!E228,1)=SEKOR!E$2,1,0))</f>
        <v/>
      </c>
      <c r="F221" s="125" t="str">
        <f>IF(Ujian!F228="","",IF(LEFT(Ujian!F228,1)=SEKOR!F$2,1,0))</f>
        <v/>
      </c>
      <c r="G221" s="125" t="str">
        <f>IF(Ujian!G228="","",IF(LEFT(Ujian!G228,1)=SEKOR!G$2,1,0))</f>
        <v/>
      </c>
      <c r="H221" s="125" t="str">
        <f>IF(Ujian!H228="","",IF(LEFT(Ujian!H228,1)=SEKOR!H$2,1,0))</f>
        <v/>
      </c>
      <c r="I221" s="125" t="str">
        <f>IF(Ujian!I228="","",IF(LEFT(Ujian!I228,1)=SEKOR!I$2,1,0))</f>
        <v/>
      </c>
      <c r="J221" s="125" t="str">
        <f>IF(Ujian!J228="","",IF(LEFT(Ujian!J228,1)=SEKOR!J$2,1,0))</f>
        <v/>
      </c>
      <c r="K221" s="125" t="str">
        <f>IF(Ujian!K228="","",IF(LEFT(Ujian!K228,1)=SEKOR!K$2,1,0))</f>
        <v/>
      </c>
      <c r="L221" s="125" t="str">
        <f>IF(Ujian!L228="","",IF(LEFT(Ujian!L228,1)=SEKOR!L$2,1,0))</f>
        <v/>
      </c>
      <c r="M221" s="125" t="str">
        <f>IF(Ujian!M228="","",IF(LEFT(Ujian!M228,1)=SEKOR!M$2,1,0))</f>
        <v/>
      </c>
      <c r="N221" s="125" t="str">
        <f>IF(Ujian!N228="","",IF(LEFT(Ujian!N228,1)=SEKOR!N$2,1,0))</f>
        <v/>
      </c>
      <c r="O221" s="125" t="str">
        <f>IF(Ujian!O228="","",IF(LEFT(Ujian!O228,1)=SEKOR!O$2,1,0))</f>
        <v/>
      </c>
      <c r="P221" s="125" t="str">
        <f>IF(Ujian!P228="","",IF(LEFT(Ujian!P228,1)=SEKOR!P$2,1,0))</f>
        <v/>
      </c>
      <c r="Q221" s="125" t="str">
        <f>IF(Ujian!Q228="","",IF(LEFT(Ujian!Q228,1)=SEKOR!Q$2,1,0))</f>
        <v/>
      </c>
      <c r="R221" s="125" t="str">
        <f>IF(Ujian!R228="","",IF(LEFT(Ujian!R228,1)=SEKOR!R$2,1,0))</f>
        <v/>
      </c>
      <c r="S221" s="125" t="str">
        <f>IF(Ujian!S228="","",IF(LEFT(Ujian!S228,1)=SEKOR!S$2,1,0))</f>
        <v/>
      </c>
      <c r="T221" s="125" t="str">
        <f>IF(Ujian!T228="","",IF(LEFT(Ujian!T228,1)=SEKOR!T$2,1,0))</f>
        <v/>
      </c>
      <c r="U221" s="125" t="str">
        <f>IF(Ujian!U228="","",IF(LEFT(Ujian!U228,1)=SEKOR!U$2,1,0))</f>
        <v/>
      </c>
      <c r="V221" s="125" t="str">
        <f>IF(Ujian!V228="","",IF(LEFT(Ujian!V228,1)=SEKOR!V$2,1,0))</f>
        <v/>
      </c>
      <c r="W221" s="125" t="str">
        <f>IF(Ujian!W228="","",IF(LEFT(Ujian!W228,1)=SEKOR!W$2,1,0))</f>
        <v/>
      </c>
      <c r="X221" s="125" t="str">
        <f>IF(Ujian!X228="","",IF(LEFT(Ujian!X228,1)=SEKOR!X$2,1,0))</f>
        <v/>
      </c>
      <c r="Y221" s="125" t="str">
        <f>IF(Ujian!Y228="","",IF(LEFT(Ujian!Y228,1)=SEKOR!Y$2,1,0))</f>
        <v/>
      </c>
      <c r="Z221" s="125" t="str">
        <f>IF(Ujian!Z228="","",IF(LEFT(Ujian!Z228,1)=SEKOR!Z$2,1,0))</f>
        <v/>
      </c>
      <c r="AA221" s="125" t="str">
        <f>IF(Ujian!AA228="","",IF(LEFT(Ujian!AA228,1)=SEKOR!AA$2,1,0))</f>
        <v/>
      </c>
      <c r="AB221" s="125" t="str">
        <f>IF(Ujian!AB228="","",IF(LEFT(Ujian!AB228,1)=SEKOR!AB$2,1,0))</f>
        <v/>
      </c>
      <c r="AC221" s="125" t="str">
        <f>IF(Ujian!AC228="","",IF(LEFT(Ujian!AC228,1)=SEKOR!AC$2,1,0))</f>
        <v/>
      </c>
      <c r="AD221" s="125" t="str">
        <f>IF(Ujian!AD228="","",IF(LEFT(Ujian!AD228,1)=SEKOR!AD$2,1,0))</f>
        <v/>
      </c>
      <c r="AE221" s="125" t="str">
        <f>IF(Ujian!AE228="","",IF(LEFT(Ujian!AE228,1)=SEKOR!AE$2,1,0))</f>
        <v/>
      </c>
      <c r="AF221" s="125" t="str">
        <f>IF(Ujian!AF228="","",IF(LEFT(Ujian!AF228,1)=SEKOR!AF$2,1,0))</f>
        <v/>
      </c>
      <c r="AG221" s="125" t="str">
        <f>IF(Ujian!AG228="","",IF(LEFT(Ujian!AG228,1)=SEKOR!AG$2,1,0))</f>
        <v/>
      </c>
      <c r="AH221" s="125" t="str">
        <f>IF(Ujian!AH228="","",IF(LEFT(Ujian!AH228,1)=SEKOR!AH$2,1,0))</f>
        <v/>
      </c>
      <c r="AI221" s="125" t="str">
        <f>IF(Ujian!AI228="","",IF(LEFT(Ujian!AI228,1)=SEKOR!AI$2,1,0))</f>
        <v/>
      </c>
      <c r="AJ221" s="125" t="str">
        <f>IF(Ujian!AJ228="","",IF(LEFT(Ujian!AJ228,1)=SEKOR!AJ$2,1,0))</f>
        <v/>
      </c>
      <c r="AK221" s="125" t="str">
        <f>IF(Ujian!AK228="","",IF(LEFT(Ujian!AK228,1)=SEKOR!AK$2,1,0))</f>
        <v/>
      </c>
      <c r="AL221" s="125" t="str">
        <f>IF(Ujian!AL228="","",IF(LEFT(Ujian!AL228,1)=SEKOR!AL$2,1,0))</f>
        <v/>
      </c>
      <c r="AM221" s="125" t="str">
        <f>IF(Ujian!AM228="","",IF(LEFT(Ujian!AM228,1)=SEKOR!AM$2,1,0))</f>
        <v/>
      </c>
      <c r="AN221" s="125" t="str">
        <f>IF(Ujian!AN228="","",IF(LEFT(Ujian!AN228,1)=SEKOR!AN$2,1,0))</f>
        <v/>
      </c>
      <c r="AO221" s="125" t="str">
        <f>IF(Ujian!AO228="","",IF(LEFT(Ujian!AO228,1)=SEKOR!AO$2,1,0))</f>
        <v/>
      </c>
      <c r="AP221" s="125" t="str">
        <f>IF(Ujian!AP228="","",IF(LEFT(Ujian!AP228,1)=SEKOR!AP$2,1,0))</f>
        <v/>
      </c>
      <c r="AQ221" s="125" t="str">
        <f>IF(Ujian!AQ228="","",IF(LEFT(Ujian!AQ228,1)=SEKOR!AQ$2,1,0))</f>
        <v/>
      </c>
      <c r="AR221" s="125" t="str">
        <f>IF(Ujian!AR228="","",IF(LEFT(Ujian!AR228,1)=SEKOR!AR$2,1,0))</f>
        <v/>
      </c>
      <c r="AS221" s="125" t="str">
        <f>IF(Ujian!AS228="","",IF(LEFT(Ujian!AS228,1)=SEKOR!AS$2,1,0))</f>
        <v/>
      </c>
      <c r="AT221" s="125" t="str">
        <f>IF(Ujian!AT228="","",IF(LEFT(Ujian!AT228,1)=SEKOR!AT$2,1,0))</f>
        <v/>
      </c>
      <c r="AU221" s="125" t="str">
        <f>IF(Ujian!AU228="","",IF(LEFT(Ujian!AU228,1)=SEKOR!AU$2,1,0))</f>
        <v/>
      </c>
      <c r="AV221" s="125" t="str">
        <f>IF(Ujian!AV228="","",IF(LEFT(Ujian!AV228,1)=SEKOR!AV$2,1,0))</f>
        <v/>
      </c>
      <c r="AW221" s="125" t="str">
        <f>IF(Ujian!AW228="","",IF(LEFT(Ujian!AW228,1)=SEKOR!AW$2,1,0))</f>
        <v/>
      </c>
      <c r="AX221" s="125" t="str">
        <f>IF(Ujian!AX228="","",IF(LEFT(Ujian!AX228,1)=SEKOR!AX$2,1,0))</f>
        <v/>
      </c>
      <c r="AY221" s="125" t="str">
        <f>IF(Ujian!AY228="","",IF(LEFT(Ujian!AY228,1)=SEKOR!AY$2,1,0))</f>
        <v/>
      </c>
      <c r="AZ221" s="125" t="str">
        <f>IF(Ujian!AZ228="","",IF(LEFT(Ujian!AZ228,1)=SEKOR!AZ$2,1,0))</f>
        <v/>
      </c>
      <c r="BA221" s="125" t="str">
        <f>IF(Ujian!BA228="","",IF(LEFT(Ujian!BA228,1)=SEKOR!BA$2,1,0))</f>
        <v/>
      </c>
      <c r="BB221" s="125" t="str">
        <f>IF(Ujian!BB228="","",IF(LEFT(Ujian!BB228,1)=SEKOR!BB$2,1,0))</f>
        <v/>
      </c>
      <c r="BC221" s="125" t="str">
        <f>IF(Ujian!BC228="","",IF(LEFT(Ujian!BC228,1)=SEKOR!BC$2,1,0))</f>
        <v/>
      </c>
      <c r="BD221" s="125" t="str">
        <f>IF(Ujian!BD228="","",IF(LEFT(Ujian!BD228,1)=SEKOR!BD$2,1,0))</f>
        <v/>
      </c>
      <c r="BE221" s="125" t="str">
        <f>IF(Ujian!BE228="","",IF(LEFT(Ujian!BE228,1)=SEKOR!BE$2,1,0))</f>
        <v/>
      </c>
      <c r="BF221" s="125" t="str">
        <f>IF(Ujian!BF228="","",IF(LEFT(Ujian!BF228,1)=SEKOR!BF$2,1,0))</f>
        <v/>
      </c>
      <c r="BG221" s="125" t="str">
        <f>IF(Ujian!BG228="","",IF(LEFT(Ujian!BG228,1)=SEKOR!BG$2,1,0))</f>
        <v/>
      </c>
      <c r="BH221" s="125" t="str">
        <f>IF(Ujian!BH228="","",IF(LEFT(Ujian!BH228,1)=SEKOR!BH$2,1,0))</f>
        <v/>
      </c>
      <c r="BI221" s="125" t="str">
        <f>IF(Ujian!BI228="","",IF(LEFT(Ujian!BI228,1)=SEKOR!BI$2,1,0))</f>
        <v/>
      </c>
      <c r="BJ221" s="125" t="str">
        <f>IF(Ujian!BJ228="","",IF(LEFT(Ujian!BJ228,1)=SEKOR!BJ$2,1,0))</f>
        <v/>
      </c>
      <c r="BK221" s="125" t="str">
        <f>IF(Ujian!BK228="","",IF(LEFT(Ujian!BK228,1)=SEKOR!BK$2,1,0))</f>
        <v/>
      </c>
      <c r="BL221" s="18">
        <f t="shared" si="6"/>
        <v>0</v>
      </c>
      <c r="BM221" s="18">
        <f>COUNTIF($D221:$BK221,"")+DATA!$F$14-DATA!$F$12</f>
        <v>60</v>
      </c>
      <c r="BN221" s="17">
        <f>IF(COUNTIF($D221:$BK221,1)&gt;DATA!$F$14,DATA!$F$14,COUNTIF($D221:$BK221,1))</f>
        <v>0</v>
      </c>
      <c r="BO221" s="17">
        <f>IF((BN221+COUNTIF($D221:$BK221,0))&lt;=DATA!$F$14,COUNTIF($D221:$BK221,0),DATA!$F$14-SEKOR!BN221)</f>
        <v>0</v>
      </c>
      <c r="BP221" s="4" t="str">
        <f>IF(BL221=0,"",BN221/DATA!$F$14*100)</f>
        <v/>
      </c>
      <c r="BQ221" s="121" t="str">
        <f t="shared" si="7"/>
        <v/>
      </c>
      <c r="BR221" s="2" t="str">
        <f>IF(Praktik!$E221=0,"",Praktik!$E221)</f>
        <v/>
      </c>
      <c r="BS221" s="2" t="str">
        <f>IF(BR221="","",(BP221*DATAINFO!$O$4)+(SEKOR!BR221*DATAINFO!$O$5)/(DATAINFO!$O$4+DATAINFO!$O$5))</f>
        <v/>
      </c>
      <c r="BT221" s="2" t="str">
        <f>IF(BL221=0,"",IF(DATA!$F$18="TIDAK",ROUNDUP((IF!$L$8*SEKOR!$BP221)+IF!$L$9,0),IF($BR221="","",ROUNDUP((IF!$L$20*$BS221)+IF!$L$21,0))))</f>
        <v/>
      </c>
      <c r="BU221" s="47" t="str">
        <f>IF(BP221="","",IF(SEKOR!BP221&gt;=DATA!$J$12,1,0))</f>
        <v/>
      </c>
      <c r="BV221" s="47" t="str">
        <f>IF(BQ221="","",IF(SEKOR!BQ221&gt;=DATA!$J$12,1,0))</f>
        <v/>
      </c>
      <c r="BW221" s="47" t="str">
        <f>IF(BR221="","",IF(SEKOR!BR221&gt;=DATA!$J$12,1,0))</f>
        <v/>
      </c>
      <c r="BX221" s="47" t="str">
        <f>IF(BT221="","",IF(DATA!$J$14="",IF(SEKOR!BT221&gt;=DATA!$J$12,1,0),IF(SEKOR!BT221&gt;=DATA!$J$14,1,0)))</f>
        <v/>
      </c>
    </row>
    <row r="222" spans="1:76" x14ac:dyDescent="0.25">
      <c r="A222" s="20" t="s">
        <v>249</v>
      </c>
      <c r="B222" s="21" t="str">
        <f>IF(Ujian!B229="","",Ujian!B229)</f>
        <v/>
      </c>
      <c r="C222" s="57" t="str">
        <f>IF(Ujian!C229="","",Ujian!C229)</f>
        <v/>
      </c>
      <c r="D222" s="125" t="str">
        <f>IF(Ujian!D229="","",IF(LEFT(Ujian!D229,1)=SEKOR!D$2,1,0))</f>
        <v/>
      </c>
      <c r="E222" s="125" t="str">
        <f>IF(Ujian!E229="","",IF(LEFT(Ujian!E229,1)=SEKOR!E$2,1,0))</f>
        <v/>
      </c>
      <c r="F222" s="125" t="str">
        <f>IF(Ujian!F229="","",IF(LEFT(Ujian!F229,1)=SEKOR!F$2,1,0))</f>
        <v/>
      </c>
      <c r="G222" s="125" t="str">
        <f>IF(Ujian!G229="","",IF(LEFT(Ujian!G229,1)=SEKOR!G$2,1,0))</f>
        <v/>
      </c>
      <c r="H222" s="125" t="str">
        <f>IF(Ujian!H229="","",IF(LEFT(Ujian!H229,1)=SEKOR!H$2,1,0))</f>
        <v/>
      </c>
      <c r="I222" s="125" t="str">
        <f>IF(Ujian!I229="","",IF(LEFT(Ujian!I229,1)=SEKOR!I$2,1,0))</f>
        <v/>
      </c>
      <c r="J222" s="125" t="str">
        <f>IF(Ujian!J229="","",IF(LEFT(Ujian!J229,1)=SEKOR!J$2,1,0))</f>
        <v/>
      </c>
      <c r="K222" s="125" t="str">
        <f>IF(Ujian!K229="","",IF(LEFT(Ujian!K229,1)=SEKOR!K$2,1,0))</f>
        <v/>
      </c>
      <c r="L222" s="125" t="str">
        <f>IF(Ujian!L229="","",IF(LEFT(Ujian!L229,1)=SEKOR!L$2,1,0))</f>
        <v/>
      </c>
      <c r="M222" s="125" t="str">
        <f>IF(Ujian!M229="","",IF(LEFT(Ujian!M229,1)=SEKOR!M$2,1,0))</f>
        <v/>
      </c>
      <c r="N222" s="125" t="str">
        <f>IF(Ujian!N229="","",IF(LEFT(Ujian!N229,1)=SEKOR!N$2,1,0))</f>
        <v/>
      </c>
      <c r="O222" s="125" t="str">
        <f>IF(Ujian!O229="","",IF(LEFT(Ujian!O229,1)=SEKOR!O$2,1,0))</f>
        <v/>
      </c>
      <c r="P222" s="125" t="str">
        <f>IF(Ujian!P229="","",IF(LEFT(Ujian!P229,1)=SEKOR!P$2,1,0))</f>
        <v/>
      </c>
      <c r="Q222" s="125" t="str">
        <f>IF(Ujian!Q229="","",IF(LEFT(Ujian!Q229,1)=SEKOR!Q$2,1,0))</f>
        <v/>
      </c>
      <c r="R222" s="125" t="str">
        <f>IF(Ujian!R229="","",IF(LEFT(Ujian!R229,1)=SEKOR!R$2,1,0))</f>
        <v/>
      </c>
      <c r="S222" s="125" t="str">
        <f>IF(Ujian!S229="","",IF(LEFT(Ujian!S229,1)=SEKOR!S$2,1,0))</f>
        <v/>
      </c>
      <c r="T222" s="125" t="str">
        <f>IF(Ujian!T229="","",IF(LEFT(Ujian!T229,1)=SEKOR!T$2,1,0))</f>
        <v/>
      </c>
      <c r="U222" s="125" t="str">
        <f>IF(Ujian!U229="","",IF(LEFT(Ujian!U229,1)=SEKOR!U$2,1,0))</f>
        <v/>
      </c>
      <c r="V222" s="125" t="str">
        <f>IF(Ujian!V229="","",IF(LEFT(Ujian!V229,1)=SEKOR!V$2,1,0))</f>
        <v/>
      </c>
      <c r="W222" s="125" t="str">
        <f>IF(Ujian!W229="","",IF(LEFT(Ujian!W229,1)=SEKOR!W$2,1,0))</f>
        <v/>
      </c>
      <c r="X222" s="125" t="str">
        <f>IF(Ujian!X229="","",IF(LEFT(Ujian!X229,1)=SEKOR!X$2,1,0))</f>
        <v/>
      </c>
      <c r="Y222" s="125" t="str">
        <f>IF(Ujian!Y229="","",IF(LEFT(Ujian!Y229,1)=SEKOR!Y$2,1,0))</f>
        <v/>
      </c>
      <c r="Z222" s="125" t="str">
        <f>IF(Ujian!Z229="","",IF(LEFT(Ujian!Z229,1)=SEKOR!Z$2,1,0))</f>
        <v/>
      </c>
      <c r="AA222" s="125" t="str">
        <f>IF(Ujian!AA229="","",IF(LEFT(Ujian!AA229,1)=SEKOR!AA$2,1,0))</f>
        <v/>
      </c>
      <c r="AB222" s="125" t="str">
        <f>IF(Ujian!AB229="","",IF(LEFT(Ujian!AB229,1)=SEKOR!AB$2,1,0))</f>
        <v/>
      </c>
      <c r="AC222" s="125" t="str">
        <f>IF(Ujian!AC229="","",IF(LEFT(Ujian!AC229,1)=SEKOR!AC$2,1,0))</f>
        <v/>
      </c>
      <c r="AD222" s="125" t="str">
        <f>IF(Ujian!AD229="","",IF(LEFT(Ujian!AD229,1)=SEKOR!AD$2,1,0))</f>
        <v/>
      </c>
      <c r="AE222" s="125" t="str">
        <f>IF(Ujian!AE229="","",IF(LEFT(Ujian!AE229,1)=SEKOR!AE$2,1,0))</f>
        <v/>
      </c>
      <c r="AF222" s="125" t="str">
        <f>IF(Ujian!AF229="","",IF(LEFT(Ujian!AF229,1)=SEKOR!AF$2,1,0))</f>
        <v/>
      </c>
      <c r="AG222" s="125" t="str">
        <f>IF(Ujian!AG229="","",IF(LEFT(Ujian!AG229,1)=SEKOR!AG$2,1,0))</f>
        <v/>
      </c>
      <c r="AH222" s="125" t="str">
        <f>IF(Ujian!AH229="","",IF(LEFT(Ujian!AH229,1)=SEKOR!AH$2,1,0))</f>
        <v/>
      </c>
      <c r="AI222" s="125" t="str">
        <f>IF(Ujian!AI229="","",IF(LEFT(Ujian!AI229,1)=SEKOR!AI$2,1,0))</f>
        <v/>
      </c>
      <c r="AJ222" s="125" t="str">
        <f>IF(Ujian!AJ229="","",IF(LEFT(Ujian!AJ229,1)=SEKOR!AJ$2,1,0))</f>
        <v/>
      </c>
      <c r="AK222" s="125" t="str">
        <f>IF(Ujian!AK229="","",IF(LEFT(Ujian!AK229,1)=SEKOR!AK$2,1,0))</f>
        <v/>
      </c>
      <c r="AL222" s="125" t="str">
        <f>IF(Ujian!AL229="","",IF(LEFT(Ujian!AL229,1)=SEKOR!AL$2,1,0))</f>
        <v/>
      </c>
      <c r="AM222" s="125" t="str">
        <f>IF(Ujian!AM229="","",IF(LEFT(Ujian!AM229,1)=SEKOR!AM$2,1,0))</f>
        <v/>
      </c>
      <c r="AN222" s="125" t="str">
        <f>IF(Ujian!AN229="","",IF(LEFT(Ujian!AN229,1)=SEKOR!AN$2,1,0))</f>
        <v/>
      </c>
      <c r="AO222" s="125" t="str">
        <f>IF(Ujian!AO229="","",IF(LEFT(Ujian!AO229,1)=SEKOR!AO$2,1,0))</f>
        <v/>
      </c>
      <c r="AP222" s="125" t="str">
        <f>IF(Ujian!AP229="","",IF(LEFT(Ujian!AP229,1)=SEKOR!AP$2,1,0))</f>
        <v/>
      </c>
      <c r="AQ222" s="125" t="str">
        <f>IF(Ujian!AQ229="","",IF(LEFT(Ujian!AQ229,1)=SEKOR!AQ$2,1,0))</f>
        <v/>
      </c>
      <c r="AR222" s="125" t="str">
        <f>IF(Ujian!AR229="","",IF(LEFT(Ujian!AR229,1)=SEKOR!AR$2,1,0))</f>
        <v/>
      </c>
      <c r="AS222" s="125" t="str">
        <f>IF(Ujian!AS229="","",IF(LEFT(Ujian!AS229,1)=SEKOR!AS$2,1,0))</f>
        <v/>
      </c>
      <c r="AT222" s="125" t="str">
        <f>IF(Ujian!AT229="","",IF(LEFT(Ujian!AT229,1)=SEKOR!AT$2,1,0))</f>
        <v/>
      </c>
      <c r="AU222" s="125" t="str">
        <f>IF(Ujian!AU229="","",IF(LEFT(Ujian!AU229,1)=SEKOR!AU$2,1,0))</f>
        <v/>
      </c>
      <c r="AV222" s="125" t="str">
        <f>IF(Ujian!AV229="","",IF(LEFT(Ujian!AV229,1)=SEKOR!AV$2,1,0))</f>
        <v/>
      </c>
      <c r="AW222" s="125" t="str">
        <f>IF(Ujian!AW229="","",IF(LEFT(Ujian!AW229,1)=SEKOR!AW$2,1,0))</f>
        <v/>
      </c>
      <c r="AX222" s="125" t="str">
        <f>IF(Ujian!AX229="","",IF(LEFT(Ujian!AX229,1)=SEKOR!AX$2,1,0))</f>
        <v/>
      </c>
      <c r="AY222" s="125" t="str">
        <f>IF(Ujian!AY229="","",IF(LEFT(Ujian!AY229,1)=SEKOR!AY$2,1,0))</f>
        <v/>
      </c>
      <c r="AZ222" s="125" t="str">
        <f>IF(Ujian!AZ229="","",IF(LEFT(Ujian!AZ229,1)=SEKOR!AZ$2,1,0))</f>
        <v/>
      </c>
      <c r="BA222" s="125" t="str">
        <f>IF(Ujian!BA229="","",IF(LEFT(Ujian!BA229,1)=SEKOR!BA$2,1,0))</f>
        <v/>
      </c>
      <c r="BB222" s="125" t="str">
        <f>IF(Ujian!BB229="","",IF(LEFT(Ujian!BB229,1)=SEKOR!BB$2,1,0))</f>
        <v/>
      </c>
      <c r="BC222" s="125" t="str">
        <f>IF(Ujian!BC229="","",IF(LEFT(Ujian!BC229,1)=SEKOR!BC$2,1,0))</f>
        <v/>
      </c>
      <c r="BD222" s="125" t="str">
        <f>IF(Ujian!BD229="","",IF(LEFT(Ujian!BD229,1)=SEKOR!BD$2,1,0))</f>
        <v/>
      </c>
      <c r="BE222" s="125" t="str">
        <f>IF(Ujian!BE229="","",IF(LEFT(Ujian!BE229,1)=SEKOR!BE$2,1,0))</f>
        <v/>
      </c>
      <c r="BF222" s="125" t="str">
        <f>IF(Ujian!BF229="","",IF(LEFT(Ujian!BF229,1)=SEKOR!BF$2,1,0))</f>
        <v/>
      </c>
      <c r="BG222" s="125" t="str">
        <f>IF(Ujian!BG229="","",IF(LEFT(Ujian!BG229,1)=SEKOR!BG$2,1,0))</f>
        <v/>
      </c>
      <c r="BH222" s="125" t="str">
        <f>IF(Ujian!BH229="","",IF(LEFT(Ujian!BH229,1)=SEKOR!BH$2,1,0))</f>
        <v/>
      </c>
      <c r="BI222" s="125" t="str">
        <f>IF(Ujian!BI229="","",IF(LEFT(Ujian!BI229,1)=SEKOR!BI$2,1,0))</f>
        <v/>
      </c>
      <c r="BJ222" s="125" t="str">
        <f>IF(Ujian!BJ229="","",IF(LEFT(Ujian!BJ229,1)=SEKOR!BJ$2,1,0))</f>
        <v/>
      </c>
      <c r="BK222" s="125" t="str">
        <f>IF(Ujian!BK229="","",IF(LEFT(Ujian!BK229,1)=SEKOR!BK$2,1,0))</f>
        <v/>
      </c>
      <c r="BL222" s="18">
        <f t="shared" si="6"/>
        <v>0</v>
      </c>
      <c r="BM222" s="18">
        <f>COUNTIF($D222:$BK222,"")+DATA!$F$14-DATA!$F$12</f>
        <v>60</v>
      </c>
      <c r="BN222" s="17">
        <f>IF(COUNTIF($D222:$BK222,1)&gt;DATA!$F$14,DATA!$F$14,COUNTIF($D222:$BK222,1))</f>
        <v>0</v>
      </c>
      <c r="BO222" s="17">
        <f>IF((BN222+COUNTIF($D222:$BK222,0))&lt;=DATA!$F$14,COUNTIF($D222:$BK222,0),DATA!$F$14-SEKOR!BN222)</f>
        <v>0</v>
      </c>
      <c r="BP222" s="4" t="str">
        <f>IF(BL222=0,"",BN222/DATA!$F$14*100)</f>
        <v/>
      </c>
      <c r="BQ222" s="121" t="str">
        <f t="shared" si="7"/>
        <v/>
      </c>
      <c r="BR222" s="2" t="str">
        <f>IF(Praktik!$E222=0,"",Praktik!$E222)</f>
        <v/>
      </c>
      <c r="BS222" s="2" t="str">
        <f>IF(BR222="","",(BP222*DATAINFO!$O$4)+(SEKOR!BR222*DATAINFO!$O$5)/(DATAINFO!$O$4+DATAINFO!$O$5))</f>
        <v/>
      </c>
      <c r="BT222" s="2" t="str">
        <f>IF(BL222=0,"",IF(DATA!$F$18="TIDAK",ROUNDUP((IF!$L$8*SEKOR!$BP222)+IF!$L$9,0),IF($BR222="","",ROUNDUP((IF!$L$20*$BS222)+IF!$L$21,0))))</f>
        <v/>
      </c>
      <c r="BU222" s="47" t="str">
        <f>IF(BP222="","",IF(SEKOR!BP222&gt;=DATA!$J$12,1,0))</f>
        <v/>
      </c>
      <c r="BV222" s="47" t="str">
        <f>IF(BQ222="","",IF(SEKOR!BQ222&gt;=DATA!$J$12,1,0))</f>
        <v/>
      </c>
      <c r="BW222" s="47" t="str">
        <f>IF(BR222="","",IF(SEKOR!BR222&gt;=DATA!$J$12,1,0))</f>
        <v/>
      </c>
      <c r="BX222" s="47" t="str">
        <f>IF(BT222="","",IF(DATA!$J$14="",IF(SEKOR!BT222&gt;=DATA!$J$12,1,0),IF(SEKOR!BT222&gt;=DATA!$J$14,1,0)))</f>
        <v/>
      </c>
    </row>
    <row r="226" spans="1:76" x14ac:dyDescent="0.25">
      <c r="A226" s="19">
        <v>0</v>
      </c>
      <c r="B226" s="19">
        <v>1</v>
      </c>
      <c r="C226" s="19">
        <v>2</v>
      </c>
      <c r="D226" s="19">
        <v>3</v>
      </c>
      <c r="E226" s="19">
        <v>4</v>
      </c>
      <c r="F226" s="19">
        <v>5</v>
      </c>
      <c r="G226" s="19">
        <v>6</v>
      </c>
      <c r="H226" s="19">
        <v>7</v>
      </c>
      <c r="I226" s="19">
        <v>8</v>
      </c>
      <c r="J226" s="19">
        <v>9</v>
      </c>
      <c r="K226" s="19">
        <v>10</v>
      </c>
      <c r="L226" s="19">
        <v>11</v>
      </c>
      <c r="M226" s="19">
        <v>12</v>
      </c>
      <c r="N226" s="19">
        <v>13</v>
      </c>
      <c r="O226" s="19">
        <v>14</v>
      </c>
      <c r="P226" s="19">
        <v>15</v>
      </c>
      <c r="Q226" s="19">
        <v>16</v>
      </c>
      <c r="R226" s="19">
        <v>17</v>
      </c>
      <c r="S226" s="19">
        <v>18</v>
      </c>
      <c r="T226" s="19">
        <v>19</v>
      </c>
      <c r="U226" s="19">
        <v>20</v>
      </c>
      <c r="V226" s="19">
        <v>21</v>
      </c>
      <c r="W226" s="19">
        <v>22</v>
      </c>
      <c r="X226" s="19">
        <v>23</v>
      </c>
      <c r="Y226" s="19">
        <v>24</v>
      </c>
      <c r="Z226" s="19">
        <v>25</v>
      </c>
      <c r="AA226" s="19">
        <v>26</v>
      </c>
      <c r="AB226" s="19">
        <v>27</v>
      </c>
      <c r="AC226" s="19">
        <v>28</v>
      </c>
      <c r="AD226" s="19">
        <v>29</v>
      </c>
      <c r="AE226" s="19">
        <v>30</v>
      </c>
      <c r="AF226" s="19">
        <v>31</v>
      </c>
      <c r="AG226" s="19">
        <v>32</v>
      </c>
      <c r="AH226" s="19">
        <v>33</v>
      </c>
      <c r="AI226" s="19">
        <v>34</v>
      </c>
      <c r="AJ226" s="19">
        <v>35</v>
      </c>
      <c r="AK226" s="19">
        <v>36</v>
      </c>
      <c r="AL226" s="19">
        <v>37</v>
      </c>
      <c r="AM226" s="19">
        <v>38</v>
      </c>
      <c r="AN226" s="19">
        <v>39</v>
      </c>
      <c r="AO226" s="19">
        <v>40</v>
      </c>
      <c r="AP226" s="19">
        <v>41</v>
      </c>
      <c r="AQ226" s="19">
        <v>42</v>
      </c>
      <c r="AR226" s="19">
        <v>43</v>
      </c>
      <c r="AS226" s="19">
        <v>44</v>
      </c>
      <c r="AT226" s="19">
        <v>45</v>
      </c>
      <c r="AU226" s="19">
        <v>46</v>
      </c>
      <c r="AV226" s="19">
        <v>47</v>
      </c>
      <c r="AW226" s="19">
        <v>48</v>
      </c>
      <c r="AX226" s="19">
        <v>49</v>
      </c>
      <c r="AY226" s="19">
        <v>50</v>
      </c>
      <c r="AZ226" s="19">
        <v>51</v>
      </c>
      <c r="BA226" s="19">
        <v>52</v>
      </c>
      <c r="BB226" s="19">
        <v>53</v>
      </c>
      <c r="BC226" s="19">
        <v>54</v>
      </c>
      <c r="BD226" s="19">
        <v>55</v>
      </c>
      <c r="BE226" s="19">
        <v>56</v>
      </c>
      <c r="BF226" s="19">
        <v>57</v>
      </c>
      <c r="BG226" s="19">
        <v>58</v>
      </c>
      <c r="BH226" s="19">
        <v>59</v>
      </c>
      <c r="BI226" s="19">
        <v>60</v>
      </c>
      <c r="BJ226" s="19">
        <v>61</v>
      </c>
      <c r="BK226" s="19">
        <v>62</v>
      </c>
      <c r="BL226" s="19">
        <v>63</v>
      </c>
      <c r="BM226" s="19">
        <v>64</v>
      </c>
      <c r="BN226" s="19">
        <v>65</v>
      </c>
      <c r="BO226" s="19">
        <v>66</v>
      </c>
      <c r="BP226" s="19">
        <v>67</v>
      </c>
      <c r="BQ226" s="19">
        <v>68</v>
      </c>
      <c r="BR226" s="19">
        <v>69</v>
      </c>
      <c r="BS226" s="19">
        <v>70</v>
      </c>
      <c r="BT226" s="19">
        <v>71</v>
      </c>
      <c r="BU226" s="19">
        <v>72</v>
      </c>
      <c r="BV226" s="19">
        <v>73</v>
      </c>
      <c r="BW226" s="19">
        <v>74</v>
      </c>
      <c r="BX226" s="19">
        <v>75</v>
      </c>
    </row>
  </sheetData>
  <mergeCells count="16">
    <mergeCell ref="BX1:BX2"/>
    <mergeCell ref="BR1:BR2"/>
    <mergeCell ref="BW1:BW2"/>
    <mergeCell ref="BT1:BT2"/>
    <mergeCell ref="A1:A2"/>
    <mergeCell ref="B1:B2"/>
    <mergeCell ref="C1:C2"/>
    <mergeCell ref="BU1:BU2"/>
    <mergeCell ref="BV1:BV2"/>
    <mergeCell ref="BO1:BO2"/>
    <mergeCell ref="BP1:BP2"/>
    <mergeCell ref="BQ1:BQ2"/>
    <mergeCell ref="BN1:BN2"/>
    <mergeCell ref="BL1:BL2"/>
    <mergeCell ref="BM1:BM2"/>
    <mergeCell ref="BS1:BS2"/>
  </mergeCells>
  <conditionalFormatting sqref="D3:BK222">
    <cfRule type="cellIs" dxfId="9" priority="2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greaterThan" id="{0312F562-E00C-4539-B6A8-354F98C3775E}">
            <xm:f>DATA!$F$14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BL3:BL222</xm:sqref>
        </x14:conditionalFormatting>
        <x14:conditionalFormatting xmlns:xm="http://schemas.microsoft.com/office/excel/2006/main">
          <x14:cfRule type="cellIs" priority="3" operator="lessThan" id="{CF257126-075F-4CA2-A036-1A20FCB8CB74}">
            <xm:f>DATA!$F$12-DATA!$F$14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greaterThan" id="{3CAEB503-51B4-481A-BF2C-23FD4B769FB5}">
            <xm:f>DATA!$F$14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BM3:BM222</xm:sqref>
        </x14:conditionalFormatting>
        <x14:conditionalFormatting xmlns:xm="http://schemas.microsoft.com/office/excel/2006/main">
          <x14:cfRule type="cellIs" priority="1" operator="greaterThan" id="{1D180EDA-0865-4F8F-8A69-10E261165109}">
            <xm:f>DATA!$F$12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D1:BK1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3D58-9ED8-4111-8C63-7AF0C400B608}">
  <sheetPr codeName="Sheet1">
    <tabColor rgb="FF0070C0"/>
  </sheetPr>
  <dimension ref="A1:Z29"/>
  <sheetViews>
    <sheetView topLeftCell="A3" workbookViewId="0">
      <selection activeCell="J17" sqref="J17"/>
    </sheetView>
  </sheetViews>
  <sheetFormatPr defaultColWidth="0" defaultRowHeight="15" zeroHeight="1" x14ac:dyDescent="0.2"/>
  <cols>
    <col min="1" max="1" width="7.28515625" style="5" customWidth="1"/>
    <col min="2" max="2" width="2" style="5" customWidth="1"/>
    <col min="3" max="3" width="4.140625" style="5" customWidth="1"/>
    <col min="4" max="4" width="19.7109375" style="5" customWidth="1"/>
    <col min="5" max="5" width="1.85546875" style="5" customWidth="1"/>
    <col min="6" max="6" width="8.85546875" style="5" customWidth="1"/>
    <col min="7" max="7" width="1.5703125" style="5" customWidth="1"/>
    <col min="8" max="8" width="8.85546875" style="5" customWidth="1"/>
    <col min="9" max="9" width="1.7109375" style="5" customWidth="1"/>
    <col min="10" max="10" width="5.85546875" style="5" customWidth="1"/>
    <col min="11" max="11" width="22.28515625" style="5" customWidth="1"/>
    <col min="12" max="12" width="4.140625" style="5" customWidth="1"/>
    <col min="13" max="13" width="2" style="5" customWidth="1"/>
    <col min="14" max="14" width="7.28515625" style="5" customWidth="1"/>
    <col min="15" max="15" width="2" style="5" customWidth="1"/>
    <col min="16" max="16" width="4.140625" style="5" customWidth="1"/>
    <col min="17" max="17" width="22.28515625" style="5" customWidth="1"/>
    <col min="18" max="18" width="1.85546875" style="5" customWidth="1"/>
    <col min="19" max="19" width="8.7109375" style="5" customWidth="1"/>
    <col min="20" max="20" width="1.7109375" style="5" customWidth="1"/>
    <col min="21" max="21" width="22.28515625" style="5" customWidth="1"/>
    <col min="22" max="22" width="1.7109375" style="5" customWidth="1"/>
    <col min="23" max="23" width="8.7109375" style="5" customWidth="1"/>
    <col min="24" max="24" width="4.140625" style="5" customWidth="1"/>
    <col min="25" max="25" width="2" style="5" customWidth="1"/>
    <col min="26" max="26" width="7.28515625" style="5" customWidth="1"/>
    <col min="27" max="16384" width="22.28515625" style="5" hidden="1"/>
  </cols>
  <sheetData>
    <row r="1" spans="1:26" ht="38.25" customHeight="1" x14ac:dyDescent="0.2">
      <c r="A1" s="102"/>
      <c r="B1" s="182" t="s">
        <v>254</v>
      </c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01"/>
      <c r="O1" s="182" t="s">
        <v>264</v>
      </c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02"/>
    </row>
    <row r="2" spans="1:26" ht="9.75" customHeight="1" x14ac:dyDescent="0.2">
      <c r="A2" s="122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83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84"/>
    </row>
    <row r="3" spans="1:26" ht="19.5" customHeight="1" x14ac:dyDescent="0.2">
      <c r="A3" s="122"/>
      <c r="B3" s="11"/>
      <c r="C3" s="7"/>
      <c r="D3" s="7"/>
      <c r="E3" s="7"/>
      <c r="F3" s="7"/>
      <c r="G3" s="7"/>
      <c r="H3" s="7"/>
      <c r="I3" s="7"/>
      <c r="J3" s="7"/>
      <c r="K3" s="7"/>
      <c r="L3" s="7"/>
      <c r="M3" s="11"/>
      <c r="N3" s="183"/>
      <c r="O3" s="11"/>
      <c r="P3" s="7"/>
      <c r="Q3" s="7"/>
      <c r="R3" s="7"/>
      <c r="S3" s="7"/>
      <c r="T3" s="7"/>
      <c r="U3" s="7"/>
      <c r="V3" s="7"/>
      <c r="W3" s="7"/>
      <c r="X3" s="7"/>
      <c r="Y3" s="11"/>
      <c r="Z3" s="184"/>
    </row>
    <row r="4" spans="1:26" ht="20.100000000000001" customHeight="1" x14ac:dyDescent="0.2">
      <c r="A4" s="122"/>
      <c r="B4" s="11"/>
      <c r="C4" s="7"/>
      <c r="D4" s="9" t="s">
        <v>255</v>
      </c>
      <c r="E4" s="10" t="s">
        <v>260</v>
      </c>
      <c r="F4" s="187" t="s">
        <v>314</v>
      </c>
      <c r="G4" s="187"/>
      <c r="H4" s="187"/>
      <c r="I4" s="187"/>
      <c r="J4" s="187"/>
      <c r="K4" s="187"/>
      <c r="L4" s="7"/>
      <c r="M4" s="11"/>
      <c r="N4" s="183"/>
      <c r="O4" s="11"/>
      <c r="P4" s="7"/>
      <c r="Q4" s="185" t="s">
        <v>275</v>
      </c>
      <c r="R4" s="185"/>
      <c r="S4" s="185"/>
      <c r="T4" s="7"/>
      <c r="U4" s="186" t="s">
        <v>298</v>
      </c>
      <c r="V4" s="186"/>
      <c r="W4" s="186"/>
      <c r="X4" s="7"/>
      <c r="Y4" s="11"/>
      <c r="Z4" s="184"/>
    </row>
    <row r="5" spans="1:26" ht="6.75" customHeight="1" x14ac:dyDescent="0.2">
      <c r="A5" s="122"/>
      <c r="B5" s="11"/>
      <c r="C5" s="7"/>
      <c r="D5" s="8"/>
      <c r="E5" s="10"/>
      <c r="F5" s="130"/>
      <c r="G5" s="130"/>
      <c r="H5" s="130"/>
      <c r="I5" s="130"/>
      <c r="J5" s="130"/>
      <c r="K5" s="130"/>
      <c r="L5" s="7"/>
      <c r="M5" s="11"/>
      <c r="N5" s="183"/>
      <c r="O5" s="11"/>
      <c r="P5" s="7"/>
      <c r="Q5" s="24"/>
      <c r="R5" s="25"/>
      <c r="S5" s="26"/>
      <c r="T5" s="7"/>
      <c r="U5" s="8"/>
      <c r="V5" s="10"/>
      <c r="W5" s="8"/>
      <c r="X5" s="7"/>
      <c r="Y5" s="11"/>
      <c r="Z5" s="184"/>
    </row>
    <row r="6" spans="1:26" ht="20.100000000000001" customHeight="1" x14ac:dyDescent="0.2">
      <c r="A6" s="122"/>
      <c r="B6" s="11"/>
      <c r="C6" s="7"/>
      <c r="D6" s="9" t="s">
        <v>11</v>
      </c>
      <c r="E6" s="10" t="s">
        <v>260</v>
      </c>
      <c r="F6" s="187" t="s">
        <v>307</v>
      </c>
      <c r="G6" s="187"/>
      <c r="H6" s="187"/>
      <c r="I6" s="187"/>
      <c r="J6" s="187"/>
      <c r="K6" s="187"/>
      <c r="L6" s="7"/>
      <c r="M6" s="11"/>
      <c r="N6" s="183"/>
      <c r="O6" s="11"/>
      <c r="P6" s="7"/>
      <c r="Q6" s="27" t="s">
        <v>273</v>
      </c>
      <c r="R6" s="25" t="s">
        <v>260</v>
      </c>
      <c r="S6" s="28">
        <f>COUNTA(Ujian!$B$10:$B$229)</f>
        <v>56</v>
      </c>
      <c r="T6" s="7"/>
      <c r="U6" s="9" t="s">
        <v>267</v>
      </c>
      <c r="V6" s="10" t="s">
        <v>260</v>
      </c>
      <c r="W6" s="139">
        <v>90</v>
      </c>
      <c r="X6" s="7"/>
      <c r="Y6" s="11"/>
      <c r="Z6" s="184"/>
    </row>
    <row r="7" spans="1:26" ht="6.75" customHeight="1" x14ac:dyDescent="0.2">
      <c r="A7" s="122"/>
      <c r="B7" s="11"/>
      <c r="C7" s="7"/>
      <c r="D7" s="8"/>
      <c r="E7" s="10"/>
      <c r="F7" s="13"/>
      <c r="G7" s="13"/>
      <c r="H7" s="13"/>
      <c r="I7" s="13"/>
      <c r="J7" s="13"/>
      <c r="K7" s="13"/>
      <c r="L7" s="7"/>
      <c r="M7" s="11"/>
      <c r="N7" s="183"/>
      <c r="O7" s="11"/>
      <c r="P7" s="7"/>
      <c r="Q7" s="29"/>
      <c r="R7" s="25"/>
      <c r="S7" s="26"/>
      <c r="T7" s="7"/>
      <c r="U7" s="8"/>
      <c r="V7" s="10"/>
      <c r="W7" s="23"/>
      <c r="X7" s="7"/>
      <c r="Y7" s="11"/>
      <c r="Z7" s="184"/>
    </row>
    <row r="8" spans="1:26" ht="20.100000000000001" customHeight="1" x14ac:dyDescent="0.2">
      <c r="A8" s="122"/>
      <c r="B8" s="11"/>
      <c r="C8" s="7"/>
      <c r="D8" s="9" t="s">
        <v>259</v>
      </c>
      <c r="E8" s="10" t="s">
        <v>260</v>
      </c>
      <c r="F8" s="188" t="s">
        <v>502</v>
      </c>
      <c r="G8" s="188"/>
      <c r="H8" s="188"/>
      <c r="I8" s="130"/>
      <c r="J8" s="188" t="s">
        <v>506</v>
      </c>
      <c r="K8" s="188"/>
      <c r="L8" s="7"/>
      <c r="M8" s="11"/>
      <c r="N8" s="183"/>
      <c r="O8" s="11"/>
      <c r="P8" s="7"/>
      <c r="Q8" s="27" t="s">
        <v>3</v>
      </c>
      <c r="R8" s="25" t="s">
        <v>260</v>
      </c>
      <c r="S8" s="28">
        <f>MAX(SEKOR!$BP$3:$BP$222)</f>
        <v>77.5</v>
      </c>
      <c r="T8" s="7"/>
      <c r="U8" s="9" t="s">
        <v>270</v>
      </c>
      <c r="V8" s="10" t="s">
        <v>260</v>
      </c>
      <c r="W8" s="139">
        <v>50</v>
      </c>
      <c r="X8" s="7"/>
      <c r="Y8" s="11"/>
      <c r="Z8" s="184"/>
    </row>
    <row r="9" spans="1:26" ht="6.75" customHeight="1" x14ac:dyDescent="0.2">
      <c r="A9" s="122"/>
      <c r="B9" s="11"/>
      <c r="C9" s="7"/>
      <c r="D9" s="8"/>
      <c r="E9" s="10"/>
      <c r="F9" s="130"/>
      <c r="G9" s="130"/>
      <c r="H9" s="130"/>
      <c r="I9" s="130"/>
      <c r="J9" s="130"/>
      <c r="K9" s="130"/>
      <c r="L9" s="7"/>
      <c r="M9" s="11"/>
      <c r="N9" s="183"/>
      <c r="O9" s="11"/>
      <c r="P9" s="7"/>
      <c r="Q9" s="29"/>
      <c r="R9" s="25"/>
      <c r="S9" s="26"/>
      <c r="T9" s="7"/>
      <c r="U9" s="8"/>
      <c r="V9" s="7"/>
      <c r="W9" s="23"/>
      <c r="X9" s="7"/>
      <c r="Y9" s="11"/>
      <c r="Z9" s="184"/>
    </row>
    <row r="10" spans="1:26" ht="20.100000000000001" customHeight="1" x14ac:dyDescent="0.2">
      <c r="A10" s="122"/>
      <c r="B10" s="11"/>
      <c r="C10" s="7"/>
      <c r="D10" s="9" t="s">
        <v>13</v>
      </c>
      <c r="E10" s="10" t="s">
        <v>260</v>
      </c>
      <c r="F10" s="188">
        <v>2024</v>
      </c>
      <c r="G10" s="188"/>
      <c r="H10" s="188"/>
      <c r="I10" s="130"/>
      <c r="J10" s="188" t="s">
        <v>374</v>
      </c>
      <c r="K10" s="188"/>
      <c r="L10" s="7"/>
      <c r="M10" s="11"/>
      <c r="N10" s="183"/>
      <c r="O10" s="11"/>
      <c r="P10" s="7"/>
      <c r="Q10" s="27" t="s">
        <v>4</v>
      </c>
      <c r="R10" s="25" t="s">
        <v>260</v>
      </c>
      <c r="S10" s="28">
        <f>MIN(SEKOR!$BP$3:$BP$222)</f>
        <v>17.5</v>
      </c>
      <c r="T10" s="7"/>
      <c r="U10" s="9" t="s">
        <v>3</v>
      </c>
      <c r="V10" s="10" t="s">
        <v>260</v>
      </c>
      <c r="W10" s="28">
        <f>MAX(SEKOR!$BT$3:$BT$222)</f>
        <v>90</v>
      </c>
      <c r="X10" s="7"/>
      <c r="Y10" s="11"/>
      <c r="Z10" s="184"/>
    </row>
    <row r="11" spans="1:26" ht="6.75" customHeight="1" x14ac:dyDescent="0.2">
      <c r="A11" s="122"/>
      <c r="B11" s="11"/>
      <c r="C11" s="7"/>
      <c r="D11" s="8"/>
      <c r="E11" s="10"/>
      <c r="F11" s="8"/>
      <c r="G11" s="8"/>
      <c r="H11" s="8"/>
      <c r="I11" s="8"/>
      <c r="J11" s="8"/>
      <c r="K11" s="8"/>
      <c r="L11" s="7"/>
      <c r="M11" s="11"/>
      <c r="N11" s="183"/>
      <c r="O11" s="11"/>
      <c r="P11" s="7"/>
      <c r="Q11" s="29"/>
      <c r="R11" s="25"/>
      <c r="S11" s="26"/>
      <c r="T11" s="7"/>
      <c r="U11" s="8"/>
      <c r="V11" s="7"/>
      <c r="W11" s="26"/>
      <c r="X11" s="7"/>
      <c r="Y11" s="11"/>
      <c r="Z11" s="184"/>
    </row>
    <row r="12" spans="1:26" ht="20.100000000000001" customHeight="1" x14ac:dyDescent="0.25">
      <c r="A12" s="122"/>
      <c r="B12" s="11"/>
      <c r="C12" s="7"/>
      <c r="D12" s="9" t="s">
        <v>2</v>
      </c>
      <c r="E12" s="10" t="s">
        <v>260</v>
      </c>
      <c r="F12" s="129">
        <v>40</v>
      </c>
      <c r="G12" s="12"/>
      <c r="H12" s="14" t="s">
        <v>303</v>
      </c>
      <c r="I12" s="10" t="s">
        <v>260</v>
      </c>
      <c r="J12" s="129">
        <v>70</v>
      </c>
      <c r="K12" s="13"/>
      <c r="L12" s="7"/>
      <c r="M12" s="11"/>
      <c r="N12" s="183"/>
      <c r="O12" s="11"/>
      <c r="P12" s="7"/>
      <c r="Q12" s="27" t="s">
        <v>265</v>
      </c>
      <c r="R12" s="25" t="s">
        <v>260</v>
      </c>
      <c r="S12" s="28">
        <f>COUNTIF(SEKOR!$BU$3:$BU$222,1)</f>
        <v>8</v>
      </c>
      <c r="T12" s="7"/>
      <c r="U12" s="9" t="s">
        <v>4</v>
      </c>
      <c r="V12" s="10" t="s">
        <v>260</v>
      </c>
      <c r="W12" s="28">
        <f>MIN(SEKOR!$BT$3:$BT$222)</f>
        <v>50</v>
      </c>
      <c r="X12" s="7"/>
      <c r="Y12" s="11"/>
      <c r="Z12" s="184"/>
    </row>
    <row r="13" spans="1:26" ht="6.75" customHeight="1" x14ac:dyDescent="0.25">
      <c r="A13" s="122"/>
      <c r="B13" s="11"/>
      <c r="C13" s="7"/>
      <c r="D13" s="8"/>
      <c r="E13" s="10"/>
      <c r="F13" s="130"/>
      <c r="G13" s="12"/>
      <c r="H13" s="15"/>
      <c r="I13" s="10"/>
      <c r="J13" s="130"/>
      <c r="K13" s="8"/>
      <c r="L13" s="7"/>
      <c r="M13" s="11"/>
      <c r="N13" s="183"/>
      <c r="O13" s="11"/>
      <c r="P13" s="7"/>
      <c r="Q13" s="29"/>
      <c r="R13" s="25"/>
      <c r="S13" s="26"/>
      <c r="T13" s="7"/>
      <c r="U13" s="8"/>
      <c r="V13" s="7"/>
      <c r="W13" s="26"/>
      <c r="X13" s="7"/>
      <c r="Y13" s="11"/>
      <c r="Z13" s="184"/>
    </row>
    <row r="14" spans="1:26" ht="20.100000000000001" customHeight="1" x14ac:dyDescent="0.25">
      <c r="A14" s="122"/>
      <c r="B14" s="11"/>
      <c r="C14" s="7"/>
      <c r="D14" s="9" t="s">
        <v>256</v>
      </c>
      <c r="E14" s="10" t="s">
        <v>260</v>
      </c>
      <c r="F14" s="129">
        <v>40</v>
      </c>
      <c r="G14" s="12"/>
      <c r="H14" s="14" t="s">
        <v>304</v>
      </c>
      <c r="I14" s="10" t="s">
        <v>260</v>
      </c>
      <c r="J14" s="129">
        <v>63</v>
      </c>
      <c r="K14" s="13"/>
      <c r="L14" s="7"/>
      <c r="M14" s="11"/>
      <c r="N14" s="183"/>
      <c r="O14" s="11"/>
      <c r="P14" s="7"/>
      <c r="Q14" s="27" t="s">
        <v>266</v>
      </c>
      <c r="R14" s="25" t="s">
        <v>260</v>
      </c>
      <c r="S14" s="28">
        <f>COUNTIF(SEKOR!$BU$3:$BU$222,0)</f>
        <v>48</v>
      </c>
      <c r="T14" s="7"/>
      <c r="U14" s="9" t="s">
        <v>265</v>
      </c>
      <c r="V14" s="10" t="s">
        <v>260</v>
      </c>
      <c r="W14" s="28">
        <f>COUNTIF(SEKOR!$BX$3:$BX$222,1)</f>
        <v>45</v>
      </c>
      <c r="X14" s="7"/>
      <c r="Y14" s="11"/>
      <c r="Z14" s="184"/>
    </row>
    <row r="15" spans="1:26" ht="6.75" customHeight="1" x14ac:dyDescent="0.25">
      <c r="A15" s="122"/>
      <c r="B15" s="11"/>
      <c r="C15" s="7"/>
      <c r="D15" s="8"/>
      <c r="E15" s="10"/>
      <c r="F15" s="130"/>
      <c r="G15" s="12"/>
      <c r="H15" s="15"/>
      <c r="I15" s="10"/>
      <c r="J15" s="8"/>
      <c r="K15" s="8"/>
      <c r="L15" s="7"/>
      <c r="M15" s="11"/>
      <c r="N15" s="183"/>
      <c r="O15" s="11"/>
      <c r="P15" s="7"/>
      <c r="Q15" s="29"/>
      <c r="R15" s="25"/>
      <c r="S15" s="26"/>
      <c r="T15" s="7"/>
      <c r="U15" s="8"/>
      <c r="V15" s="7"/>
      <c r="W15" s="26"/>
      <c r="X15" s="7"/>
      <c r="Y15" s="11"/>
      <c r="Z15" s="184"/>
    </row>
    <row r="16" spans="1:26" ht="20.100000000000001" customHeight="1" x14ac:dyDescent="0.25">
      <c r="A16" s="122"/>
      <c r="B16" s="11"/>
      <c r="C16" s="7"/>
      <c r="D16" s="9" t="s">
        <v>257</v>
      </c>
      <c r="E16" s="10" t="s">
        <v>260</v>
      </c>
      <c r="F16" s="129">
        <v>5</v>
      </c>
      <c r="G16" s="12"/>
      <c r="H16" s="14" t="s">
        <v>261</v>
      </c>
      <c r="I16" s="10" t="s">
        <v>260</v>
      </c>
      <c r="J16" s="105">
        <v>1</v>
      </c>
      <c r="K16" s="13"/>
      <c r="L16" s="7"/>
      <c r="M16" s="11"/>
      <c r="N16" s="183"/>
      <c r="O16" s="11"/>
      <c r="P16" s="7"/>
      <c r="Q16" s="27" t="s">
        <v>274</v>
      </c>
      <c r="R16" s="25" t="s">
        <v>260</v>
      </c>
      <c r="S16" s="30">
        <f>IF(S6=0,0,S12/S6)</f>
        <v>0.14285714285714285</v>
      </c>
      <c r="T16" s="7"/>
      <c r="U16" s="9" t="s">
        <v>266</v>
      </c>
      <c r="V16" s="10" t="s">
        <v>260</v>
      </c>
      <c r="W16" s="28">
        <f>COUNTIF(SEKOR!$BX$3:$BX$222,0)</f>
        <v>11</v>
      </c>
      <c r="X16" s="7"/>
      <c r="Y16" s="11"/>
      <c r="Z16" s="184"/>
    </row>
    <row r="17" spans="1:26" ht="6.75" customHeight="1" x14ac:dyDescent="0.25">
      <c r="A17" s="122"/>
      <c r="B17" s="11"/>
      <c r="C17" s="7"/>
      <c r="D17" s="8"/>
      <c r="E17" s="10"/>
      <c r="F17" s="8"/>
      <c r="G17" s="12"/>
      <c r="H17" s="15"/>
      <c r="I17" s="10"/>
      <c r="J17" s="8"/>
      <c r="K17" s="8"/>
      <c r="L17" s="7"/>
      <c r="M17" s="11"/>
      <c r="N17" s="183"/>
      <c r="O17" s="11"/>
      <c r="P17" s="7"/>
      <c r="Q17" s="29"/>
      <c r="R17" s="25"/>
      <c r="S17" s="26"/>
      <c r="T17" s="7"/>
      <c r="U17" s="8"/>
      <c r="V17" s="7"/>
      <c r="W17" s="32"/>
      <c r="X17" s="7"/>
      <c r="Y17" s="11"/>
      <c r="Z17" s="184"/>
    </row>
    <row r="18" spans="1:26" ht="20.100000000000001" customHeight="1" x14ac:dyDescent="0.25">
      <c r="A18" s="122"/>
      <c r="B18" s="11"/>
      <c r="C18" s="7"/>
      <c r="D18" s="9" t="s">
        <v>258</v>
      </c>
      <c r="E18" s="10" t="s">
        <v>260</v>
      </c>
      <c r="F18" s="106" t="s">
        <v>376</v>
      </c>
      <c r="G18" s="12"/>
      <c r="H18" s="14" t="str">
        <f>IF(F18="YA","Praktik %","")</f>
        <v>Praktik %</v>
      </c>
      <c r="I18" s="10" t="s">
        <v>260</v>
      </c>
      <c r="J18" s="105">
        <v>0</v>
      </c>
      <c r="K18" s="13"/>
      <c r="L18" s="7"/>
      <c r="M18" s="11"/>
      <c r="N18" s="183"/>
      <c r="O18" s="11"/>
      <c r="P18" s="7"/>
      <c r="Q18" s="27" t="s">
        <v>276</v>
      </c>
      <c r="R18" s="25" t="s">
        <v>260</v>
      </c>
      <c r="S18" s="30">
        <f>IF(S6=0,0,S14/S6)</f>
        <v>0.8571428571428571</v>
      </c>
      <c r="T18" s="7"/>
      <c r="U18" s="9" t="s">
        <v>299</v>
      </c>
      <c r="V18" s="10" t="s">
        <v>260</v>
      </c>
      <c r="W18" s="128">
        <f>Konversi!$H$5</f>
        <v>71.892857142857139</v>
      </c>
      <c r="X18" s="7"/>
      <c r="Y18" s="11"/>
      <c r="Z18" s="184"/>
    </row>
    <row r="19" spans="1:26" ht="6.75" customHeight="1" x14ac:dyDescent="0.25">
      <c r="A19" s="122"/>
      <c r="B19" s="11"/>
      <c r="C19" s="7"/>
      <c r="D19" s="8"/>
      <c r="E19" s="10"/>
      <c r="F19" s="8"/>
      <c r="G19" s="12"/>
      <c r="H19" s="8"/>
      <c r="I19" s="10"/>
      <c r="J19" s="8"/>
      <c r="K19" s="13"/>
      <c r="L19" s="7"/>
      <c r="M19" s="11"/>
      <c r="N19" s="183"/>
      <c r="O19" s="11"/>
      <c r="P19" s="7"/>
      <c r="Q19" s="8"/>
      <c r="R19" s="25"/>
      <c r="S19" s="8"/>
      <c r="T19" s="7"/>
      <c r="U19" s="8"/>
      <c r="V19" s="8"/>
      <c r="W19" s="8"/>
      <c r="X19" s="7"/>
      <c r="Y19" s="11"/>
      <c r="Z19" s="184"/>
    </row>
    <row r="20" spans="1:26" ht="20.100000000000001" customHeight="1" x14ac:dyDescent="0.25">
      <c r="A20" s="122"/>
      <c r="B20" s="11"/>
      <c r="C20" s="7"/>
      <c r="D20" s="9" t="s">
        <v>375</v>
      </c>
      <c r="E20" s="10" t="s">
        <v>260</v>
      </c>
      <c r="F20" s="106" t="s">
        <v>376</v>
      </c>
      <c r="G20" s="12"/>
      <c r="H20" s="14" t="str">
        <f>IF(F20="YA","Tugas %","")</f>
        <v>Tugas %</v>
      </c>
      <c r="I20" s="10" t="s">
        <v>260</v>
      </c>
      <c r="J20" s="105">
        <v>0</v>
      </c>
      <c r="K20" s="13"/>
      <c r="L20" s="7"/>
      <c r="M20" s="11"/>
      <c r="N20" s="183"/>
      <c r="O20" s="11"/>
      <c r="P20" s="7"/>
      <c r="Q20" s="27" t="s">
        <v>299</v>
      </c>
      <c r="R20" s="25" t="s">
        <v>260</v>
      </c>
      <c r="S20" s="128">
        <f>Konversi!$E$5</f>
        <v>49.776785714285715</v>
      </c>
      <c r="T20" s="7"/>
      <c r="U20" s="9"/>
      <c r="V20" s="10" t="s">
        <v>260</v>
      </c>
      <c r="W20" s="108"/>
      <c r="X20" s="7"/>
      <c r="Y20" s="11"/>
      <c r="Z20" s="184"/>
    </row>
    <row r="21" spans="1:26" ht="6.75" customHeight="1" x14ac:dyDescent="0.2">
      <c r="A21" s="122"/>
      <c r="B21" s="11"/>
      <c r="C21" s="7"/>
      <c r="D21" s="7"/>
      <c r="E21" s="7"/>
      <c r="F21" s="7"/>
      <c r="G21" s="7"/>
      <c r="H21" s="7"/>
      <c r="I21" s="7"/>
      <c r="J21" s="7"/>
      <c r="K21" s="7"/>
      <c r="L21" s="7"/>
      <c r="M21" s="11"/>
      <c r="N21" s="183"/>
      <c r="O21" s="11"/>
      <c r="P21" s="7"/>
      <c r="Q21" s="7"/>
      <c r="R21" s="7"/>
      <c r="S21" s="7"/>
      <c r="T21" s="7"/>
      <c r="U21" s="7"/>
      <c r="V21" s="7"/>
      <c r="W21" s="7"/>
      <c r="X21" s="7"/>
      <c r="Y21" s="11"/>
      <c r="Z21" s="184"/>
    </row>
    <row r="22" spans="1:26" ht="20.100000000000001" customHeight="1" x14ac:dyDescent="0.2">
      <c r="A22" s="122"/>
      <c r="B22" s="11"/>
      <c r="C22" s="7"/>
      <c r="D22" s="7"/>
      <c r="E22" s="7"/>
      <c r="F22" s="7"/>
      <c r="G22" s="7"/>
      <c r="H22" s="7"/>
      <c r="I22" s="7"/>
      <c r="J22" s="7"/>
      <c r="K22" s="7"/>
      <c r="L22" s="7"/>
      <c r="M22" s="11"/>
      <c r="N22" s="183"/>
      <c r="O22" s="11"/>
      <c r="P22" s="7"/>
      <c r="Q22" s="7"/>
      <c r="R22" s="7"/>
      <c r="S22" s="7"/>
      <c r="T22" s="7"/>
      <c r="U22" s="7"/>
      <c r="V22" s="7"/>
      <c r="W22" s="7"/>
      <c r="X22" s="7"/>
      <c r="Y22" s="11"/>
      <c r="Z22" s="184"/>
    </row>
    <row r="23" spans="1:26" ht="6.75" customHeight="1" x14ac:dyDescent="0.2">
      <c r="A23" s="122"/>
      <c r="B23" s="11"/>
      <c r="C23" s="7"/>
      <c r="D23" s="7"/>
      <c r="E23" s="7"/>
      <c r="F23" s="7"/>
      <c r="G23" s="7"/>
      <c r="H23" s="7"/>
      <c r="I23" s="7"/>
      <c r="J23" s="7"/>
      <c r="K23" s="7"/>
      <c r="L23" s="7"/>
      <c r="M23" s="11"/>
      <c r="N23" s="183"/>
      <c r="O23" s="11"/>
      <c r="P23" s="7"/>
      <c r="Q23" s="7"/>
      <c r="R23" s="7"/>
      <c r="S23" s="7"/>
      <c r="T23" s="7"/>
      <c r="U23" s="7"/>
      <c r="V23" s="7"/>
      <c r="W23" s="7"/>
      <c r="X23" s="7"/>
      <c r="Y23" s="11"/>
      <c r="Z23" s="184"/>
    </row>
    <row r="24" spans="1:26" ht="20.100000000000001" customHeight="1" x14ac:dyDescent="0.2">
      <c r="A24" s="122"/>
      <c r="B24" s="11"/>
      <c r="C24" s="7"/>
      <c r="D24" s="7"/>
      <c r="E24" s="7"/>
      <c r="F24" s="7"/>
      <c r="G24" s="7"/>
      <c r="H24" s="7"/>
      <c r="I24" s="7"/>
      <c r="J24" s="7"/>
      <c r="K24" s="7"/>
      <c r="L24" s="7"/>
      <c r="M24" s="11"/>
      <c r="N24" s="183"/>
      <c r="O24" s="11"/>
      <c r="P24" s="7"/>
      <c r="Q24" s="7"/>
      <c r="R24" s="7"/>
      <c r="S24" s="7"/>
      <c r="T24" s="7"/>
      <c r="U24" s="7"/>
      <c r="V24" s="7"/>
      <c r="W24" s="7"/>
      <c r="X24" s="7"/>
      <c r="Y24" s="11"/>
      <c r="Z24" s="184"/>
    </row>
    <row r="25" spans="1:26" ht="6.75" customHeight="1" x14ac:dyDescent="0.2">
      <c r="A25" s="122"/>
      <c r="B25" s="11"/>
      <c r="C25" s="7"/>
      <c r="D25" s="7"/>
      <c r="E25" s="7"/>
      <c r="F25" s="7"/>
      <c r="G25" s="7"/>
      <c r="H25" s="7"/>
      <c r="I25" s="7"/>
      <c r="J25" s="7"/>
      <c r="K25" s="7"/>
      <c r="L25" s="7"/>
      <c r="M25" s="11"/>
      <c r="N25" s="183"/>
      <c r="O25" s="11"/>
      <c r="P25" s="7"/>
      <c r="Q25" s="7"/>
      <c r="R25" s="7"/>
      <c r="S25" s="7"/>
      <c r="T25" s="7"/>
      <c r="U25" s="7"/>
      <c r="V25" s="7"/>
      <c r="W25" s="7"/>
      <c r="X25" s="7"/>
      <c r="Y25" s="11"/>
      <c r="Z25" s="184"/>
    </row>
    <row r="26" spans="1:26" ht="19.5" customHeight="1" x14ac:dyDescent="0.2">
      <c r="A26" s="122"/>
      <c r="B26" s="11"/>
      <c r="C26" s="7"/>
      <c r="D26" s="7"/>
      <c r="E26" s="7"/>
      <c r="F26" s="7"/>
      <c r="G26" s="7"/>
      <c r="H26" s="7"/>
      <c r="I26" s="7"/>
      <c r="J26" s="7"/>
      <c r="K26" s="7"/>
      <c r="L26" s="7"/>
      <c r="M26" s="11"/>
      <c r="N26" s="183"/>
      <c r="O26" s="11"/>
      <c r="P26" s="7"/>
      <c r="Q26" s="7"/>
      <c r="R26" s="7"/>
      <c r="S26" s="7"/>
      <c r="T26" s="7"/>
      <c r="U26" s="7"/>
      <c r="V26" s="7"/>
      <c r="W26" s="7"/>
      <c r="X26" s="7"/>
      <c r="Y26" s="11"/>
      <c r="Z26" s="184"/>
    </row>
    <row r="27" spans="1:26" ht="19.5" customHeight="1" x14ac:dyDescent="0.2">
      <c r="A27" s="122"/>
      <c r="B27" s="11"/>
      <c r="C27" s="7"/>
      <c r="D27" s="7"/>
      <c r="E27" s="7"/>
      <c r="F27" s="7"/>
      <c r="G27" s="7"/>
      <c r="H27" s="7"/>
      <c r="I27" s="7"/>
      <c r="J27" s="7"/>
      <c r="K27" s="7"/>
      <c r="L27" s="7"/>
      <c r="M27" s="11"/>
      <c r="N27" s="183"/>
      <c r="O27" s="11"/>
      <c r="P27" s="7"/>
      <c r="Q27" s="7"/>
      <c r="R27" s="7"/>
      <c r="S27" s="7"/>
      <c r="T27" s="7"/>
      <c r="U27" s="7"/>
      <c r="V27" s="7"/>
      <c r="W27" s="7"/>
      <c r="X27" s="7"/>
      <c r="Y27" s="11"/>
      <c r="Z27" s="184"/>
    </row>
    <row r="28" spans="1:26" ht="9.75" customHeight="1" x14ac:dyDescent="0.2">
      <c r="A28" s="122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83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84"/>
    </row>
    <row r="29" spans="1:26" ht="38.25" customHeight="1" x14ac:dyDescent="0.2">
      <c r="A29" s="102"/>
      <c r="B29" s="181" t="s">
        <v>302</v>
      </c>
      <c r="C29" s="181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1"/>
      <c r="Z29" s="102"/>
    </row>
  </sheetData>
  <sheetProtection selectLockedCells="1"/>
  <mergeCells count="13">
    <mergeCell ref="B29:Y29"/>
    <mergeCell ref="B1:M1"/>
    <mergeCell ref="N2:N28"/>
    <mergeCell ref="O1:Y1"/>
    <mergeCell ref="Z2:Z28"/>
    <mergeCell ref="Q4:S4"/>
    <mergeCell ref="U4:W4"/>
    <mergeCell ref="F4:K4"/>
    <mergeCell ref="F6:K6"/>
    <mergeCell ref="J8:K8"/>
    <mergeCell ref="J10:K10"/>
    <mergeCell ref="F10:H10"/>
    <mergeCell ref="F8:H8"/>
  </mergeCells>
  <conditionalFormatting sqref="W14 W1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{6FD17727-B18E-41A8-AFDE-E5CC9AE87EF4}</x14:id>
        </ext>
      </extLst>
    </cfRule>
  </conditionalFormatting>
  <conditionalFormatting sqref="S18 S16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{8DE20BC7-8483-4993-A27E-7DA3E0CE4301}</x14:id>
        </ext>
      </extLst>
    </cfRule>
  </conditionalFormatting>
  <conditionalFormatting sqref="S12 S14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{2B7DFC0E-84BA-4621-A01E-95E47DECC23C}</x14:id>
        </ext>
      </extLst>
    </cfRule>
  </conditionalFormatting>
  <conditionalFormatting sqref="S8 S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{EEF9EA4C-3E2B-4E8F-A1AC-09E89148C3F3}</x14:id>
        </ext>
      </extLst>
    </cfRule>
  </conditionalFormatting>
  <conditionalFormatting sqref="J16 J20 J1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{DFFFA9D2-B76A-4379-91B9-87F3CDE2536E}</x14:id>
        </ext>
      </extLst>
    </cfRule>
  </conditionalFormatting>
  <conditionalFormatting sqref="J20 J16 J18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{33DFFABB-5CE6-44E4-AE01-C811BF59D2D9}</x14:id>
        </ext>
      </extLst>
    </cfRule>
  </conditionalFormatting>
  <conditionalFormatting sqref="W18">
    <cfRule type="iconSet" priority="6">
      <iconSet iconSet="3Symbols2">
        <cfvo type="percent" val="0"/>
        <cfvo type="num" val="50"/>
        <cfvo type="num" val="$J$14"/>
      </iconSet>
    </cfRule>
  </conditionalFormatting>
  <conditionalFormatting sqref="W8">
    <cfRule type="cellIs" dxfId="17" priority="5" operator="greaterThan">
      <formula>$W$6</formula>
    </cfRule>
  </conditionalFormatting>
  <conditionalFormatting sqref="W6">
    <cfRule type="cellIs" dxfId="16" priority="4" operator="lessThan">
      <formula>$W$8</formula>
    </cfRule>
  </conditionalFormatting>
  <conditionalFormatting sqref="J20">
    <cfRule type="expression" dxfId="15" priority="3" stopIfTrue="1">
      <formula>IF($F$20="TIDAK",TRUE,FALSE)</formula>
    </cfRule>
  </conditionalFormatting>
  <conditionalFormatting sqref="J18">
    <cfRule type="expression" dxfId="14" priority="2" stopIfTrue="1">
      <formula>IF($F$18="TIDAK",TRUE,FALSE)</formula>
    </cfRule>
  </conditionalFormatting>
  <conditionalFormatting sqref="S20">
    <cfRule type="iconSet" priority="1">
      <iconSet iconSet="3Symbols2">
        <cfvo type="percent" val="0"/>
        <cfvo type="num" val="40"/>
        <cfvo type="num" val="$J$12"/>
      </iconSet>
    </cfRule>
  </conditionalFormatting>
  <dataValidations count="11">
    <dataValidation type="list" showInputMessage="1" showErrorMessage="1" sqref="F18 F20" xr:uid="{85A39A34-82D2-4473-AC1B-8DC18341CEA5}">
      <formula1>"YA,TIDAK"</formula1>
    </dataValidation>
    <dataValidation type="list" showInputMessage="1" showErrorMessage="1" sqref="J10:K10" xr:uid="{C192391F-9BCF-4C96-844F-E7456049A816}">
      <formula1>"Ganjil,Genap"</formula1>
    </dataValidation>
    <dataValidation type="list" showInputMessage="1" showErrorMessage="1" sqref="F10:H10" xr:uid="{B5364AEB-5B6A-4306-8F0E-5B245DB3E3D7}">
      <formula1>"2023,2024,2025,2026"</formula1>
    </dataValidation>
    <dataValidation type="list" showInputMessage="1" showErrorMessage="1" sqref="F8:H8" xr:uid="{4F8DAF71-0271-4E50-BDFE-1EE1880F3EB9}">
      <formula1>"X,XI,XII"</formula1>
    </dataValidation>
    <dataValidation type="whole" allowBlank="1" showInputMessage="1" showErrorMessage="1" errorTitle="Peringatan" error="Soal digunakan tidak boleh melebihi Jumlah Soal" sqref="F14" xr:uid="{ED1502AE-3BF9-41CB-A3BF-F18F1F6DCC51}">
      <formula1>1</formula1>
      <formula2>$F$12</formula2>
    </dataValidation>
    <dataValidation type="whole" allowBlank="1" showInputMessage="1" showErrorMessage="1" errorTitle="Peringatan" error="Masukkan Angka dari 1 sampai dengan 5" sqref="F16" xr:uid="{DE63703D-2EF3-46AE-B254-492D5CDD7AF2}">
      <formula1>1</formula1>
      <formula2>5</formula2>
    </dataValidation>
    <dataValidation showInputMessage="1" showErrorMessage="1" sqref="I10 I8 H18:H20 F19" xr:uid="{E348502A-BD65-4486-BA45-7E1773956343}"/>
    <dataValidation type="list" allowBlank="1" showInputMessage="1" showErrorMessage="1" sqref="J8:K8" xr:uid="{E209611E-9120-4272-BB63-C958AB5B380F}">
      <formula1>"SEMUA,MERDEKA,IPS,MIPA"</formula1>
    </dataValidation>
    <dataValidation type="whole" allowBlank="1" showInputMessage="1" showErrorMessage="1" errorTitle="Peringatan" error="Masukkan Angka dari 25 sampai dengan 60" sqref="F12" xr:uid="{E4E49C98-3E47-4B2E-9815-2189543C041E}">
      <formula1>25</formula1>
      <formula2>60</formula2>
    </dataValidation>
    <dataValidation type="textLength" operator="lessThan" allowBlank="1" showInputMessage="1" showErrorMessage="1" errorTitle="Peringatan" error="Nilai Tidak Valid" sqref="W8" xr:uid="{524A1700-902D-42F4-A16B-DB2E41A835C2}">
      <formula1>W6</formula1>
    </dataValidation>
    <dataValidation operator="greaterThan" allowBlank="1" showInputMessage="1" showErrorMessage="1" errorTitle="Peringatan" error="Nilai Tidak Valid" sqref="W6" xr:uid="{4F2BBC2A-E958-4BD7-BE5D-A5AD3CD1919C}"/>
  </dataValidations>
  <pageMargins left="0.7" right="0.7" top="0.75" bottom="0.75" header="0.3" footer="0.3"/>
  <pageSetup paperSize="9"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D17727-B18E-41A8-AFDE-E5CC9AE87E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W14 W16</xm:sqref>
        </x14:conditionalFormatting>
        <x14:conditionalFormatting xmlns:xm="http://schemas.microsoft.com/office/excel/2006/main">
          <x14:cfRule type="dataBar" id="{8DE20BC7-8483-4993-A27E-7DA3E0CE430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S18 S16</xm:sqref>
        </x14:conditionalFormatting>
        <x14:conditionalFormatting xmlns:xm="http://schemas.microsoft.com/office/excel/2006/main">
          <x14:cfRule type="dataBar" id="{2B7DFC0E-84BA-4621-A01E-95E47DECC2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S12 S14</xm:sqref>
        </x14:conditionalFormatting>
        <x14:conditionalFormatting xmlns:xm="http://schemas.microsoft.com/office/excel/2006/main">
          <x14:cfRule type="dataBar" id="{EEF9EA4C-3E2B-4E8F-A1AC-09E89148C3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 S10</xm:sqref>
        </x14:conditionalFormatting>
        <x14:conditionalFormatting xmlns:xm="http://schemas.microsoft.com/office/excel/2006/main">
          <x14:cfRule type="dataBar" id="{DFFFA9D2-B76A-4379-91B9-87F3CDE253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J16 J20 J18</xm:sqref>
        </x14:conditionalFormatting>
        <x14:conditionalFormatting xmlns:xm="http://schemas.microsoft.com/office/excel/2006/main">
          <x14:cfRule type="dataBar" id="{33DFFABB-5CE6-44E4-AE01-C811BF59D2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J20 J16 J18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96C70B57-11D7-4F0C-9CF1-9A410EF3B213}">
          <x14:formula1>
            <xm:f>DATAINFO!$F$2:$F$30</xm:f>
          </x14:formula1>
          <xm:sqref>F4:K4</xm:sqref>
        </x14:dataValidation>
        <x14:dataValidation type="list" allowBlank="1" showInputMessage="1" xr:uid="{9677F26D-1300-4C76-8BCF-36C3C5730DC9}">
          <x14:formula1>
            <xm:f>DATAINFO!$A$2:$A$49</xm:f>
          </x14:formula1>
          <xm:sqref>F6:K6</xm:sqref>
        </x14:dataValidation>
        <x14:dataValidation type="custom" operator="lessThan" allowBlank="1" showInputMessage="1" showErrorMessage="1" errorTitle="Peringatan" error="Total persen tidak boleh lebih 100%" xr:uid="{D5677902-C96D-4F5B-80A1-5669C6E92B25}">
          <x14:formula1>
            <xm:f>IF(DATAINFO!$L$4&gt;=$J$16,TRUE,FALSE)</xm:f>
          </x14:formula1>
          <xm:sqref>J16</xm:sqref>
        </x14:dataValidation>
        <x14:dataValidation type="custom" operator="lessThan" allowBlank="1" showInputMessage="1" showErrorMessage="1" errorTitle="Peringatan" error="Total persen tidak boleh lebih 100%" xr:uid="{901C2D4F-5031-4D06-B711-C0F43171D0A2}">
          <x14:formula1>
            <xm:f>IF(DATAINFO!$L$5&gt;=$J$18,TRUE,FALSE)</xm:f>
          </x14:formula1>
          <xm:sqref>J18</xm:sqref>
        </x14:dataValidation>
        <x14:dataValidation type="custom" operator="lessThan" allowBlank="1" showInputMessage="1" showErrorMessage="1" errorTitle="Peringatan" error="Total persen tidak boleh lebih 100%" xr:uid="{8E9E1D8A-2C71-4411-8C0F-807F184EF2A7}">
          <x14:formula1>
            <xm:f>IF(DATAINFO!$L$6&gt;=$J$20,TRUE,FALSE)</xm:f>
          </x14:formula1>
          <xm:sqref>J20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C54C7-7C6D-49C5-953C-893AEF338D3E}">
  <sheetPr codeName="Sheet2">
    <tabColor rgb="FF00B0F0"/>
    <pageSetUpPr fitToPage="1"/>
  </sheetPr>
  <dimension ref="A1:BR237"/>
  <sheetViews>
    <sheetView topLeftCell="A8" zoomScaleNormal="100" workbookViewId="0">
      <pane xSplit="2" ySplit="2" topLeftCell="C10" activePane="bottomRight" state="frozen"/>
      <selection activeCell="A8" sqref="A8"/>
      <selection pane="topRight" activeCell="C8" sqref="C8"/>
      <selection pane="bottomLeft" activeCell="A10" sqref="A10"/>
      <selection pane="bottomRight" activeCell="D10" sqref="D10"/>
    </sheetView>
  </sheetViews>
  <sheetFormatPr defaultColWidth="9.140625" defaultRowHeight="15" x14ac:dyDescent="0.25"/>
  <cols>
    <col min="1" max="1" width="4.85546875" style="80" customWidth="1"/>
    <col min="2" max="2" width="13.7109375" style="19" customWidth="1"/>
    <col min="3" max="3" width="23.5703125" style="81" bestFit="1" customWidth="1"/>
    <col min="4" max="5" width="3.28515625" style="19" bestFit="1" customWidth="1"/>
    <col min="6" max="6" width="3.140625" style="19" bestFit="1" customWidth="1"/>
    <col min="7" max="9" width="3.28515625" style="19" bestFit="1" customWidth="1"/>
    <col min="10" max="10" width="3" style="19" bestFit="1" customWidth="1"/>
    <col min="11" max="12" width="3.42578125" style="19" bestFit="1" customWidth="1"/>
    <col min="13" max="13" width="3.28515625" style="19" bestFit="1" customWidth="1"/>
    <col min="14" max="14" width="3.42578125" style="19" bestFit="1" customWidth="1"/>
    <col min="15" max="15" width="3.28515625" style="19" bestFit="1" customWidth="1"/>
    <col min="16" max="16" width="3" style="19" customWidth="1"/>
    <col min="17" max="26" width="3.28515625" style="19" bestFit="1" customWidth="1"/>
    <col min="27" max="27" width="3.42578125" style="19" bestFit="1" customWidth="1"/>
    <col min="28" max="28" width="3.28515625" style="19" bestFit="1" customWidth="1"/>
    <col min="29" max="29" width="3.42578125" style="19" bestFit="1" customWidth="1"/>
    <col min="30" max="30" width="3.28515625" style="19" bestFit="1" customWidth="1"/>
    <col min="31" max="31" width="3.42578125" style="19" bestFit="1" customWidth="1"/>
    <col min="32" max="33" width="3.28515625" style="19" bestFit="1" customWidth="1"/>
    <col min="34" max="39" width="3.28515625" style="19" customWidth="1"/>
    <col min="40" max="42" width="3" style="19" customWidth="1"/>
    <col min="43" max="43" width="3.42578125" style="19" customWidth="1"/>
    <col min="44" max="57" width="3.28515625" style="19" hidden="1" customWidth="1"/>
    <col min="58" max="58" width="3.42578125" style="19" hidden="1" customWidth="1"/>
    <col min="59" max="60" width="3.28515625" style="19" hidden="1" customWidth="1"/>
    <col min="61" max="61" width="3.42578125" style="19" hidden="1" customWidth="1"/>
    <col min="62" max="63" width="3.28515625" style="19" hidden="1" customWidth="1"/>
    <col min="64" max="65" width="5.140625" style="19" customWidth="1"/>
    <col min="66" max="68" width="7.140625" style="82" customWidth="1"/>
    <col min="69" max="69" width="10.28515625" style="19" hidden="1" customWidth="1"/>
    <col min="70" max="70" width="12.5703125" style="19" hidden="1" customWidth="1"/>
    <col min="71" max="16384" width="9.140625" style="19"/>
  </cols>
  <sheetData>
    <row r="1" spans="1:70" ht="22.5" customHeight="1" x14ac:dyDescent="0.25">
      <c r="A1" s="189" t="s">
        <v>9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</row>
    <row r="3" spans="1:70" ht="15.75" x14ac:dyDescent="0.25">
      <c r="A3" s="191" t="s">
        <v>10</v>
      </c>
      <c r="B3" s="191"/>
      <c r="C3" s="59" t="str">
        <f>DATA!$F$4</f>
        <v>BAHASA INGGRIS</v>
      </c>
    </row>
    <row r="4" spans="1:70" ht="15.75" x14ac:dyDescent="0.25">
      <c r="A4" s="191" t="s">
        <v>11</v>
      </c>
      <c r="B4" s="191"/>
      <c r="C4" s="59" t="str">
        <f>DATA!$F$6</f>
        <v>Abdul Hadi</v>
      </c>
    </row>
    <row r="5" spans="1:70" ht="15.75" x14ac:dyDescent="0.25">
      <c r="A5" s="191" t="s">
        <v>12</v>
      </c>
      <c r="B5" s="191"/>
      <c r="C5" s="59" t="str">
        <f>DATA!$F$8&amp;" "&amp;DATA!J8</f>
        <v>XII SEMUA</v>
      </c>
    </row>
    <row r="6" spans="1:70" ht="15.75" x14ac:dyDescent="0.25">
      <c r="A6" s="192" t="s">
        <v>13</v>
      </c>
      <c r="B6" s="192"/>
      <c r="C6" s="59" t="str">
        <f>DATA!$F$10&amp;"/"&amp;DATA!$J$10</f>
        <v>2024/Ganjil</v>
      </c>
    </row>
    <row r="7" spans="1:70" x14ac:dyDescent="0.25">
      <c r="B7" s="81"/>
      <c r="D7" s="136">
        <f>DATA!F12</f>
        <v>40</v>
      </c>
    </row>
    <row r="8" spans="1:70" s="84" customFormat="1" ht="15.75" x14ac:dyDescent="0.25">
      <c r="A8" s="190" t="s">
        <v>14</v>
      </c>
      <c r="B8" s="190" t="s">
        <v>15</v>
      </c>
      <c r="C8" s="190" t="s">
        <v>16</v>
      </c>
      <c r="D8" s="83">
        <v>1</v>
      </c>
      <c r="E8" s="83">
        <v>2</v>
      </c>
      <c r="F8" s="83">
        <v>3</v>
      </c>
      <c r="G8" s="83">
        <v>4</v>
      </c>
      <c r="H8" s="83">
        <v>5</v>
      </c>
      <c r="I8" s="83">
        <v>6</v>
      </c>
      <c r="J8" s="83">
        <v>7</v>
      </c>
      <c r="K8" s="83">
        <v>8</v>
      </c>
      <c r="L8" s="83">
        <v>9</v>
      </c>
      <c r="M8" s="83">
        <v>10</v>
      </c>
      <c r="N8" s="83">
        <v>11</v>
      </c>
      <c r="O8" s="83">
        <v>12</v>
      </c>
      <c r="P8" s="83">
        <v>13</v>
      </c>
      <c r="Q8" s="83">
        <v>14</v>
      </c>
      <c r="R8" s="83">
        <v>15</v>
      </c>
      <c r="S8" s="83">
        <v>16</v>
      </c>
      <c r="T8" s="83">
        <v>17</v>
      </c>
      <c r="U8" s="83">
        <v>18</v>
      </c>
      <c r="V8" s="83">
        <v>19</v>
      </c>
      <c r="W8" s="83">
        <v>20</v>
      </c>
      <c r="X8" s="83">
        <v>21</v>
      </c>
      <c r="Y8" s="83">
        <v>22</v>
      </c>
      <c r="Z8" s="83">
        <v>23</v>
      </c>
      <c r="AA8" s="83">
        <v>24</v>
      </c>
      <c r="AB8" s="83">
        <v>25</v>
      </c>
      <c r="AC8" s="83">
        <v>26</v>
      </c>
      <c r="AD8" s="83">
        <v>27</v>
      </c>
      <c r="AE8" s="83">
        <v>28</v>
      </c>
      <c r="AF8" s="83">
        <v>29</v>
      </c>
      <c r="AG8" s="83">
        <v>30</v>
      </c>
      <c r="AH8" s="83">
        <v>31</v>
      </c>
      <c r="AI8" s="83">
        <v>32</v>
      </c>
      <c r="AJ8" s="83">
        <v>33</v>
      </c>
      <c r="AK8" s="83">
        <v>34</v>
      </c>
      <c r="AL8" s="83">
        <v>35</v>
      </c>
      <c r="AM8" s="83">
        <v>36</v>
      </c>
      <c r="AN8" s="83">
        <v>37</v>
      </c>
      <c r="AO8" s="83">
        <v>38</v>
      </c>
      <c r="AP8" s="83">
        <v>39</v>
      </c>
      <c r="AQ8" s="83">
        <v>40</v>
      </c>
      <c r="AR8" s="83">
        <v>41</v>
      </c>
      <c r="AS8" s="83">
        <v>42</v>
      </c>
      <c r="AT8" s="83">
        <v>43</v>
      </c>
      <c r="AU8" s="83">
        <v>44</v>
      </c>
      <c r="AV8" s="83">
        <v>45</v>
      </c>
      <c r="AW8" s="83">
        <v>46</v>
      </c>
      <c r="AX8" s="83">
        <v>47</v>
      </c>
      <c r="AY8" s="83">
        <v>48</v>
      </c>
      <c r="AZ8" s="83">
        <v>49</v>
      </c>
      <c r="BA8" s="83">
        <v>50</v>
      </c>
      <c r="BB8" s="83">
        <v>51</v>
      </c>
      <c r="BC8" s="83">
        <v>52</v>
      </c>
      <c r="BD8" s="83">
        <v>53</v>
      </c>
      <c r="BE8" s="83">
        <v>54</v>
      </c>
      <c r="BF8" s="83">
        <v>55</v>
      </c>
      <c r="BG8" s="83">
        <v>56</v>
      </c>
      <c r="BH8" s="83">
        <v>57</v>
      </c>
      <c r="BI8" s="83">
        <v>58</v>
      </c>
      <c r="BJ8" s="83">
        <v>59</v>
      </c>
      <c r="BK8" s="83">
        <v>60</v>
      </c>
      <c r="BL8" s="193" t="s">
        <v>17</v>
      </c>
      <c r="BM8" s="194" t="s">
        <v>18</v>
      </c>
      <c r="BN8" s="195" t="s">
        <v>19</v>
      </c>
      <c r="BO8" s="195" t="s">
        <v>20</v>
      </c>
      <c r="BP8" s="195" t="s">
        <v>21</v>
      </c>
      <c r="BQ8" s="3"/>
      <c r="BR8" s="3" t="s">
        <v>22</v>
      </c>
    </row>
    <row r="9" spans="1:70" s="84" customFormat="1" ht="15.75" x14ac:dyDescent="0.25">
      <c r="A9" s="190"/>
      <c r="B9" s="190"/>
      <c r="C9" s="190"/>
      <c r="D9" s="142" t="s">
        <v>24</v>
      </c>
      <c r="E9" s="142" t="s">
        <v>26</v>
      </c>
      <c r="F9" s="142" t="s">
        <v>27</v>
      </c>
      <c r="G9" s="142" t="s">
        <v>24</v>
      </c>
      <c r="H9" s="142" t="s">
        <v>24</v>
      </c>
      <c r="I9" s="142" t="s">
        <v>25</v>
      </c>
      <c r="J9" s="142" t="s">
        <v>26</v>
      </c>
      <c r="K9" s="142" t="s">
        <v>24</v>
      </c>
      <c r="L9" s="142" t="s">
        <v>26</v>
      </c>
      <c r="M9" s="142" t="s">
        <v>26</v>
      </c>
      <c r="N9" s="142" t="s">
        <v>27</v>
      </c>
      <c r="O9" s="142" t="s">
        <v>25</v>
      </c>
      <c r="P9" s="142" t="s">
        <v>26</v>
      </c>
      <c r="Q9" s="142" t="s">
        <v>24</v>
      </c>
      <c r="R9" s="142" t="s">
        <v>27</v>
      </c>
      <c r="S9" s="142" t="s">
        <v>26</v>
      </c>
      <c r="T9" s="142" t="s">
        <v>27</v>
      </c>
      <c r="U9" s="142" t="s">
        <v>23</v>
      </c>
      <c r="V9" s="142" t="s">
        <v>24</v>
      </c>
      <c r="W9" s="142" t="s">
        <v>24</v>
      </c>
      <c r="X9" s="142" t="s">
        <v>26</v>
      </c>
      <c r="Y9" s="142" t="s">
        <v>26</v>
      </c>
      <c r="Z9" s="142" t="s">
        <v>23</v>
      </c>
      <c r="AA9" s="142" t="s">
        <v>25</v>
      </c>
      <c r="AB9" s="142" t="s">
        <v>27</v>
      </c>
      <c r="AC9" s="142" t="s">
        <v>27</v>
      </c>
      <c r="AD9" s="142" t="s">
        <v>25</v>
      </c>
      <c r="AE9" s="142" t="s">
        <v>27</v>
      </c>
      <c r="AF9" s="142" t="s">
        <v>25</v>
      </c>
      <c r="AG9" s="142" t="s">
        <v>27</v>
      </c>
      <c r="AH9" s="142" t="s">
        <v>26</v>
      </c>
      <c r="AI9" s="142" t="s">
        <v>25</v>
      </c>
      <c r="AJ9" s="142" t="s">
        <v>27</v>
      </c>
      <c r="AK9" s="142" t="s">
        <v>23</v>
      </c>
      <c r="AL9" s="142" t="s">
        <v>27</v>
      </c>
      <c r="AM9" s="142" t="s">
        <v>24</v>
      </c>
      <c r="AN9" s="142" t="s">
        <v>27</v>
      </c>
      <c r="AO9" s="142" t="s">
        <v>26</v>
      </c>
      <c r="AP9" s="142" t="s">
        <v>27</v>
      </c>
      <c r="AQ9" s="142" t="s">
        <v>26</v>
      </c>
      <c r="AR9" s="142" t="s">
        <v>23</v>
      </c>
      <c r="AS9" s="142" t="s">
        <v>25</v>
      </c>
      <c r="AT9" s="142" t="s">
        <v>26</v>
      </c>
      <c r="AU9" s="142" t="s">
        <v>26</v>
      </c>
      <c r="AV9" s="142" t="s">
        <v>24</v>
      </c>
      <c r="AW9" s="142"/>
      <c r="AX9" s="142"/>
      <c r="AY9" s="142"/>
      <c r="AZ9" s="142"/>
      <c r="BA9" s="142"/>
      <c r="BB9" s="142"/>
      <c r="BC9" s="142"/>
      <c r="BD9" s="142"/>
      <c r="BE9" s="142"/>
      <c r="BF9" s="142"/>
      <c r="BG9" s="140"/>
      <c r="BH9" s="140"/>
      <c r="BI9" s="140"/>
      <c r="BJ9" s="140"/>
      <c r="BK9" s="140"/>
      <c r="BL9" s="193"/>
      <c r="BM9" s="194"/>
      <c r="BN9" s="195"/>
      <c r="BO9" s="195"/>
      <c r="BP9" s="195"/>
      <c r="BQ9" s="3"/>
      <c r="BR9" s="3"/>
    </row>
    <row r="10" spans="1:70" ht="15" customHeight="1" x14ac:dyDescent="0.25">
      <c r="A10" s="83">
        <f>IF(B10="","",COUNTA($B$10:$B10))</f>
        <v>1</v>
      </c>
      <c r="B10" s="137">
        <v>234586</v>
      </c>
      <c r="C10" s="138" t="s">
        <v>377</v>
      </c>
      <c r="D10" s="141" t="s">
        <v>23</v>
      </c>
      <c r="E10" s="141" t="s">
        <v>26</v>
      </c>
      <c r="F10" s="141"/>
      <c r="G10" s="141" t="s">
        <v>24</v>
      </c>
      <c r="H10" s="141" t="s">
        <v>27</v>
      </c>
      <c r="I10" s="141"/>
      <c r="J10" s="141" t="s">
        <v>26</v>
      </c>
      <c r="K10" s="141" t="s">
        <v>24</v>
      </c>
      <c r="L10" s="141" t="s">
        <v>26</v>
      </c>
      <c r="M10" s="141" t="s">
        <v>26</v>
      </c>
      <c r="N10" s="141" t="s">
        <v>24</v>
      </c>
      <c r="O10" s="141" t="s">
        <v>25</v>
      </c>
      <c r="P10" s="141" t="s">
        <v>24</v>
      </c>
      <c r="Q10" s="141" t="s">
        <v>24</v>
      </c>
      <c r="R10" s="141" t="s">
        <v>24</v>
      </c>
      <c r="S10" s="141" t="s">
        <v>26</v>
      </c>
      <c r="T10" s="141" t="s">
        <v>23</v>
      </c>
      <c r="U10" s="141" t="s">
        <v>24</v>
      </c>
      <c r="V10" s="141" t="s">
        <v>25</v>
      </c>
      <c r="W10" s="141" t="s">
        <v>24</v>
      </c>
      <c r="X10" s="141" t="s">
        <v>25</v>
      </c>
      <c r="Y10" s="141" t="s">
        <v>26</v>
      </c>
      <c r="Z10" s="141" t="s">
        <v>25</v>
      </c>
      <c r="AA10" s="141" t="s">
        <v>25</v>
      </c>
      <c r="AB10" s="141" t="s">
        <v>27</v>
      </c>
      <c r="AC10" s="141" t="s">
        <v>27</v>
      </c>
      <c r="AD10" s="141" t="s">
        <v>25</v>
      </c>
      <c r="AE10" s="141" t="s">
        <v>26</v>
      </c>
      <c r="AF10" s="141" t="s">
        <v>24</v>
      </c>
      <c r="AG10" s="141" t="s">
        <v>27</v>
      </c>
      <c r="AH10" s="141"/>
      <c r="AI10" s="141" t="s">
        <v>25</v>
      </c>
      <c r="AJ10" s="141" t="s">
        <v>27</v>
      </c>
      <c r="AK10" s="141" t="s">
        <v>27</v>
      </c>
      <c r="AL10" s="141" t="s">
        <v>27</v>
      </c>
      <c r="AM10" s="141" t="s">
        <v>23</v>
      </c>
      <c r="AN10" s="141" t="s">
        <v>27</v>
      </c>
      <c r="AO10" s="141" t="s">
        <v>24</v>
      </c>
      <c r="AP10" s="141" t="s">
        <v>27</v>
      </c>
      <c r="AQ10" s="141" t="s">
        <v>26</v>
      </c>
      <c r="AR10" s="141" t="s">
        <v>23</v>
      </c>
      <c r="AS10" s="141"/>
      <c r="AT10" s="141"/>
      <c r="AU10" s="141" t="s">
        <v>26</v>
      </c>
      <c r="AV10" s="141" t="s">
        <v>24</v>
      </c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61">
        <f>SEKOR!BN3</f>
        <v>25</v>
      </c>
      <c r="BM10" s="61">
        <f>SEKOR!BO3</f>
        <v>15</v>
      </c>
      <c r="BN10" s="62">
        <f>SEKOR!BP3</f>
        <v>62.5</v>
      </c>
      <c r="BO10" s="62">
        <f>SEKOR!BQ3</f>
        <v>80.645161290322577</v>
      </c>
      <c r="BP10" s="63">
        <f>SEKOR!BT3</f>
        <v>80</v>
      </c>
      <c r="BQ10" s="85"/>
      <c r="BR10" s="86" t="s">
        <v>29</v>
      </c>
    </row>
    <row r="11" spans="1:70" ht="15" customHeight="1" x14ac:dyDescent="0.25">
      <c r="A11" s="83">
        <f>IF(B11="","",COUNTA($B$10:$B11))</f>
        <v>2</v>
      </c>
      <c r="B11" s="137" t="s">
        <v>378</v>
      </c>
      <c r="C11" s="138" t="s">
        <v>379</v>
      </c>
      <c r="D11" s="141" t="s">
        <v>24</v>
      </c>
      <c r="E11" s="141" t="s">
        <v>26</v>
      </c>
      <c r="F11" s="141" t="s">
        <v>27</v>
      </c>
      <c r="G11" s="141" t="s">
        <v>24</v>
      </c>
      <c r="H11" s="141" t="s">
        <v>24</v>
      </c>
      <c r="I11" s="141" t="s">
        <v>25</v>
      </c>
      <c r="J11" s="141" t="s">
        <v>26</v>
      </c>
      <c r="K11" s="141" t="s">
        <v>25</v>
      </c>
      <c r="L11" s="141"/>
      <c r="M11" s="141" t="s">
        <v>26</v>
      </c>
      <c r="N11" s="141" t="s">
        <v>23</v>
      </c>
      <c r="O11" s="141" t="s">
        <v>25</v>
      </c>
      <c r="P11" s="141" t="s">
        <v>24</v>
      </c>
      <c r="Q11" s="141" t="s">
        <v>27</v>
      </c>
      <c r="R11" s="141" t="s">
        <v>24</v>
      </c>
      <c r="S11" s="141" t="s">
        <v>26</v>
      </c>
      <c r="T11" s="141" t="s">
        <v>27</v>
      </c>
      <c r="U11" s="141" t="s">
        <v>23</v>
      </c>
      <c r="V11" s="141" t="s">
        <v>24</v>
      </c>
      <c r="W11" s="141" t="s">
        <v>24</v>
      </c>
      <c r="X11" s="141"/>
      <c r="Y11" s="141" t="s">
        <v>26</v>
      </c>
      <c r="Z11" s="141" t="s">
        <v>25</v>
      </c>
      <c r="AA11" s="141" t="s">
        <v>24</v>
      </c>
      <c r="AB11" s="141" t="s">
        <v>23</v>
      </c>
      <c r="AC11" s="141" t="s">
        <v>27</v>
      </c>
      <c r="AD11" s="141" t="s">
        <v>23</v>
      </c>
      <c r="AE11" s="141" t="s">
        <v>27</v>
      </c>
      <c r="AF11" s="141" t="s">
        <v>25</v>
      </c>
      <c r="AG11" s="141" t="s">
        <v>27</v>
      </c>
      <c r="AH11" s="141" t="s">
        <v>26</v>
      </c>
      <c r="AI11" s="141" t="s">
        <v>25</v>
      </c>
      <c r="AJ11" s="141" t="s">
        <v>27</v>
      </c>
      <c r="AK11" s="141" t="s">
        <v>23</v>
      </c>
      <c r="AL11" s="141" t="s">
        <v>27</v>
      </c>
      <c r="AM11" s="141"/>
      <c r="AN11" s="141" t="s">
        <v>27</v>
      </c>
      <c r="AO11" s="141" t="s">
        <v>24</v>
      </c>
      <c r="AP11" s="141" t="s">
        <v>27</v>
      </c>
      <c r="AQ11" s="141" t="s">
        <v>26</v>
      </c>
      <c r="AR11" s="141"/>
      <c r="AS11" s="141"/>
      <c r="AT11" s="141" t="s">
        <v>26</v>
      </c>
      <c r="AU11" s="141" t="s">
        <v>26</v>
      </c>
      <c r="AV11" s="141" t="s">
        <v>24</v>
      </c>
      <c r="AW11" s="141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61">
        <f>SEKOR!BN4</f>
        <v>30</v>
      </c>
      <c r="BM11" s="61">
        <f>SEKOR!BO4</f>
        <v>10</v>
      </c>
      <c r="BN11" s="62">
        <f>SEKOR!BP4</f>
        <v>75</v>
      </c>
      <c r="BO11" s="62">
        <f>SEKOR!BQ4</f>
        <v>96.774193548387103</v>
      </c>
      <c r="BP11" s="63">
        <f>SEKOR!BT4</f>
        <v>89</v>
      </c>
      <c r="BQ11" s="85"/>
      <c r="BR11" s="86" t="s">
        <v>29</v>
      </c>
    </row>
    <row r="12" spans="1:70" ht="15" customHeight="1" x14ac:dyDescent="0.25">
      <c r="A12" s="83">
        <f>IF(B12="","",COUNTA($B$10:$B12))</f>
        <v>3</v>
      </c>
      <c r="B12" s="137" t="s">
        <v>380</v>
      </c>
      <c r="C12" s="138" t="s">
        <v>381</v>
      </c>
      <c r="D12" s="141" t="s">
        <v>23</v>
      </c>
      <c r="E12" s="141" t="s">
        <v>26</v>
      </c>
      <c r="F12" s="141" t="s">
        <v>27</v>
      </c>
      <c r="G12" s="141" t="s">
        <v>24</v>
      </c>
      <c r="H12" s="141"/>
      <c r="I12" s="141" t="s">
        <v>26</v>
      </c>
      <c r="J12" s="141" t="s">
        <v>26</v>
      </c>
      <c r="K12" s="141" t="s">
        <v>24</v>
      </c>
      <c r="L12" s="141" t="s">
        <v>26</v>
      </c>
      <c r="M12" s="141" t="s">
        <v>23</v>
      </c>
      <c r="N12" s="141" t="s">
        <v>26</v>
      </c>
      <c r="O12" s="141" t="s">
        <v>26</v>
      </c>
      <c r="P12" s="141" t="s">
        <v>24</v>
      </c>
      <c r="Q12" s="141" t="s">
        <v>24</v>
      </c>
      <c r="R12" s="141" t="s">
        <v>24</v>
      </c>
      <c r="S12" s="141" t="s">
        <v>26</v>
      </c>
      <c r="T12" s="141" t="s">
        <v>27</v>
      </c>
      <c r="U12" s="141" t="s">
        <v>24</v>
      </c>
      <c r="V12" s="141" t="s">
        <v>25</v>
      </c>
      <c r="W12" s="141"/>
      <c r="X12" s="141" t="s">
        <v>26</v>
      </c>
      <c r="Y12" s="141"/>
      <c r="Z12" s="141" t="s">
        <v>25</v>
      </c>
      <c r="AA12" s="141" t="s">
        <v>24</v>
      </c>
      <c r="AB12" s="141" t="s">
        <v>27</v>
      </c>
      <c r="AC12" s="141"/>
      <c r="AD12" s="141" t="s">
        <v>25</v>
      </c>
      <c r="AE12" s="141" t="s">
        <v>23</v>
      </c>
      <c r="AF12" s="141" t="s">
        <v>24</v>
      </c>
      <c r="AG12" s="141" t="s">
        <v>27</v>
      </c>
      <c r="AH12" s="141" t="s">
        <v>25</v>
      </c>
      <c r="AI12" s="141" t="s">
        <v>25</v>
      </c>
      <c r="AJ12" s="141" t="s">
        <v>27</v>
      </c>
      <c r="AK12" s="141" t="s">
        <v>27</v>
      </c>
      <c r="AL12" s="141" t="s">
        <v>27</v>
      </c>
      <c r="AM12" s="141" t="s">
        <v>27</v>
      </c>
      <c r="AN12" s="141" t="s">
        <v>27</v>
      </c>
      <c r="AO12" s="141" t="s">
        <v>24</v>
      </c>
      <c r="AP12" s="141"/>
      <c r="AQ12" s="141" t="s">
        <v>26</v>
      </c>
      <c r="AR12" s="141" t="s">
        <v>23</v>
      </c>
      <c r="AS12" s="141" t="s">
        <v>27</v>
      </c>
      <c r="AT12" s="141" t="s">
        <v>27</v>
      </c>
      <c r="AU12" s="141" t="s">
        <v>26</v>
      </c>
      <c r="AV12" s="141" t="s">
        <v>24</v>
      </c>
      <c r="AW12" s="141"/>
      <c r="AX12" s="141"/>
      <c r="AY12" s="141"/>
      <c r="AZ12" s="141"/>
      <c r="BA12" s="141"/>
      <c r="BB12" s="141"/>
      <c r="BC12" s="141"/>
      <c r="BD12" s="141"/>
      <c r="BE12" s="141"/>
      <c r="BF12" s="141"/>
      <c r="BG12" s="141"/>
      <c r="BH12" s="141"/>
      <c r="BI12" s="141"/>
      <c r="BJ12" s="141"/>
      <c r="BK12" s="141"/>
      <c r="BL12" s="61">
        <f>SEKOR!BN5</f>
        <v>21</v>
      </c>
      <c r="BM12" s="61">
        <f>SEKOR!BO5</f>
        <v>19</v>
      </c>
      <c r="BN12" s="62">
        <f>SEKOR!BP5</f>
        <v>52.5</v>
      </c>
      <c r="BO12" s="62">
        <f>SEKOR!BQ5</f>
        <v>67.741935483870961</v>
      </c>
      <c r="BP12" s="63">
        <f>SEKOR!BT5</f>
        <v>74</v>
      </c>
      <c r="BQ12" s="85"/>
      <c r="BR12" s="87" t="s">
        <v>32</v>
      </c>
    </row>
    <row r="13" spans="1:70" ht="15" customHeight="1" x14ac:dyDescent="0.25">
      <c r="A13" s="83">
        <f>IF(B13="","",COUNTA($B$10:$B13))</f>
        <v>4</v>
      </c>
      <c r="B13" s="137" t="s">
        <v>382</v>
      </c>
      <c r="C13" s="138" t="s">
        <v>383</v>
      </c>
      <c r="D13" s="141" t="s">
        <v>26</v>
      </c>
      <c r="E13" s="141" t="s">
        <v>26</v>
      </c>
      <c r="F13" s="141" t="s">
        <v>26</v>
      </c>
      <c r="G13" s="141" t="s">
        <v>26</v>
      </c>
      <c r="H13" s="141" t="s">
        <v>27</v>
      </c>
      <c r="I13" s="141" t="s">
        <v>26</v>
      </c>
      <c r="J13" s="141" t="s">
        <v>26</v>
      </c>
      <c r="K13" s="141" t="s">
        <v>25</v>
      </c>
      <c r="L13" s="141"/>
      <c r="M13" s="141" t="s">
        <v>23</v>
      </c>
      <c r="N13" s="141" t="s">
        <v>23</v>
      </c>
      <c r="O13" s="141" t="s">
        <v>23</v>
      </c>
      <c r="P13" s="141" t="s">
        <v>23</v>
      </c>
      <c r="Q13" s="141" t="s">
        <v>24</v>
      </c>
      <c r="R13" s="141"/>
      <c r="S13" s="141" t="s">
        <v>26</v>
      </c>
      <c r="T13" s="141" t="s">
        <v>27</v>
      </c>
      <c r="U13" s="141" t="s">
        <v>23</v>
      </c>
      <c r="V13" s="141" t="s">
        <v>24</v>
      </c>
      <c r="W13" s="141"/>
      <c r="X13" s="141" t="s">
        <v>26</v>
      </c>
      <c r="Y13" s="141" t="s">
        <v>26</v>
      </c>
      <c r="Z13" s="141" t="s">
        <v>26</v>
      </c>
      <c r="AA13" s="141"/>
      <c r="AB13" s="141" t="s">
        <v>27</v>
      </c>
      <c r="AC13" s="141" t="s">
        <v>27</v>
      </c>
      <c r="AD13" s="141" t="s">
        <v>25</v>
      </c>
      <c r="AE13" s="141" t="s">
        <v>27</v>
      </c>
      <c r="AF13" s="141" t="s">
        <v>25</v>
      </c>
      <c r="AG13" s="141" t="s">
        <v>27</v>
      </c>
      <c r="AH13" s="141" t="s">
        <v>26</v>
      </c>
      <c r="AI13" s="141" t="s">
        <v>25</v>
      </c>
      <c r="AJ13" s="141" t="s">
        <v>27</v>
      </c>
      <c r="AK13" s="141" t="s">
        <v>23</v>
      </c>
      <c r="AL13" s="141" t="s">
        <v>27</v>
      </c>
      <c r="AM13" s="141" t="s">
        <v>25</v>
      </c>
      <c r="AN13" s="141" t="s">
        <v>27</v>
      </c>
      <c r="AO13" s="141" t="s">
        <v>26</v>
      </c>
      <c r="AP13" s="141" t="s">
        <v>27</v>
      </c>
      <c r="AQ13" s="141" t="s">
        <v>25</v>
      </c>
      <c r="AR13" s="141" t="s">
        <v>23</v>
      </c>
      <c r="AS13" s="141" t="s">
        <v>25</v>
      </c>
      <c r="AT13" s="141"/>
      <c r="AU13" s="141" t="s">
        <v>26</v>
      </c>
      <c r="AV13" s="141" t="s">
        <v>25</v>
      </c>
      <c r="AW13" s="141"/>
      <c r="AX13" s="141"/>
      <c r="AY13" s="141"/>
      <c r="AZ13" s="141"/>
      <c r="BA13" s="141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61">
        <f>SEKOR!BN6</f>
        <v>26</v>
      </c>
      <c r="BM13" s="61">
        <f>SEKOR!BO6</f>
        <v>14</v>
      </c>
      <c r="BN13" s="62">
        <f>SEKOR!BP6</f>
        <v>65</v>
      </c>
      <c r="BO13" s="62">
        <f>SEKOR!BQ6</f>
        <v>83.870967741935488</v>
      </c>
      <c r="BP13" s="63">
        <f>SEKOR!BT6</f>
        <v>82</v>
      </c>
      <c r="BQ13" s="85"/>
      <c r="BR13" s="86" t="s">
        <v>29</v>
      </c>
    </row>
    <row r="14" spans="1:70" ht="15" customHeight="1" x14ac:dyDescent="0.25">
      <c r="A14" s="83">
        <f>IF(B14="","",COUNTA($B$10:$B14))</f>
        <v>5</v>
      </c>
      <c r="B14" s="137" t="s">
        <v>384</v>
      </c>
      <c r="C14" s="138" t="s">
        <v>385</v>
      </c>
      <c r="D14" s="141" t="s">
        <v>24</v>
      </c>
      <c r="E14" s="141" t="s">
        <v>26</v>
      </c>
      <c r="F14" s="141" t="s">
        <v>27</v>
      </c>
      <c r="G14" s="141" t="s">
        <v>24</v>
      </c>
      <c r="H14" s="141" t="s">
        <v>27</v>
      </c>
      <c r="I14" s="141" t="s">
        <v>26</v>
      </c>
      <c r="J14" s="141"/>
      <c r="K14" s="141" t="s">
        <v>25</v>
      </c>
      <c r="L14" s="141" t="s">
        <v>27</v>
      </c>
      <c r="M14" s="141" t="s">
        <v>23</v>
      </c>
      <c r="N14" s="141" t="s">
        <v>23</v>
      </c>
      <c r="O14" s="141"/>
      <c r="P14" s="141"/>
      <c r="Q14" s="141"/>
      <c r="R14" s="141"/>
      <c r="S14" s="141" t="s">
        <v>26</v>
      </c>
      <c r="T14" s="141" t="s">
        <v>27</v>
      </c>
      <c r="U14" s="141" t="s">
        <v>23</v>
      </c>
      <c r="V14" s="141" t="s">
        <v>24</v>
      </c>
      <c r="W14" s="141" t="s">
        <v>27</v>
      </c>
      <c r="X14" s="141" t="s">
        <v>25</v>
      </c>
      <c r="Y14" s="141" t="s">
        <v>23</v>
      </c>
      <c r="Z14" s="141" t="s">
        <v>26</v>
      </c>
      <c r="AA14" s="141" t="s">
        <v>25</v>
      </c>
      <c r="AB14" s="141" t="s">
        <v>23</v>
      </c>
      <c r="AC14" s="141" t="s">
        <v>24</v>
      </c>
      <c r="AD14" s="141" t="s">
        <v>25</v>
      </c>
      <c r="AE14" s="141" t="s">
        <v>27</v>
      </c>
      <c r="AF14" s="141" t="s">
        <v>24</v>
      </c>
      <c r="AG14" s="141" t="s">
        <v>27</v>
      </c>
      <c r="AH14" s="141" t="s">
        <v>25</v>
      </c>
      <c r="AI14" s="141" t="s">
        <v>25</v>
      </c>
      <c r="AJ14" s="141" t="s">
        <v>27</v>
      </c>
      <c r="AK14" s="141" t="s">
        <v>23</v>
      </c>
      <c r="AL14" s="141" t="s">
        <v>27</v>
      </c>
      <c r="AM14" s="141" t="s">
        <v>24</v>
      </c>
      <c r="AN14" s="141" t="s">
        <v>23</v>
      </c>
      <c r="AO14" s="141" t="s">
        <v>25</v>
      </c>
      <c r="AP14" s="141" t="s">
        <v>25</v>
      </c>
      <c r="AQ14" s="141" t="s">
        <v>25</v>
      </c>
      <c r="AR14" s="141" t="s">
        <v>25</v>
      </c>
      <c r="AS14" s="141" t="s">
        <v>27</v>
      </c>
      <c r="AT14" s="141" t="s">
        <v>24</v>
      </c>
      <c r="AU14" s="141" t="s">
        <v>25</v>
      </c>
      <c r="AV14" s="141" t="s">
        <v>25</v>
      </c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61">
        <f>SEKOR!BN7</f>
        <v>17</v>
      </c>
      <c r="BM14" s="61">
        <f>SEKOR!BO7</f>
        <v>23</v>
      </c>
      <c r="BN14" s="62">
        <f>SEKOR!BP7</f>
        <v>42.5</v>
      </c>
      <c r="BO14" s="62">
        <f>SEKOR!BQ7</f>
        <v>54.838709677419352</v>
      </c>
      <c r="BP14" s="63">
        <f>SEKOR!BT7</f>
        <v>67</v>
      </c>
      <c r="BQ14" s="85"/>
      <c r="BR14" s="86" t="s">
        <v>29</v>
      </c>
    </row>
    <row r="15" spans="1:70" ht="15" customHeight="1" x14ac:dyDescent="0.25">
      <c r="A15" s="83">
        <f>IF(B15="","",COUNTA($B$10:$B15))</f>
        <v>6</v>
      </c>
      <c r="B15" s="137" t="s">
        <v>386</v>
      </c>
      <c r="C15" s="138" t="s">
        <v>387</v>
      </c>
      <c r="D15" s="141" t="s">
        <v>24</v>
      </c>
      <c r="E15" s="141"/>
      <c r="F15" s="141"/>
      <c r="G15" s="141" t="s">
        <v>24</v>
      </c>
      <c r="H15" s="141" t="s">
        <v>27</v>
      </c>
      <c r="I15" s="141" t="s">
        <v>25</v>
      </c>
      <c r="J15" s="141" t="s">
        <v>27</v>
      </c>
      <c r="K15" s="141" t="s">
        <v>25</v>
      </c>
      <c r="L15" s="141" t="s">
        <v>25</v>
      </c>
      <c r="M15" s="141"/>
      <c r="N15" s="141" t="s">
        <v>24</v>
      </c>
      <c r="O15" s="141" t="s">
        <v>23</v>
      </c>
      <c r="P15" s="141" t="s">
        <v>25</v>
      </c>
      <c r="Q15" s="141" t="s">
        <v>24</v>
      </c>
      <c r="R15" s="141" t="s">
        <v>24</v>
      </c>
      <c r="S15" s="141" t="s">
        <v>26</v>
      </c>
      <c r="T15" s="141" t="s">
        <v>27</v>
      </c>
      <c r="U15" s="141" t="s">
        <v>25</v>
      </c>
      <c r="V15" s="141" t="s">
        <v>24</v>
      </c>
      <c r="W15" s="141" t="s">
        <v>27</v>
      </c>
      <c r="X15" s="141" t="s">
        <v>26</v>
      </c>
      <c r="Y15" s="141" t="s">
        <v>26</v>
      </c>
      <c r="Z15" s="141" t="s">
        <v>23</v>
      </c>
      <c r="AA15" s="141"/>
      <c r="AB15" s="141" t="s">
        <v>24</v>
      </c>
      <c r="AC15" s="141" t="s">
        <v>26</v>
      </c>
      <c r="AD15" s="141" t="s">
        <v>24</v>
      </c>
      <c r="AE15" s="141" t="s">
        <v>26</v>
      </c>
      <c r="AF15" s="141" t="s">
        <v>23</v>
      </c>
      <c r="AG15" s="141" t="s">
        <v>27</v>
      </c>
      <c r="AH15" s="141" t="s">
        <v>25</v>
      </c>
      <c r="AI15" s="141" t="s">
        <v>25</v>
      </c>
      <c r="AJ15" s="141" t="s">
        <v>23</v>
      </c>
      <c r="AK15" s="141" t="s">
        <v>24</v>
      </c>
      <c r="AL15" s="141"/>
      <c r="AM15" s="141" t="s">
        <v>24</v>
      </c>
      <c r="AN15" s="141"/>
      <c r="AO15" s="141" t="s">
        <v>24</v>
      </c>
      <c r="AP15" s="141" t="s">
        <v>26</v>
      </c>
      <c r="AQ15" s="141" t="s">
        <v>24</v>
      </c>
      <c r="AR15" s="141" t="s">
        <v>23</v>
      </c>
      <c r="AS15" s="141" t="s">
        <v>27</v>
      </c>
      <c r="AT15" s="141" t="s">
        <v>26</v>
      </c>
      <c r="AU15" s="141" t="s">
        <v>24</v>
      </c>
      <c r="AV15" s="141" t="s">
        <v>27</v>
      </c>
      <c r="AW15" s="141"/>
      <c r="AX15" s="141"/>
      <c r="AY15" s="141"/>
      <c r="AZ15" s="141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61">
        <f>SEKOR!BN8</f>
        <v>15</v>
      </c>
      <c r="BM15" s="61">
        <f>SEKOR!BO8</f>
        <v>24</v>
      </c>
      <c r="BN15" s="62">
        <f>SEKOR!BP8</f>
        <v>37.5</v>
      </c>
      <c r="BO15" s="62">
        <f>SEKOR!BQ8</f>
        <v>48.387096774193552</v>
      </c>
      <c r="BP15" s="63">
        <f>SEKOR!BT8</f>
        <v>64</v>
      </c>
      <c r="BQ15" s="85"/>
      <c r="BR15" s="86" t="s">
        <v>29</v>
      </c>
    </row>
    <row r="16" spans="1:70" ht="15" customHeight="1" x14ac:dyDescent="0.25">
      <c r="A16" s="83">
        <f>IF(B16="","",COUNTA($B$10:$B16))</f>
        <v>7</v>
      </c>
      <c r="B16" s="137" t="s">
        <v>388</v>
      </c>
      <c r="C16" s="138" t="s">
        <v>389</v>
      </c>
      <c r="D16" s="141" t="s">
        <v>23</v>
      </c>
      <c r="E16" s="141" t="s">
        <v>26</v>
      </c>
      <c r="F16" s="141"/>
      <c r="G16" s="141" t="s">
        <v>24</v>
      </c>
      <c r="H16" s="141" t="s">
        <v>27</v>
      </c>
      <c r="I16" s="141"/>
      <c r="J16" s="141" t="s">
        <v>26</v>
      </c>
      <c r="K16" s="141" t="s">
        <v>24</v>
      </c>
      <c r="L16" s="141" t="s">
        <v>26</v>
      </c>
      <c r="M16" s="141" t="s">
        <v>26</v>
      </c>
      <c r="N16" s="141" t="s">
        <v>24</v>
      </c>
      <c r="O16" s="141" t="s">
        <v>25</v>
      </c>
      <c r="P16" s="141" t="s">
        <v>24</v>
      </c>
      <c r="Q16" s="141" t="s">
        <v>24</v>
      </c>
      <c r="R16" s="141" t="s">
        <v>24</v>
      </c>
      <c r="S16" s="141"/>
      <c r="T16" s="141" t="s">
        <v>27</v>
      </c>
      <c r="U16" s="141" t="s">
        <v>24</v>
      </c>
      <c r="V16" s="141" t="s">
        <v>26</v>
      </c>
      <c r="W16" s="141" t="s">
        <v>24</v>
      </c>
      <c r="X16" s="141" t="s">
        <v>25</v>
      </c>
      <c r="Y16" s="141" t="s">
        <v>26</v>
      </c>
      <c r="Z16" s="141"/>
      <c r="AA16" s="141" t="s">
        <v>25</v>
      </c>
      <c r="AB16" s="141" t="s">
        <v>27</v>
      </c>
      <c r="AC16" s="141" t="s">
        <v>27</v>
      </c>
      <c r="AD16" s="141" t="s">
        <v>25</v>
      </c>
      <c r="AE16" s="141" t="s">
        <v>26</v>
      </c>
      <c r="AF16" s="141" t="s">
        <v>24</v>
      </c>
      <c r="AG16" s="141" t="s">
        <v>27</v>
      </c>
      <c r="AH16" s="141" t="s">
        <v>26</v>
      </c>
      <c r="AI16" s="141" t="s">
        <v>25</v>
      </c>
      <c r="AJ16" s="141" t="s">
        <v>27</v>
      </c>
      <c r="AK16" s="141" t="s">
        <v>27</v>
      </c>
      <c r="AL16" s="141"/>
      <c r="AM16" s="141" t="s">
        <v>25</v>
      </c>
      <c r="AN16" s="141" t="s">
        <v>27</v>
      </c>
      <c r="AO16" s="141" t="s">
        <v>24</v>
      </c>
      <c r="AP16" s="141" t="s">
        <v>27</v>
      </c>
      <c r="AQ16" s="141"/>
      <c r="AR16" s="141" t="s">
        <v>23</v>
      </c>
      <c r="AS16" s="141" t="s">
        <v>25</v>
      </c>
      <c r="AT16" s="141" t="s">
        <v>24</v>
      </c>
      <c r="AU16" s="141" t="s">
        <v>26</v>
      </c>
      <c r="AV16" s="141" t="s">
        <v>24</v>
      </c>
      <c r="AW16" s="141"/>
      <c r="AX16" s="141"/>
      <c r="AY16" s="141"/>
      <c r="AZ16" s="141"/>
      <c r="BA16" s="141"/>
      <c r="BB16" s="141"/>
      <c r="BC16" s="141"/>
      <c r="BD16" s="141"/>
      <c r="BE16" s="141"/>
      <c r="BF16" s="141"/>
      <c r="BG16" s="141"/>
      <c r="BH16" s="141"/>
      <c r="BI16" s="141"/>
      <c r="BJ16" s="141"/>
      <c r="BK16" s="141"/>
      <c r="BL16" s="61">
        <f>SEKOR!BN9</f>
        <v>25</v>
      </c>
      <c r="BM16" s="61">
        <f>SEKOR!BO9</f>
        <v>14</v>
      </c>
      <c r="BN16" s="62">
        <f>SEKOR!BP9</f>
        <v>62.5</v>
      </c>
      <c r="BO16" s="62">
        <f>SEKOR!BQ9</f>
        <v>80.645161290322577</v>
      </c>
      <c r="BP16" s="63">
        <f>SEKOR!BT9</f>
        <v>80</v>
      </c>
      <c r="BQ16" s="85"/>
      <c r="BR16" s="86" t="s">
        <v>29</v>
      </c>
    </row>
    <row r="17" spans="1:70" ht="15" customHeight="1" x14ac:dyDescent="0.25">
      <c r="A17" s="83">
        <f>IF(B17="","",COUNTA($B$10:$B17))</f>
        <v>8</v>
      </c>
      <c r="B17" s="137" t="s">
        <v>390</v>
      </c>
      <c r="C17" s="138" t="s">
        <v>391</v>
      </c>
      <c r="D17" s="141" t="s">
        <v>24</v>
      </c>
      <c r="E17" s="141" t="s">
        <v>26</v>
      </c>
      <c r="F17" s="141" t="s">
        <v>27</v>
      </c>
      <c r="G17" s="141" t="s">
        <v>25</v>
      </c>
      <c r="H17" s="141" t="s">
        <v>27</v>
      </c>
      <c r="I17" s="141" t="s">
        <v>26</v>
      </c>
      <c r="J17" s="141" t="s">
        <v>24</v>
      </c>
      <c r="K17" s="141"/>
      <c r="L17" s="141" t="s">
        <v>24</v>
      </c>
      <c r="M17" s="141" t="s">
        <v>24</v>
      </c>
      <c r="N17" s="141" t="s">
        <v>27</v>
      </c>
      <c r="O17" s="141" t="s">
        <v>25</v>
      </c>
      <c r="P17" s="141" t="s">
        <v>23</v>
      </c>
      <c r="Q17" s="141" t="s">
        <v>24</v>
      </c>
      <c r="R17" s="141" t="s">
        <v>26</v>
      </c>
      <c r="S17" s="141" t="s">
        <v>26</v>
      </c>
      <c r="T17" s="141" t="s">
        <v>27</v>
      </c>
      <c r="U17" s="141" t="s">
        <v>25</v>
      </c>
      <c r="V17" s="141" t="s">
        <v>24</v>
      </c>
      <c r="W17" s="141" t="s">
        <v>26</v>
      </c>
      <c r="X17" s="141" t="s">
        <v>23</v>
      </c>
      <c r="Y17" s="141" t="s">
        <v>23</v>
      </c>
      <c r="Z17" s="141" t="s">
        <v>25</v>
      </c>
      <c r="AA17" s="141"/>
      <c r="AB17" s="141"/>
      <c r="AC17" s="141" t="s">
        <v>27</v>
      </c>
      <c r="AD17" s="141" t="s">
        <v>23</v>
      </c>
      <c r="AE17" s="141" t="s">
        <v>23</v>
      </c>
      <c r="AF17" s="141" t="s">
        <v>23</v>
      </c>
      <c r="AG17" s="141"/>
      <c r="AH17" s="141" t="s">
        <v>27</v>
      </c>
      <c r="AI17" s="141" t="s">
        <v>26</v>
      </c>
      <c r="AJ17" s="141" t="s">
        <v>26</v>
      </c>
      <c r="AK17" s="141" t="s">
        <v>23</v>
      </c>
      <c r="AL17" s="141"/>
      <c r="AM17" s="141" t="s">
        <v>27</v>
      </c>
      <c r="AN17" s="141" t="s">
        <v>27</v>
      </c>
      <c r="AO17" s="141" t="s">
        <v>25</v>
      </c>
      <c r="AP17" s="141" t="s">
        <v>25</v>
      </c>
      <c r="AQ17" s="141" t="s">
        <v>26</v>
      </c>
      <c r="AR17" s="141" t="s">
        <v>23</v>
      </c>
      <c r="AS17" s="141" t="s">
        <v>25</v>
      </c>
      <c r="AT17" s="141" t="s">
        <v>27</v>
      </c>
      <c r="AU17" s="141" t="s">
        <v>27</v>
      </c>
      <c r="AV17" s="141" t="s">
        <v>27</v>
      </c>
      <c r="AW17" s="141"/>
      <c r="AX17" s="141"/>
      <c r="AY17" s="141"/>
      <c r="AZ17" s="141"/>
      <c r="BA17" s="141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61">
        <f>SEKOR!BN10</f>
        <v>15</v>
      </c>
      <c r="BM17" s="61">
        <f>SEKOR!BO10</f>
        <v>25</v>
      </c>
      <c r="BN17" s="62">
        <f>SEKOR!BP10</f>
        <v>37.5</v>
      </c>
      <c r="BO17" s="62">
        <f>SEKOR!BQ10</f>
        <v>48.387096774193552</v>
      </c>
      <c r="BP17" s="63">
        <f>SEKOR!BT10</f>
        <v>64</v>
      </c>
      <c r="BQ17" s="85"/>
      <c r="BR17" s="87" t="s">
        <v>32</v>
      </c>
    </row>
    <row r="18" spans="1:70" ht="15" customHeight="1" x14ac:dyDescent="0.25">
      <c r="A18" s="83">
        <f>IF(B18="","",COUNTA($B$10:$B18))</f>
        <v>9</v>
      </c>
      <c r="B18" s="137" t="s">
        <v>392</v>
      </c>
      <c r="C18" s="138" t="s">
        <v>393</v>
      </c>
      <c r="D18" s="141" t="s">
        <v>24</v>
      </c>
      <c r="E18" s="141" t="s">
        <v>26</v>
      </c>
      <c r="F18" s="141" t="s">
        <v>24</v>
      </c>
      <c r="G18" s="141" t="s">
        <v>26</v>
      </c>
      <c r="H18" s="141" t="s">
        <v>27</v>
      </c>
      <c r="I18" s="141" t="s">
        <v>27</v>
      </c>
      <c r="J18" s="141" t="s">
        <v>27</v>
      </c>
      <c r="K18" s="141" t="s">
        <v>25</v>
      </c>
      <c r="L18" s="141" t="s">
        <v>26</v>
      </c>
      <c r="M18" s="141" t="s">
        <v>26</v>
      </c>
      <c r="N18" s="141" t="s">
        <v>27</v>
      </c>
      <c r="O18" s="141" t="s">
        <v>25</v>
      </c>
      <c r="P18" s="141" t="s">
        <v>25</v>
      </c>
      <c r="Q18" s="141"/>
      <c r="R18" s="141" t="s">
        <v>25</v>
      </c>
      <c r="S18" s="141" t="s">
        <v>26</v>
      </c>
      <c r="T18" s="141" t="s">
        <v>27</v>
      </c>
      <c r="U18" s="141" t="s">
        <v>23</v>
      </c>
      <c r="V18" s="141" t="s">
        <v>24</v>
      </c>
      <c r="W18" s="141" t="s">
        <v>24</v>
      </c>
      <c r="X18" s="141" t="s">
        <v>25</v>
      </c>
      <c r="Y18" s="141" t="s">
        <v>26</v>
      </c>
      <c r="Z18" s="141" t="s">
        <v>23</v>
      </c>
      <c r="AA18" s="141" t="s">
        <v>26</v>
      </c>
      <c r="AB18" s="141" t="s">
        <v>23</v>
      </c>
      <c r="AC18" s="141" t="s">
        <v>23</v>
      </c>
      <c r="AD18" s="141" t="s">
        <v>23</v>
      </c>
      <c r="AE18" s="141" t="s">
        <v>27</v>
      </c>
      <c r="AF18" s="141"/>
      <c r="AG18" s="141" t="s">
        <v>27</v>
      </c>
      <c r="AH18" s="141"/>
      <c r="AI18" s="141"/>
      <c r="AJ18" s="141" t="s">
        <v>25</v>
      </c>
      <c r="AK18" s="141" t="s">
        <v>27</v>
      </c>
      <c r="AL18" s="141" t="s">
        <v>27</v>
      </c>
      <c r="AM18" s="141" t="s">
        <v>23</v>
      </c>
      <c r="AN18" s="141" t="s">
        <v>27</v>
      </c>
      <c r="AO18" s="141" t="s">
        <v>26</v>
      </c>
      <c r="AP18" s="141" t="s">
        <v>25</v>
      </c>
      <c r="AQ18" s="141" t="s">
        <v>24</v>
      </c>
      <c r="AR18" s="141" t="s">
        <v>23</v>
      </c>
      <c r="AS18" s="141" t="s">
        <v>25</v>
      </c>
      <c r="AT18" s="141"/>
      <c r="AU18" s="141" t="s">
        <v>24</v>
      </c>
      <c r="AV18" s="141" t="s">
        <v>24</v>
      </c>
      <c r="AW18" s="141"/>
      <c r="AX18" s="141"/>
      <c r="AY18" s="141"/>
      <c r="AZ18" s="141"/>
      <c r="BA18" s="141"/>
      <c r="BB18" s="141"/>
      <c r="BC18" s="141"/>
      <c r="BD18" s="141"/>
      <c r="BE18" s="141"/>
      <c r="BF18" s="141"/>
      <c r="BG18" s="141"/>
      <c r="BH18" s="141"/>
      <c r="BI18" s="141"/>
      <c r="BJ18" s="141"/>
      <c r="BK18" s="141"/>
      <c r="BL18" s="61">
        <f>SEKOR!BN11</f>
        <v>21</v>
      </c>
      <c r="BM18" s="61">
        <f>SEKOR!BO11</f>
        <v>19</v>
      </c>
      <c r="BN18" s="62">
        <f>SEKOR!BP11</f>
        <v>52.5</v>
      </c>
      <c r="BO18" s="62">
        <f>SEKOR!BQ11</f>
        <v>67.741935483870961</v>
      </c>
      <c r="BP18" s="63">
        <f>SEKOR!BT11</f>
        <v>74</v>
      </c>
      <c r="BQ18" s="85"/>
      <c r="BR18" s="86" t="s">
        <v>29</v>
      </c>
    </row>
    <row r="19" spans="1:70" ht="15" customHeight="1" x14ac:dyDescent="0.25">
      <c r="A19" s="83">
        <f>IF(B19="","",COUNTA($B$10:$B19))</f>
        <v>10</v>
      </c>
      <c r="B19" s="137" t="s">
        <v>394</v>
      </c>
      <c r="C19" s="138" t="s">
        <v>395</v>
      </c>
      <c r="D19" s="141" t="s">
        <v>23</v>
      </c>
      <c r="E19" s="141" t="s">
        <v>26</v>
      </c>
      <c r="F19" s="141" t="s">
        <v>27</v>
      </c>
      <c r="G19" s="141" t="s">
        <v>24</v>
      </c>
      <c r="H19" s="141" t="s">
        <v>27</v>
      </c>
      <c r="I19" s="141" t="s">
        <v>25</v>
      </c>
      <c r="J19" s="141" t="s">
        <v>26</v>
      </c>
      <c r="K19" s="141" t="s">
        <v>24</v>
      </c>
      <c r="L19" s="141" t="s">
        <v>26</v>
      </c>
      <c r="M19" s="141" t="s">
        <v>26</v>
      </c>
      <c r="N19" s="141"/>
      <c r="O19" s="141" t="s">
        <v>25</v>
      </c>
      <c r="P19" s="141" t="s">
        <v>24</v>
      </c>
      <c r="Q19" s="141"/>
      <c r="R19" s="141" t="s">
        <v>24</v>
      </c>
      <c r="S19" s="141" t="s">
        <v>26</v>
      </c>
      <c r="T19" s="141" t="s">
        <v>27</v>
      </c>
      <c r="U19" s="141"/>
      <c r="V19" s="141" t="s">
        <v>25</v>
      </c>
      <c r="W19" s="141" t="s">
        <v>24</v>
      </c>
      <c r="X19" s="141" t="s">
        <v>25</v>
      </c>
      <c r="Y19" s="141" t="s">
        <v>26</v>
      </c>
      <c r="Z19" s="141" t="s">
        <v>25</v>
      </c>
      <c r="AA19" s="141" t="s">
        <v>25</v>
      </c>
      <c r="AB19" s="141" t="s">
        <v>27</v>
      </c>
      <c r="AC19" s="141" t="s">
        <v>27</v>
      </c>
      <c r="AD19" s="141" t="s">
        <v>25</v>
      </c>
      <c r="AE19" s="141"/>
      <c r="AF19" s="141" t="s">
        <v>23</v>
      </c>
      <c r="AG19" s="141" t="s">
        <v>27</v>
      </c>
      <c r="AH19" s="141" t="s">
        <v>25</v>
      </c>
      <c r="AI19" s="141" t="s">
        <v>25</v>
      </c>
      <c r="AJ19" s="141" t="s">
        <v>27</v>
      </c>
      <c r="AK19" s="141" t="s">
        <v>27</v>
      </c>
      <c r="AL19" s="141" t="s">
        <v>27</v>
      </c>
      <c r="AM19" s="141" t="s">
        <v>26</v>
      </c>
      <c r="AN19" s="141" t="s">
        <v>27</v>
      </c>
      <c r="AO19" s="141" t="s">
        <v>24</v>
      </c>
      <c r="AP19" s="141" t="s">
        <v>27</v>
      </c>
      <c r="AQ19" s="141" t="s">
        <v>26</v>
      </c>
      <c r="AR19" s="141"/>
      <c r="AS19" s="141" t="s">
        <v>27</v>
      </c>
      <c r="AT19" s="141" t="s">
        <v>27</v>
      </c>
      <c r="AU19" s="141" t="s">
        <v>26</v>
      </c>
      <c r="AV19" s="141" t="s">
        <v>24</v>
      </c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61">
        <f>SEKOR!BN12</f>
        <v>26</v>
      </c>
      <c r="BM19" s="61">
        <f>SEKOR!BO12</f>
        <v>14</v>
      </c>
      <c r="BN19" s="62">
        <f>SEKOR!BP12</f>
        <v>65</v>
      </c>
      <c r="BO19" s="62">
        <f>SEKOR!BQ12</f>
        <v>83.870967741935488</v>
      </c>
      <c r="BP19" s="63">
        <f>SEKOR!BT12</f>
        <v>82</v>
      </c>
      <c r="BQ19" s="85"/>
      <c r="BR19" s="86" t="s">
        <v>29</v>
      </c>
    </row>
    <row r="20" spans="1:70" ht="15" customHeight="1" x14ac:dyDescent="0.25">
      <c r="A20" s="83">
        <f>IF(B20="","",COUNTA($B$10:$B20))</f>
        <v>11</v>
      </c>
      <c r="B20" s="137" t="s">
        <v>396</v>
      </c>
      <c r="C20" s="138" t="s">
        <v>397</v>
      </c>
      <c r="D20" s="141" t="s">
        <v>24</v>
      </c>
      <c r="E20" s="141" t="s">
        <v>26</v>
      </c>
      <c r="F20" s="141" t="s">
        <v>27</v>
      </c>
      <c r="G20" s="141" t="s">
        <v>24</v>
      </c>
      <c r="H20" s="141" t="s">
        <v>24</v>
      </c>
      <c r="I20" s="141" t="s">
        <v>25</v>
      </c>
      <c r="J20" s="141" t="s">
        <v>26</v>
      </c>
      <c r="K20" s="141" t="s">
        <v>25</v>
      </c>
      <c r="L20" s="141" t="s">
        <v>26</v>
      </c>
      <c r="M20" s="141" t="s">
        <v>26</v>
      </c>
      <c r="N20" s="141" t="s">
        <v>23</v>
      </c>
      <c r="O20" s="141" t="s">
        <v>25</v>
      </c>
      <c r="P20" s="141" t="s">
        <v>24</v>
      </c>
      <c r="Q20" s="141"/>
      <c r="R20" s="141" t="s">
        <v>24</v>
      </c>
      <c r="S20" s="141" t="s">
        <v>26</v>
      </c>
      <c r="T20" s="141" t="s">
        <v>27</v>
      </c>
      <c r="U20" s="141"/>
      <c r="V20" s="141" t="s">
        <v>24</v>
      </c>
      <c r="W20" s="141" t="s">
        <v>24</v>
      </c>
      <c r="X20" s="141" t="s">
        <v>26</v>
      </c>
      <c r="Y20" s="141" t="s">
        <v>23</v>
      </c>
      <c r="Z20" s="141" t="s">
        <v>25</v>
      </c>
      <c r="AA20" s="141" t="s">
        <v>25</v>
      </c>
      <c r="AB20" s="141" t="s">
        <v>27</v>
      </c>
      <c r="AC20" s="141" t="s">
        <v>27</v>
      </c>
      <c r="AD20" s="141"/>
      <c r="AE20" s="141" t="s">
        <v>27</v>
      </c>
      <c r="AF20" s="141" t="s">
        <v>25</v>
      </c>
      <c r="AG20" s="141" t="s">
        <v>27</v>
      </c>
      <c r="AH20" s="141" t="s">
        <v>23</v>
      </c>
      <c r="AI20" s="141" t="s">
        <v>25</v>
      </c>
      <c r="AJ20" s="141" t="s">
        <v>27</v>
      </c>
      <c r="AK20" s="141" t="s">
        <v>23</v>
      </c>
      <c r="AL20" s="141" t="s">
        <v>27</v>
      </c>
      <c r="AM20" s="141" t="s">
        <v>24</v>
      </c>
      <c r="AN20" s="141" t="s">
        <v>27</v>
      </c>
      <c r="AO20" s="141" t="s">
        <v>24</v>
      </c>
      <c r="AP20" s="141" t="s">
        <v>25</v>
      </c>
      <c r="AQ20" s="141"/>
      <c r="AR20" s="141" t="s">
        <v>23</v>
      </c>
      <c r="AS20" s="141"/>
      <c r="AT20" s="141" t="s">
        <v>23</v>
      </c>
      <c r="AU20" s="141" t="s">
        <v>26</v>
      </c>
      <c r="AV20" s="141" t="s">
        <v>24</v>
      </c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41"/>
      <c r="BH20" s="141"/>
      <c r="BI20" s="141"/>
      <c r="BJ20" s="141"/>
      <c r="BK20" s="141"/>
      <c r="BL20" s="61">
        <f>SEKOR!BN13</f>
        <v>30</v>
      </c>
      <c r="BM20" s="61">
        <f>SEKOR!BO13</f>
        <v>10</v>
      </c>
      <c r="BN20" s="62">
        <f>SEKOR!BP13</f>
        <v>75</v>
      </c>
      <c r="BO20" s="62">
        <f>SEKOR!BQ13</f>
        <v>96.774193548387103</v>
      </c>
      <c r="BP20" s="63">
        <f>SEKOR!BT13</f>
        <v>89</v>
      </c>
      <c r="BQ20" s="85"/>
      <c r="BR20" s="86" t="s">
        <v>29</v>
      </c>
    </row>
    <row r="21" spans="1:70" ht="15" customHeight="1" x14ac:dyDescent="0.25">
      <c r="A21" s="83">
        <f>IF(B21="","",COUNTA($B$10:$B21))</f>
        <v>12</v>
      </c>
      <c r="B21" s="137" t="s">
        <v>398</v>
      </c>
      <c r="C21" s="138" t="s">
        <v>399</v>
      </c>
      <c r="D21" s="141"/>
      <c r="E21" s="141" t="s">
        <v>26</v>
      </c>
      <c r="F21" s="141" t="s">
        <v>25</v>
      </c>
      <c r="G21" s="141" t="s">
        <v>24</v>
      </c>
      <c r="H21" s="141" t="s">
        <v>24</v>
      </c>
      <c r="I21" s="141" t="s">
        <v>26</v>
      </c>
      <c r="J21" s="141" t="s">
        <v>26</v>
      </c>
      <c r="K21" s="141" t="s">
        <v>24</v>
      </c>
      <c r="L21" s="141" t="s">
        <v>26</v>
      </c>
      <c r="M21" s="141" t="s">
        <v>26</v>
      </c>
      <c r="N21" s="141"/>
      <c r="O21" s="141" t="s">
        <v>23</v>
      </c>
      <c r="P21" s="141" t="s">
        <v>27</v>
      </c>
      <c r="Q21" s="141" t="s">
        <v>26</v>
      </c>
      <c r="R21" s="141" t="s">
        <v>23</v>
      </c>
      <c r="S21" s="141"/>
      <c r="T21" s="141" t="s">
        <v>27</v>
      </c>
      <c r="U21" s="141" t="s">
        <v>23</v>
      </c>
      <c r="V21" s="141" t="s">
        <v>24</v>
      </c>
      <c r="W21" s="141" t="s">
        <v>26</v>
      </c>
      <c r="X21" s="141" t="s">
        <v>24</v>
      </c>
      <c r="Y21" s="141" t="s">
        <v>23</v>
      </c>
      <c r="Z21" s="141" t="s">
        <v>23</v>
      </c>
      <c r="AA21" s="141" t="s">
        <v>24</v>
      </c>
      <c r="AB21" s="141" t="s">
        <v>26</v>
      </c>
      <c r="AC21" s="141" t="s">
        <v>24</v>
      </c>
      <c r="AD21" s="141" t="s">
        <v>25</v>
      </c>
      <c r="AE21" s="141" t="s">
        <v>23</v>
      </c>
      <c r="AF21" s="141" t="s">
        <v>23</v>
      </c>
      <c r="AG21" s="141" t="s">
        <v>25</v>
      </c>
      <c r="AH21" s="141" t="s">
        <v>24</v>
      </c>
      <c r="AI21" s="141" t="s">
        <v>25</v>
      </c>
      <c r="AJ21" s="141" t="s">
        <v>25</v>
      </c>
      <c r="AK21" s="141" t="s">
        <v>25</v>
      </c>
      <c r="AL21" s="141"/>
      <c r="AM21" s="141" t="s">
        <v>24</v>
      </c>
      <c r="AN21" s="141" t="s">
        <v>27</v>
      </c>
      <c r="AO21" s="141" t="s">
        <v>24</v>
      </c>
      <c r="AP21" s="141" t="s">
        <v>25</v>
      </c>
      <c r="AQ21" s="141" t="s">
        <v>26</v>
      </c>
      <c r="AR21" s="141" t="s">
        <v>23</v>
      </c>
      <c r="AS21" s="141" t="s">
        <v>25</v>
      </c>
      <c r="AT21" s="141"/>
      <c r="AU21" s="141" t="s">
        <v>27</v>
      </c>
      <c r="AV21" s="141" t="s">
        <v>23</v>
      </c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61">
        <f>SEKOR!BN14</f>
        <v>18</v>
      </c>
      <c r="BM21" s="61">
        <f>SEKOR!BO14</f>
        <v>22</v>
      </c>
      <c r="BN21" s="62">
        <f>SEKOR!BP14</f>
        <v>45</v>
      </c>
      <c r="BO21" s="62">
        <f>SEKOR!BQ14</f>
        <v>58.064516129032263</v>
      </c>
      <c r="BP21" s="63">
        <f>SEKOR!BT14</f>
        <v>69</v>
      </c>
      <c r="BQ21" s="85"/>
      <c r="BR21" s="86" t="s">
        <v>29</v>
      </c>
    </row>
    <row r="22" spans="1:70" ht="15" customHeight="1" x14ac:dyDescent="0.25">
      <c r="A22" s="83">
        <f>IF(B22="","",COUNTA($B$10:$B22))</f>
        <v>13</v>
      </c>
      <c r="B22" s="137" t="s">
        <v>400</v>
      </c>
      <c r="C22" s="138" t="s">
        <v>401</v>
      </c>
      <c r="D22" s="141" t="s">
        <v>23</v>
      </c>
      <c r="E22" s="141"/>
      <c r="F22" s="141" t="s">
        <v>27</v>
      </c>
      <c r="G22" s="141" t="s">
        <v>24</v>
      </c>
      <c r="H22" s="141" t="s">
        <v>25</v>
      </c>
      <c r="I22" s="141" t="s">
        <v>25</v>
      </c>
      <c r="J22" s="141" t="s">
        <v>26</v>
      </c>
      <c r="K22" s="141" t="s">
        <v>25</v>
      </c>
      <c r="L22" s="141" t="s">
        <v>26</v>
      </c>
      <c r="M22" s="141" t="s">
        <v>23</v>
      </c>
      <c r="N22" s="141"/>
      <c r="O22" s="141" t="s">
        <v>25</v>
      </c>
      <c r="P22" s="141" t="s">
        <v>24</v>
      </c>
      <c r="Q22" s="141" t="s">
        <v>24</v>
      </c>
      <c r="R22" s="141" t="s">
        <v>24</v>
      </c>
      <c r="S22" s="141" t="s">
        <v>26</v>
      </c>
      <c r="T22" s="141" t="s">
        <v>27</v>
      </c>
      <c r="U22" s="141" t="s">
        <v>25</v>
      </c>
      <c r="V22" s="141" t="s">
        <v>24</v>
      </c>
      <c r="W22" s="141" t="s">
        <v>24</v>
      </c>
      <c r="X22" s="141"/>
      <c r="Y22" s="141" t="s">
        <v>26</v>
      </c>
      <c r="Z22" s="141" t="s">
        <v>23</v>
      </c>
      <c r="AA22" s="141" t="s">
        <v>25</v>
      </c>
      <c r="AB22" s="141" t="s">
        <v>27</v>
      </c>
      <c r="AC22" s="141"/>
      <c r="AD22" s="141" t="s">
        <v>23</v>
      </c>
      <c r="AE22" s="141" t="s">
        <v>26</v>
      </c>
      <c r="AF22" s="141" t="s">
        <v>25</v>
      </c>
      <c r="AG22" s="141" t="s">
        <v>26</v>
      </c>
      <c r="AH22" s="141" t="s">
        <v>23</v>
      </c>
      <c r="AI22" s="141" t="s">
        <v>25</v>
      </c>
      <c r="AJ22" s="141" t="s">
        <v>27</v>
      </c>
      <c r="AK22" s="141" t="s">
        <v>23</v>
      </c>
      <c r="AL22" s="141" t="s">
        <v>27</v>
      </c>
      <c r="AM22" s="141" t="s">
        <v>24</v>
      </c>
      <c r="AN22" s="141" t="s">
        <v>27</v>
      </c>
      <c r="AO22" s="141" t="s">
        <v>24</v>
      </c>
      <c r="AP22" s="141" t="s">
        <v>25</v>
      </c>
      <c r="AQ22" s="141"/>
      <c r="AR22" s="141" t="s">
        <v>23</v>
      </c>
      <c r="AS22" s="141" t="s">
        <v>25</v>
      </c>
      <c r="AT22" s="141" t="s">
        <v>24</v>
      </c>
      <c r="AU22" s="141" t="s">
        <v>26</v>
      </c>
      <c r="AV22" s="141" t="s">
        <v>24</v>
      </c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61">
        <f>SEKOR!BN15</f>
        <v>26</v>
      </c>
      <c r="BM22" s="61">
        <f>SEKOR!BO15</f>
        <v>14</v>
      </c>
      <c r="BN22" s="62">
        <f>SEKOR!BP15</f>
        <v>65</v>
      </c>
      <c r="BO22" s="62">
        <f>SEKOR!BQ15</f>
        <v>83.870967741935488</v>
      </c>
      <c r="BP22" s="63">
        <f>SEKOR!BT15</f>
        <v>82</v>
      </c>
      <c r="BQ22" s="85"/>
      <c r="BR22" s="86" t="s">
        <v>29</v>
      </c>
    </row>
    <row r="23" spans="1:70" ht="15" customHeight="1" x14ac:dyDescent="0.25">
      <c r="A23" s="83">
        <f>IF(B23="","",COUNTA($B$10:$B23))</f>
        <v>14</v>
      </c>
      <c r="B23" s="137" t="s">
        <v>402</v>
      </c>
      <c r="C23" s="138" t="s">
        <v>403</v>
      </c>
      <c r="D23" s="141" t="s">
        <v>26</v>
      </c>
      <c r="E23" s="141" t="s">
        <v>26</v>
      </c>
      <c r="F23" s="141" t="s">
        <v>27</v>
      </c>
      <c r="G23" s="141" t="s">
        <v>25</v>
      </c>
      <c r="H23" s="141" t="s">
        <v>27</v>
      </c>
      <c r="I23" s="141" t="s">
        <v>25</v>
      </c>
      <c r="J23" s="141" t="s">
        <v>24</v>
      </c>
      <c r="K23" s="141" t="s">
        <v>27</v>
      </c>
      <c r="L23" s="141" t="s">
        <v>24</v>
      </c>
      <c r="M23" s="141" t="s">
        <v>24</v>
      </c>
      <c r="N23" s="141" t="s">
        <v>27</v>
      </c>
      <c r="O23" s="141" t="s">
        <v>25</v>
      </c>
      <c r="P23" s="141" t="s">
        <v>24</v>
      </c>
      <c r="Q23" s="141"/>
      <c r="R23" s="141" t="s">
        <v>23</v>
      </c>
      <c r="S23" s="141" t="s">
        <v>26</v>
      </c>
      <c r="T23" s="141" t="s">
        <v>27</v>
      </c>
      <c r="U23" s="141" t="s">
        <v>24</v>
      </c>
      <c r="V23" s="141"/>
      <c r="W23" s="141" t="s">
        <v>26</v>
      </c>
      <c r="X23" s="141" t="s">
        <v>24</v>
      </c>
      <c r="Y23" s="141" t="s">
        <v>26</v>
      </c>
      <c r="Z23" s="141"/>
      <c r="AA23" s="141" t="s">
        <v>27</v>
      </c>
      <c r="AB23" s="141" t="s">
        <v>26</v>
      </c>
      <c r="AC23" s="141"/>
      <c r="AD23" s="141" t="s">
        <v>24</v>
      </c>
      <c r="AE23" s="141"/>
      <c r="AF23" s="141" t="s">
        <v>23</v>
      </c>
      <c r="AG23" s="141" t="s">
        <v>25</v>
      </c>
      <c r="AH23" s="141" t="s">
        <v>24</v>
      </c>
      <c r="AI23" s="141" t="s">
        <v>26</v>
      </c>
      <c r="AJ23" s="141" t="s">
        <v>27</v>
      </c>
      <c r="AK23" s="141" t="s">
        <v>25</v>
      </c>
      <c r="AL23" s="141" t="s">
        <v>27</v>
      </c>
      <c r="AM23" s="141" t="s">
        <v>23</v>
      </c>
      <c r="AN23" s="141" t="s">
        <v>27</v>
      </c>
      <c r="AO23" s="141" t="s">
        <v>26</v>
      </c>
      <c r="AP23" s="141"/>
      <c r="AQ23" s="141" t="s">
        <v>27</v>
      </c>
      <c r="AR23" s="141" t="s">
        <v>23</v>
      </c>
      <c r="AS23" s="141" t="s">
        <v>27</v>
      </c>
      <c r="AT23" s="141" t="s">
        <v>27</v>
      </c>
      <c r="AU23" s="141" t="s">
        <v>23</v>
      </c>
      <c r="AV23" s="141" t="s">
        <v>24</v>
      </c>
      <c r="AW23" s="141"/>
      <c r="AX23" s="141"/>
      <c r="AY23" s="141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61">
        <f>SEKOR!BN16</f>
        <v>14</v>
      </c>
      <c r="BM23" s="61">
        <f>SEKOR!BO16</f>
        <v>25</v>
      </c>
      <c r="BN23" s="62">
        <f>SEKOR!BP16</f>
        <v>35</v>
      </c>
      <c r="BO23" s="62">
        <f>SEKOR!BQ16</f>
        <v>45.161290322580641</v>
      </c>
      <c r="BP23" s="63">
        <f>SEKOR!BT16</f>
        <v>62</v>
      </c>
      <c r="BQ23" s="85"/>
      <c r="BR23" s="86" t="s">
        <v>29</v>
      </c>
    </row>
    <row r="24" spans="1:70" ht="15" customHeight="1" x14ac:dyDescent="0.25">
      <c r="A24" s="83">
        <f>IF(B24="","",COUNTA($B$10:$B24))</f>
        <v>15</v>
      </c>
      <c r="B24" s="137" t="s">
        <v>404</v>
      </c>
      <c r="C24" s="138" t="s">
        <v>405</v>
      </c>
      <c r="D24" s="141" t="s">
        <v>23</v>
      </c>
      <c r="E24" s="141" t="s">
        <v>26</v>
      </c>
      <c r="F24" s="141" t="s">
        <v>27</v>
      </c>
      <c r="G24" s="141" t="s">
        <v>24</v>
      </c>
      <c r="H24" s="141" t="s">
        <v>27</v>
      </c>
      <c r="I24" s="141" t="s">
        <v>25</v>
      </c>
      <c r="J24" s="141" t="s">
        <v>26</v>
      </c>
      <c r="K24" s="141" t="s">
        <v>25</v>
      </c>
      <c r="L24" s="141" t="s">
        <v>27</v>
      </c>
      <c r="M24" s="141"/>
      <c r="N24" s="141" t="s">
        <v>27</v>
      </c>
      <c r="O24" s="141" t="s">
        <v>23</v>
      </c>
      <c r="P24" s="141" t="s">
        <v>25</v>
      </c>
      <c r="Q24" s="141" t="s">
        <v>24</v>
      </c>
      <c r="R24" s="141" t="s">
        <v>24</v>
      </c>
      <c r="S24" s="141"/>
      <c r="T24" s="141" t="s">
        <v>27</v>
      </c>
      <c r="U24" s="141" t="s">
        <v>23</v>
      </c>
      <c r="V24" s="141" t="s">
        <v>24</v>
      </c>
      <c r="W24" s="141" t="s">
        <v>24</v>
      </c>
      <c r="X24" s="141" t="s">
        <v>25</v>
      </c>
      <c r="Y24" s="141" t="s">
        <v>26</v>
      </c>
      <c r="Z24" s="141" t="s">
        <v>23</v>
      </c>
      <c r="AA24" s="141"/>
      <c r="AB24" s="141" t="s">
        <v>26</v>
      </c>
      <c r="AC24" s="141" t="s">
        <v>27</v>
      </c>
      <c r="AD24" s="141" t="s">
        <v>25</v>
      </c>
      <c r="AE24" s="141" t="s">
        <v>27</v>
      </c>
      <c r="AF24" s="141" t="s">
        <v>25</v>
      </c>
      <c r="AG24" s="141" t="s">
        <v>27</v>
      </c>
      <c r="AH24" s="141" t="s">
        <v>26</v>
      </c>
      <c r="AI24" s="141" t="s">
        <v>25</v>
      </c>
      <c r="AJ24" s="141"/>
      <c r="AK24" s="141" t="s">
        <v>23</v>
      </c>
      <c r="AL24" s="141" t="s">
        <v>27</v>
      </c>
      <c r="AM24" s="141" t="s">
        <v>24</v>
      </c>
      <c r="AN24" s="141" t="s">
        <v>27</v>
      </c>
      <c r="AO24" s="141"/>
      <c r="AP24" s="141" t="s">
        <v>27</v>
      </c>
      <c r="AQ24" s="141" t="s">
        <v>24</v>
      </c>
      <c r="AR24" s="141" t="s">
        <v>23</v>
      </c>
      <c r="AS24" s="141" t="s">
        <v>26</v>
      </c>
      <c r="AT24" s="141" t="s">
        <v>24</v>
      </c>
      <c r="AU24" s="141" t="s">
        <v>27</v>
      </c>
      <c r="AV24" s="141" t="s">
        <v>25</v>
      </c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61">
        <f>SEKOR!BN17</f>
        <v>26</v>
      </c>
      <c r="BM24" s="61">
        <f>SEKOR!BO17</f>
        <v>14</v>
      </c>
      <c r="BN24" s="62">
        <f>SEKOR!BP17</f>
        <v>65</v>
      </c>
      <c r="BO24" s="62">
        <f>SEKOR!BQ17</f>
        <v>83.870967741935488</v>
      </c>
      <c r="BP24" s="63">
        <f>SEKOR!BT17</f>
        <v>82</v>
      </c>
      <c r="BQ24" s="85"/>
      <c r="BR24" s="86" t="s">
        <v>29</v>
      </c>
    </row>
    <row r="25" spans="1:70" ht="15" customHeight="1" x14ac:dyDescent="0.25">
      <c r="A25" s="83">
        <f>IF(B25="","",COUNTA($B$10:$B25))</f>
        <v>16</v>
      </c>
      <c r="B25" s="137" t="s">
        <v>406</v>
      </c>
      <c r="C25" s="138" t="s">
        <v>407</v>
      </c>
      <c r="D25" s="141" t="s">
        <v>23</v>
      </c>
      <c r="E25" s="141" t="s">
        <v>26</v>
      </c>
      <c r="F25" s="141" t="s">
        <v>27</v>
      </c>
      <c r="G25" s="141"/>
      <c r="H25" s="141" t="s">
        <v>27</v>
      </c>
      <c r="I25" s="141" t="s">
        <v>408</v>
      </c>
      <c r="J25" s="141" t="s">
        <v>26</v>
      </c>
      <c r="K25" s="141" t="s">
        <v>25</v>
      </c>
      <c r="L25" s="141" t="s">
        <v>409</v>
      </c>
      <c r="M25" s="141" t="s">
        <v>26</v>
      </c>
      <c r="N25" s="141" t="s">
        <v>410</v>
      </c>
      <c r="O25" s="141" t="s">
        <v>25</v>
      </c>
      <c r="P25" s="141" t="s">
        <v>24</v>
      </c>
      <c r="Q25" s="141" t="s">
        <v>24</v>
      </c>
      <c r="R25" s="141" t="s">
        <v>23</v>
      </c>
      <c r="S25" s="141" t="s">
        <v>411</v>
      </c>
      <c r="T25" s="141" t="s">
        <v>27</v>
      </c>
      <c r="U25" s="141"/>
      <c r="V25" s="141" t="s">
        <v>24</v>
      </c>
      <c r="W25" s="141" t="s">
        <v>26</v>
      </c>
      <c r="X25" s="141" t="s">
        <v>412</v>
      </c>
      <c r="Y25" s="141" t="s">
        <v>411</v>
      </c>
      <c r="Z25" s="141" t="s">
        <v>25</v>
      </c>
      <c r="AA25" s="141" t="s">
        <v>24</v>
      </c>
      <c r="AB25" s="141" t="s">
        <v>23</v>
      </c>
      <c r="AC25" s="141" t="s">
        <v>27</v>
      </c>
      <c r="AD25" s="141" t="s">
        <v>412</v>
      </c>
      <c r="AE25" s="141" t="s">
        <v>27</v>
      </c>
      <c r="AF25" s="141" t="s">
        <v>413</v>
      </c>
      <c r="AG25" s="141" t="s">
        <v>25</v>
      </c>
      <c r="AH25" s="141" t="s">
        <v>410</v>
      </c>
      <c r="AI25" s="141" t="s">
        <v>409</v>
      </c>
      <c r="AJ25" s="141" t="s">
        <v>27</v>
      </c>
      <c r="AK25" s="141" t="s">
        <v>414</v>
      </c>
      <c r="AL25" s="141" t="s">
        <v>23</v>
      </c>
      <c r="AM25" s="141" t="s">
        <v>23</v>
      </c>
      <c r="AN25" s="141" t="s">
        <v>23</v>
      </c>
      <c r="AO25" s="141" t="s">
        <v>26</v>
      </c>
      <c r="AP25" s="141" t="s">
        <v>27</v>
      </c>
      <c r="AQ25" s="141" t="s">
        <v>26</v>
      </c>
      <c r="AR25" s="141" t="s">
        <v>23</v>
      </c>
      <c r="AS25" s="141" t="s">
        <v>26</v>
      </c>
      <c r="AT25" s="141" t="s">
        <v>26</v>
      </c>
      <c r="AU25" s="141" t="s">
        <v>26</v>
      </c>
      <c r="AV25" s="141" t="s">
        <v>27</v>
      </c>
      <c r="AW25" s="141"/>
      <c r="AX25" s="141"/>
      <c r="AY25" s="141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61">
        <f>SEKOR!BN18</f>
        <v>23</v>
      </c>
      <c r="BM25" s="61">
        <f>SEKOR!BO18</f>
        <v>17</v>
      </c>
      <c r="BN25" s="62">
        <f>SEKOR!BP18</f>
        <v>57.499999999999993</v>
      </c>
      <c r="BO25" s="62">
        <f>SEKOR!BQ18</f>
        <v>74.193548387096769</v>
      </c>
      <c r="BP25" s="63">
        <f>SEKOR!BT18</f>
        <v>77</v>
      </c>
      <c r="BQ25" s="85"/>
      <c r="BR25" s="87" t="s">
        <v>32</v>
      </c>
    </row>
    <row r="26" spans="1:70" ht="15" customHeight="1" x14ac:dyDescent="0.25">
      <c r="A26" s="83">
        <f>IF(B26="","",COUNTA($B$10:$B26))</f>
        <v>17</v>
      </c>
      <c r="B26" s="137" t="s">
        <v>415</v>
      </c>
      <c r="C26" s="138" t="s">
        <v>416</v>
      </c>
      <c r="D26" s="141"/>
      <c r="E26" s="141" t="s">
        <v>26</v>
      </c>
      <c r="F26" s="141" t="s">
        <v>24</v>
      </c>
      <c r="G26" s="141" t="s">
        <v>26</v>
      </c>
      <c r="H26" s="141" t="s">
        <v>27</v>
      </c>
      <c r="I26" s="141" t="s">
        <v>26</v>
      </c>
      <c r="J26" s="141" t="s">
        <v>26</v>
      </c>
      <c r="K26" s="141" t="s">
        <v>25</v>
      </c>
      <c r="L26" s="141" t="s">
        <v>27</v>
      </c>
      <c r="M26" s="141" t="s">
        <v>26</v>
      </c>
      <c r="N26" s="141" t="s">
        <v>25</v>
      </c>
      <c r="O26" s="141"/>
      <c r="P26" s="141" t="s">
        <v>24</v>
      </c>
      <c r="Q26" s="141" t="s">
        <v>24</v>
      </c>
      <c r="R26" s="141" t="s">
        <v>24</v>
      </c>
      <c r="S26" s="141" t="s">
        <v>26</v>
      </c>
      <c r="T26" s="141" t="s">
        <v>27</v>
      </c>
      <c r="U26" s="141" t="s">
        <v>23</v>
      </c>
      <c r="V26" s="141" t="s">
        <v>24</v>
      </c>
      <c r="W26" s="141"/>
      <c r="X26" s="141" t="s">
        <v>26</v>
      </c>
      <c r="Y26" s="141" t="s">
        <v>26</v>
      </c>
      <c r="Z26" s="141" t="s">
        <v>26</v>
      </c>
      <c r="AA26" s="141" t="s">
        <v>24</v>
      </c>
      <c r="AB26" s="141" t="s">
        <v>23</v>
      </c>
      <c r="AC26" s="141" t="s">
        <v>27</v>
      </c>
      <c r="AD26" s="141" t="s">
        <v>23</v>
      </c>
      <c r="AE26" s="141" t="s">
        <v>27</v>
      </c>
      <c r="AF26" s="141"/>
      <c r="AG26" s="141" t="s">
        <v>27</v>
      </c>
      <c r="AH26" s="141" t="s">
        <v>25</v>
      </c>
      <c r="AI26" s="141" t="s">
        <v>25</v>
      </c>
      <c r="AJ26" s="141" t="s">
        <v>24</v>
      </c>
      <c r="AK26" s="141"/>
      <c r="AL26" s="141" t="s">
        <v>27</v>
      </c>
      <c r="AM26" s="141" t="s">
        <v>23</v>
      </c>
      <c r="AN26" s="141" t="s">
        <v>26</v>
      </c>
      <c r="AO26" s="141" t="s">
        <v>24</v>
      </c>
      <c r="AP26" s="141" t="s">
        <v>25</v>
      </c>
      <c r="AQ26" s="141" t="s">
        <v>24</v>
      </c>
      <c r="AR26" s="141" t="s">
        <v>23</v>
      </c>
      <c r="AS26" s="141" t="s">
        <v>25</v>
      </c>
      <c r="AT26" s="141" t="s">
        <v>26</v>
      </c>
      <c r="AU26" s="141" t="s">
        <v>27</v>
      </c>
      <c r="AV26" s="141" t="s">
        <v>24</v>
      </c>
      <c r="AW26" s="141"/>
      <c r="AX26" s="141"/>
      <c r="AY26" s="141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1"/>
      <c r="BL26" s="61">
        <f>SEKOR!BN19</f>
        <v>19</v>
      </c>
      <c r="BM26" s="61">
        <f>SEKOR!BO19</f>
        <v>21</v>
      </c>
      <c r="BN26" s="62">
        <f>SEKOR!BP19</f>
        <v>47.5</v>
      </c>
      <c r="BO26" s="62">
        <f>SEKOR!BQ19</f>
        <v>61.29032258064516</v>
      </c>
      <c r="BP26" s="63">
        <f>SEKOR!BT19</f>
        <v>70</v>
      </c>
      <c r="BQ26" s="85"/>
      <c r="BR26" s="87" t="s">
        <v>32</v>
      </c>
    </row>
    <row r="27" spans="1:70" ht="15" customHeight="1" x14ac:dyDescent="0.25">
      <c r="A27" s="83">
        <f>IF(B27="","",COUNTA($B$10:$B27))</f>
        <v>18</v>
      </c>
      <c r="B27" s="137" t="s">
        <v>417</v>
      </c>
      <c r="C27" s="138" t="s">
        <v>418</v>
      </c>
      <c r="D27" s="141" t="s">
        <v>24</v>
      </c>
      <c r="E27" s="141" t="s">
        <v>26</v>
      </c>
      <c r="F27" s="141" t="s">
        <v>27</v>
      </c>
      <c r="G27" s="141" t="s">
        <v>24</v>
      </c>
      <c r="H27" s="141" t="s">
        <v>24</v>
      </c>
      <c r="I27" s="141" t="s">
        <v>25</v>
      </c>
      <c r="J27" s="141" t="s">
        <v>26</v>
      </c>
      <c r="K27" s="141" t="s">
        <v>25</v>
      </c>
      <c r="L27" s="141" t="s">
        <v>26</v>
      </c>
      <c r="M27" s="141" t="s">
        <v>26</v>
      </c>
      <c r="N27" s="141" t="s">
        <v>27</v>
      </c>
      <c r="O27" s="141" t="s">
        <v>25</v>
      </c>
      <c r="P27" s="141" t="s">
        <v>25</v>
      </c>
      <c r="Q27" s="141"/>
      <c r="R27" s="141" t="s">
        <v>24</v>
      </c>
      <c r="S27" s="141" t="s">
        <v>26</v>
      </c>
      <c r="T27" s="141" t="s">
        <v>27</v>
      </c>
      <c r="U27" s="141"/>
      <c r="V27" s="141"/>
      <c r="W27" s="141" t="s">
        <v>24</v>
      </c>
      <c r="X27" s="141" t="s">
        <v>26</v>
      </c>
      <c r="Y27" s="141" t="s">
        <v>23</v>
      </c>
      <c r="Z27" s="141" t="s">
        <v>23</v>
      </c>
      <c r="AA27" s="141" t="s">
        <v>24</v>
      </c>
      <c r="AB27" s="141" t="s">
        <v>26</v>
      </c>
      <c r="AC27" s="141" t="s">
        <v>27</v>
      </c>
      <c r="AD27" s="141" t="s">
        <v>25</v>
      </c>
      <c r="AE27" s="141" t="s">
        <v>27</v>
      </c>
      <c r="AF27" s="141" t="s">
        <v>25</v>
      </c>
      <c r="AG27" s="141" t="s">
        <v>27</v>
      </c>
      <c r="AH27" s="141" t="s">
        <v>26</v>
      </c>
      <c r="AI27" s="141" t="s">
        <v>25</v>
      </c>
      <c r="AJ27" s="141" t="s">
        <v>27</v>
      </c>
      <c r="AK27" s="141" t="s">
        <v>23</v>
      </c>
      <c r="AL27" s="141" t="s">
        <v>27</v>
      </c>
      <c r="AM27" s="141" t="s">
        <v>24</v>
      </c>
      <c r="AN27" s="141" t="s">
        <v>27</v>
      </c>
      <c r="AO27" s="141" t="s">
        <v>24</v>
      </c>
      <c r="AP27" s="141" t="s">
        <v>27</v>
      </c>
      <c r="AQ27" s="141"/>
      <c r="AR27" s="141" t="s">
        <v>23</v>
      </c>
      <c r="AS27" s="141" t="s">
        <v>27</v>
      </c>
      <c r="AT27" s="141"/>
      <c r="AU27" s="141" t="s">
        <v>26</v>
      </c>
      <c r="AV27" s="141" t="s">
        <v>26</v>
      </c>
      <c r="AW27" s="141"/>
      <c r="AX27" s="141"/>
      <c r="AY27" s="141"/>
      <c r="AZ27" s="141"/>
      <c r="BA27" s="141"/>
      <c r="BB27" s="141"/>
      <c r="BC27" s="141"/>
      <c r="BD27" s="141"/>
      <c r="BE27" s="141"/>
      <c r="BF27" s="141"/>
      <c r="BG27" s="141"/>
      <c r="BH27" s="141"/>
      <c r="BI27" s="141"/>
      <c r="BJ27" s="141"/>
      <c r="BK27" s="141"/>
      <c r="BL27" s="61">
        <f>SEKOR!BN20</f>
        <v>31</v>
      </c>
      <c r="BM27" s="61">
        <f>SEKOR!BO20</f>
        <v>9</v>
      </c>
      <c r="BN27" s="62">
        <f>SEKOR!BP20</f>
        <v>77.5</v>
      </c>
      <c r="BO27" s="62">
        <f>SEKOR!BQ20</f>
        <v>100</v>
      </c>
      <c r="BP27" s="63">
        <f>SEKOR!BT20</f>
        <v>90</v>
      </c>
      <c r="BQ27" s="85"/>
      <c r="BR27" s="87" t="s">
        <v>32</v>
      </c>
    </row>
    <row r="28" spans="1:70" ht="15" customHeight="1" x14ac:dyDescent="0.25">
      <c r="A28" s="83">
        <f>IF(B28="","",COUNTA($B$10:$B28))</f>
        <v>19</v>
      </c>
      <c r="B28" s="137" t="s">
        <v>419</v>
      </c>
      <c r="C28" s="138" t="s">
        <v>420</v>
      </c>
      <c r="D28" s="141"/>
      <c r="E28" s="141" t="s">
        <v>26</v>
      </c>
      <c r="F28" s="141" t="s">
        <v>25</v>
      </c>
      <c r="G28" s="141" t="s">
        <v>27</v>
      </c>
      <c r="H28" s="141" t="s">
        <v>27</v>
      </c>
      <c r="I28" s="141" t="s">
        <v>27</v>
      </c>
      <c r="J28" s="141" t="s">
        <v>27</v>
      </c>
      <c r="K28" s="141" t="s">
        <v>24</v>
      </c>
      <c r="L28" s="141" t="s">
        <v>24</v>
      </c>
      <c r="M28" s="141" t="s">
        <v>24</v>
      </c>
      <c r="N28" s="141" t="s">
        <v>26</v>
      </c>
      <c r="O28" s="141"/>
      <c r="P28" s="141" t="s">
        <v>23</v>
      </c>
      <c r="Q28" s="141"/>
      <c r="R28" s="141" t="s">
        <v>25</v>
      </c>
      <c r="S28" s="141" t="s">
        <v>26</v>
      </c>
      <c r="T28" s="141" t="s">
        <v>27</v>
      </c>
      <c r="U28" s="141" t="s">
        <v>25</v>
      </c>
      <c r="V28" s="141" t="s">
        <v>25</v>
      </c>
      <c r="W28" s="141" t="s">
        <v>23</v>
      </c>
      <c r="X28" s="141" t="s">
        <v>25</v>
      </c>
      <c r="Y28" s="141" t="s">
        <v>26</v>
      </c>
      <c r="Z28" s="141" t="s">
        <v>27</v>
      </c>
      <c r="AA28" s="141" t="s">
        <v>26</v>
      </c>
      <c r="AB28" s="141" t="s">
        <v>23</v>
      </c>
      <c r="AC28" s="141"/>
      <c r="AD28" s="141" t="s">
        <v>26</v>
      </c>
      <c r="AE28" s="141" t="s">
        <v>23</v>
      </c>
      <c r="AF28" s="141" t="s">
        <v>23</v>
      </c>
      <c r="AG28" s="141" t="s">
        <v>25</v>
      </c>
      <c r="AH28" s="141" t="s">
        <v>23</v>
      </c>
      <c r="AI28" s="141" t="s">
        <v>25</v>
      </c>
      <c r="AJ28" s="141" t="s">
        <v>23</v>
      </c>
      <c r="AK28" s="141" t="s">
        <v>25</v>
      </c>
      <c r="AL28" s="141" t="s">
        <v>26</v>
      </c>
      <c r="AM28" s="141" t="s">
        <v>25</v>
      </c>
      <c r="AN28" s="141" t="s">
        <v>27</v>
      </c>
      <c r="AO28" s="141" t="s">
        <v>27</v>
      </c>
      <c r="AP28" s="141" t="s">
        <v>25</v>
      </c>
      <c r="AQ28" s="141" t="s">
        <v>23</v>
      </c>
      <c r="AR28" s="141" t="s">
        <v>27</v>
      </c>
      <c r="AS28" s="141" t="s">
        <v>27</v>
      </c>
      <c r="AT28" s="141"/>
      <c r="AU28" s="141" t="s">
        <v>23</v>
      </c>
      <c r="AV28" s="141" t="s">
        <v>26</v>
      </c>
      <c r="AW28" s="141"/>
      <c r="AX28" s="141"/>
      <c r="AY28" s="141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61">
        <f>SEKOR!BN21</f>
        <v>7</v>
      </c>
      <c r="BM28" s="61">
        <f>SEKOR!BO21</f>
        <v>33</v>
      </c>
      <c r="BN28" s="62">
        <f>SEKOR!BP21</f>
        <v>17.5</v>
      </c>
      <c r="BO28" s="62">
        <f>SEKOR!BQ21</f>
        <v>22.58064516129032</v>
      </c>
      <c r="BP28" s="63">
        <f>SEKOR!BT21</f>
        <v>50</v>
      </c>
      <c r="BQ28" s="85"/>
      <c r="BR28" s="86" t="s">
        <v>29</v>
      </c>
    </row>
    <row r="29" spans="1:70" ht="15" customHeight="1" x14ac:dyDescent="0.25">
      <c r="A29" s="83">
        <f>IF(B29="","",COUNTA($B$10:$B29))</f>
        <v>20</v>
      </c>
      <c r="B29" s="137" t="s">
        <v>421</v>
      </c>
      <c r="C29" s="138" t="s">
        <v>422</v>
      </c>
      <c r="D29" s="141" t="s">
        <v>26</v>
      </c>
      <c r="E29" s="141" t="s">
        <v>25</v>
      </c>
      <c r="F29" s="141" t="s">
        <v>25</v>
      </c>
      <c r="G29" s="141" t="s">
        <v>26</v>
      </c>
      <c r="H29" s="141" t="s">
        <v>27</v>
      </c>
      <c r="I29" s="141" t="s">
        <v>27</v>
      </c>
      <c r="J29" s="141" t="s">
        <v>27</v>
      </c>
      <c r="K29" s="141"/>
      <c r="L29" s="141" t="s">
        <v>27</v>
      </c>
      <c r="M29" s="141" t="s">
        <v>24</v>
      </c>
      <c r="N29" s="141" t="s">
        <v>25</v>
      </c>
      <c r="O29" s="141" t="s">
        <v>25</v>
      </c>
      <c r="P29" s="141"/>
      <c r="Q29" s="141" t="s">
        <v>24</v>
      </c>
      <c r="R29" s="141" t="s">
        <v>24</v>
      </c>
      <c r="S29" s="141" t="s">
        <v>25</v>
      </c>
      <c r="T29" s="141" t="s">
        <v>27</v>
      </c>
      <c r="U29" s="141" t="s">
        <v>27</v>
      </c>
      <c r="V29" s="141"/>
      <c r="W29" s="141" t="s">
        <v>25</v>
      </c>
      <c r="X29" s="141"/>
      <c r="Y29" s="141" t="s">
        <v>23</v>
      </c>
      <c r="Z29" s="141" t="s">
        <v>25</v>
      </c>
      <c r="AA29" s="141" t="s">
        <v>24</v>
      </c>
      <c r="AB29" s="141" t="s">
        <v>23</v>
      </c>
      <c r="AC29" s="141" t="s">
        <v>23</v>
      </c>
      <c r="AD29" s="141" t="s">
        <v>23</v>
      </c>
      <c r="AE29" s="141" t="s">
        <v>24</v>
      </c>
      <c r="AF29" s="141" t="s">
        <v>23</v>
      </c>
      <c r="AG29" s="141" t="s">
        <v>27</v>
      </c>
      <c r="AH29" s="141" t="s">
        <v>26</v>
      </c>
      <c r="AI29" s="141" t="s">
        <v>25</v>
      </c>
      <c r="AJ29" s="141" t="s">
        <v>27</v>
      </c>
      <c r="AK29" s="141" t="s">
        <v>23</v>
      </c>
      <c r="AL29" s="141" t="s">
        <v>26</v>
      </c>
      <c r="AM29" s="141" t="s">
        <v>27</v>
      </c>
      <c r="AN29" s="141" t="s">
        <v>27</v>
      </c>
      <c r="AO29" s="141" t="s">
        <v>25</v>
      </c>
      <c r="AP29" s="141" t="s">
        <v>25</v>
      </c>
      <c r="AQ29" s="141"/>
      <c r="AR29" s="141" t="s">
        <v>23</v>
      </c>
      <c r="AS29" s="141"/>
      <c r="AT29" s="141" t="s">
        <v>23</v>
      </c>
      <c r="AU29" s="141" t="s">
        <v>27</v>
      </c>
      <c r="AV29" s="141" t="s">
        <v>26</v>
      </c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61">
        <f>SEKOR!BN22</f>
        <v>10</v>
      </c>
      <c r="BM29" s="61">
        <f>SEKOR!BO22</f>
        <v>29</v>
      </c>
      <c r="BN29" s="62">
        <f>SEKOR!BP22</f>
        <v>25</v>
      </c>
      <c r="BO29" s="62">
        <f>SEKOR!BQ22</f>
        <v>32.258064516129032</v>
      </c>
      <c r="BP29" s="63">
        <f>SEKOR!BT22</f>
        <v>55</v>
      </c>
      <c r="BQ29" s="85"/>
      <c r="BR29" s="87" t="s">
        <v>32</v>
      </c>
    </row>
    <row r="30" spans="1:70" ht="15" customHeight="1" x14ac:dyDescent="0.25">
      <c r="A30" s="83">
        <f>IF(B30="","",COUNTA($B$10:$B30))</f>
        <v>21</v>
      </c>
      <c r="B30" s="137" t="s">
        <v>423</v>
      </c>
      <c r="C30" s="138" t="s">
        <v>424</v>
      </c>
      <c r="D30" s="141" t="s">
        <v>24</v>
      </c>
      <c r="E30" s="141" t="s">
        <v>26</v>
      </c>
      <c r="F30" s="141" t="s">
        <v>27</v>
      </c>
      <c r="G30" s="141" t="s">
        <v>24</v>
      </c>
      <c r="H30" s="141" t="s">
        <v>27</v>
      </c>
      <c r="I30" s="141" t="s">
        <v>27</v>
      </c>
      <c r="J30" s="141" t="s">
        <v>26</v>
      </c>
      <c r="K30" s="141" t="s">
        <v>27</v>
      </c>
      <c r="L30" s="141" t="s">
        <v>27</v>
      </c>
      <c r="M30" s="141"/>
      <c r="N30" s="141" t="s">
        <v>26</v>
      </c>
      <c r="O30" s="141" t="s">
        <v>27</v>
      </c>
      <c r="P30" s="141" t="s">
        <v>26</v>
      </c>
      <c r="Q30" s="141" t="s">
        <v>24</v>
      </c>
      <c r="R30" s="141" t="s">
        <v>23</v>
      </c>
      <c r="S30" s="141" t="s">
        <v>23</v>
      </c>
      <c r="T30" s="141"/>
      <c r="U30" s="141"/>
      <c r="V30" s="141" t="s">
        <v>25</v>
      </c>
      <c r="W30" s="141" t="s">
        <v>25</v>
      </c>
      <c r="X30" s="141" t="s">
        <v>25</v>
      </c>
      <c r="Y30" s="141" t="s">
        <v>26</v>
      </c>
      <c r="Z30" s="141" t="s">
        <v>24</v>
      </c>
      <c r="AA30" s="141"/>
      <c r="AB30" s="141" t="s">
        <v>23</v>
      </c>
      <c r="AC30" s="141" t="s">
        <v>23</v>
      </c>
      <c r="AD30" s="141" t="s">
        <v>25</v>
      </c>
      <c r="AE30" s="141" t="s">
        <v>27</v>
      </c>
      <c r="AF30" s="141" t="s">
        <v>27</v>
      </c>
      <c r="AG30" s="141" t="s">
        <v>24</v>
      </c>
      <c r="AH30" s="141" t="s">
        <v>25</v>
      </c>
      <c r="AI30" s="141" t="s">
        <v>27</v>
      </c>
      <c r="AJ30" s="141" t="s">
        <v>27</v>
      </c>
      <c r="AK30" s="141" t="s">
        <v>27</v>
      </c>
      <c r="AL30" s="141" t="s">
        <v>27</v>
      </c>
      <c r="AM30" s="141" t="s">
        <v>23</v>
      </c>
      <c r="AN30" s="141" t="s">
        <v>25</v>
      </c>
      <c r="AO30" s="141" t="s">
        <v>23</v>
      </c>
      <c r="AP30" s="141" t="s">
        <v>27</v>
      </c>
      <c r="AQ30" s="141" t="s">
        <v>27</v>
      </c>
      <c r="AR30" s="141" t="s">
        <v>23</v>
      </c>
      <c r="AS30" s="141" t="s">
        <v>23</v>
      </c>
      <c r="AT30" s="141"/>
      <c r="AU30" s="141" t="s">
        <v>26</v>
      </c>
      <c r="AV30" s="141" t="s">
        <v>24</v>
      </c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61">
        <f>SEKOR!BN23</f>
        <v>16</v>
      </c>
      <c r="BM30" s="61">
        <f>SEKOR!BO23</f>
        <v>24</v>
      </c>
      <c r="BN30" s="62">
        <f>SEKOR!BP23</f>
        <v>40</v>
      </c>
      <c r="BO30" s="62">
        <f>SEKOR!BQ23</f>
        <v>51.612903225806448</v>
      </c>
      <c r="BP30" s="63">
        <f>SEKOR!BT23</f>
        <v>65</v>
      </c>
      <c r="BQ30" s="85"/>
      <c r="BR30" s="86" t="s">
        <v>29</v>
      </c>
    </row>
    <row r="31" spans="1:70" ht="15" customHeight="1" x14ac:dyDescent="0.25">
      <c r="A31" s="83">
        <f>IF(B31="","",COUNTA($B$10:$B31))</f>
        <v>22</v>
      </c>
      <c r="B31" s="137" t="s">
        <v>425</v>
      </c>
      <c r="C31" s="138" t="s">
        <v>426</v>
      </c>
      <c r="D31" s="141" t="s">
        <v>24</v>
      </c>
      <c r="E31" s="141" t="s">
        <v>26</v>
      </c>
      <c r="F31" s="141" t="s">
        <v>27</v>
      </c>
      <c r="G31" s="141" t="s">
        <v>24</v>
      </c>
      <c r="H31" s="141" t="s">
        <v>24</v>
      </c>
      <c r="I31" s="141" t="s">
        <v>26</v>
      </c>
      <c r="J31" s="141"/>
      <c r="K31" s="141" t="s">
        <v>25</v>
      </c>
      <c r="L31" s="141" t="s">
        <v>24</v>
      </c>
      <c r="M31" s="141" t="s">
        <v>23</v>
      </c>
      <c r="N31" s="141" t="s">
        <v>23</v>
      </c>
      <c r="O31" s="141" t="s">
        <v>25</v>
      </c>
      <c r="P31" s="141" t="s">
        <v>23</v>
      </c>
      <c r="Q31" s="141" t="s">
        <v>24</v>
      </c>
      <c r="R31" s="141" t="s">
        <v>24</v>
      </c>
      <c r="S31" s="141" t="s">
        <v>26</v>
      </c>
      <c r="T31" s="141" t="s">
        <v>27</v>
      </c>
      <c r="U31" s="141" t="s">
        <v>23</v>
      </c>
      <c r="V31" s="141" t="s">
        <v>24</v>
      </c>
      <c r="W31" s="141" t="s">
        <v>24</v>
      </c>
      <c r="X31" s="141" t="s">
        <v>26</v>
      </c>
      <c r="Y31" s="141" t="s">
        <v>26</v>
      </c>
      <c r="Z31" s="141" t="s">
        <v>25</v>
      </c>
      <c r="AA31" s="141" t="s">
        <v>24</v>
      </c>
      <c r="AB31" s="141" t="s">
        <v>23</v>
      </c>
      <c r="AC31" s="141" t="s">
        <v>27</v>
      </c>
      <c r="AD31" s="141" t="s">
        <v>25</v>
      </c>
      <c r="AE31" s="141" t="s">
        <v>27</v>
      </c>
      <c r="AF31" s="141" t="s">
        <v>25</v>
      </c>
      <c r="AG31" s="141" t="s">
        <v>27</v>
      </c>
      <c r="AH31" s="141" t="s">
        <v>26</v>
      </c>
      <c r="AI31" s="141" t="s">
        <v>25</v>
      </c>
      <c r="AJ31" s="141" t="s">
        <v>27</v>
      </c>
      <c r="AK31" s="141" t="s">
        <v>23</v>
      </c>
      <c r="AL31" s="141"/>
      <c r="AM31" s="141" t="s">
        <v>24</v>
      </c>
      <c r="AN31" s="141"/>
      <c r="AO31" s="141" t="s">
        <v>24</v>
      </c>
      <c r="AP31" s="141"/>
      <c r="AQ31" s="141" t="s">
        <v>25</v>
      </c>
      <c r="AR31" s="141" t="s">
        <v>23</v>
      </c>
      <c r="AS31" s="141" t="s">
        <v>27</v>
      </c>
      <c r="AT31" s="141" t="s">
        <v>26</v>
      </c>
      <c r="AU31" s="141"/>
      <c r="AV31" s="141" t="s">
        <v>26</v>
      </c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61">
        <f>SEKOR!BN24</f>
        <v>26</v>
      </c>
      <c r="BM31" s="61">
        <f>SEKOR!BO24</f>
        <v>14</v>
      </c>
      <c r="BN31" s="62">
        <f>SEKOR!BP24</f>
        <v>65</v>
      </c>
      <c r="BO31" s="62">
        <f>SEKOR!BQ24</f>
        <v>83.870967741935488</v>
      </c>
      <c r="BP31" s="63">
        <f>SEKOR!BT24</f>
        <v>82</v>
      </c>
      <c r="BQ31" s="85"/>
      <c r="BR31" s="86" t="s">
        <v>29</v>
      </c>
    </row>
    <row r="32" spans="1:70" ht="15" customHeight="1" x14ac:dyDescent="0.25">
      <c r="A32" s="83">
        <f>IF(B32="","",COUNTA($B$10:$B32))</f>
        <v>23</v>
      </c>
      <c r="B32" s="137" t="s">
        <v>427</v>
      </c>
      <c r="C32" s="138" t="s">
        <v>428</v>
      </c>
      <c r="D32" s="141" t="s">
        <v>23</v>
      </c>
      <c r="E32" s="141" t="s">
        <v>26</v>
      </c>
      <c r="F32" s="141" t="s">
        <v>24</v>
      </c>
      <c r="G32" s="141" t="s">
        <v>26</v>
      </c>
      <c r="H32" s="141" t="s">
        <v>27</v>
      </c>
      <c r="I32" s="141" t="s">
        <v>26</v>
      </c>
      <c r="J32" s="141" t="s">
        <v>26</v>
      </c>
      <c r="K32" s="141" t="s">
        <v>24</v>
      </c>
      <c r="L32" s="141" t="s">
        <v>27</v>
      </c>
      <c r="M32" s="141" t="s">
        <v>26</v>
      </c>
      <c r="N32" s="141" t="s">
        <v>26</v>
      </c>
      <c r="O32" s="141" t="s">
        <v>25</v>
      </c>
      <c r="P32" s="141"/>
      <c r="Q32" s="141"/>
      <c r="R32" s="141" t="s">
        <v>24</v>
      </c>
      <c r="S32" s="141" t="s">
        <v>26</v>
      </c>
      <c r="T32" s="141" t="s">
        <v>27</v>
      </c>
      <c r="U32" s="141" t="s">
        <v>23</v>
      </c>
      <c r="V32" s="141" t="s">
        <v>24</v>
      </c>
      <c r="W32" s="141" t="s">
        <v>24</v>
      </c>
      <c r="X32" s="141" t="s">
        <v>26</v>
      </c>
      <c r="Y32" s="141" t="s">
        <v>26</v>
      </c>
      <c r="Z32" s="141" t="s">
        <v>26</v>
      </c>
      <c r="AA32" s="141" t="s">
        <v>24</v>
      </c>
      <c r="AB32" s="141" t="s">
        <v>23</v>
      </c>
      <c r="AC32" s="141"/>
      <c r="AD32" s="141" t="s">
        <v>23</v>
      </c>
      <c r="AE32" s="141"/>
      <c r="AF32" s="141" t="s">
        <v>25</v>
      </c>
      <c r="AG32" s="141" t="s">
        <v>27</v>
      </c>
      <c r="AH32" s="141" t="s">
        <v>25</v>
      </c>
      <c r="AI32" s="141" t="s">
        <v>25</v>
      </c>
      <c r="AJ32" s="141" t="s">
        <v>24</v>
      </c>
      <c r="AK32" s="141"/>
      <c r="AL32" s="141" t="s">
        <v>27</v>
      </c>
      <c r="AM32" s="141"/>
      <c r="AN32" s="141" t="s">
        <v>27</v>
      </c>
      <c r="AO32" s="141" t="s">
        <v>24</v>
      </c>
      <c r="AP32" s="141" t="s">
        <v>27</v>
      </c>
      <c r="AQ32" s="141" t="s">
        <v>24</v>
      </c>
      <c r="AR32" s="141" t="s">
        <v>23</v>
      </c>
      <c r="AS32" s="141" t="s">
        <v>27</v>
      </c>
      <c r="AT32" s="141" t="s">
        <v>26</v>
      </c>
      <c r="AU32" s="141" t="s">
        <v>27</v>
      </c>
      <c r="AV32" s="141" t="s">
        <v>24</v>
      </c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61">
        <f>SEKOR!BN25</f>
        <v>21</v>
      </c>
      <c r="BM32" s="61">
        <f>SEKOR!BO25</f>
        <v>18</v>
      </c>
      <c r="BN32" s="62">
        <f>SEKOR!BP25</f>
        <v>52.5</v>
      </c>
      <c r="BO32" s="62">
        <f>SEKOR!BQ25</f>
        <v>67.741935483870961</v>
      </c>
      <c r="BP32" s="63">
        <f>SEKOR!BT25</f>
        <v>74</v>
      </c>
      <c r="BQ32" s="85"/>
      <c r="BR32" s="86" t="s">
        <v>29</v>
      </c>
    </row>
    <row r="33" spans="1:70" ht="15" customHeight="1" x14ac:dyDescent="0.25">
      <c r="A33" s="83">
        <f>IF(B33="","",COUNTA($B$10:$B33))</f>
        <v>24</v>
      </c>
      <c r="B33" s="137" t="s">
        <v>429</v>
      </c>
      <c r="C33" s="138" t="s">
        <v>430</v>
      </c>
      <c r="D33" s="141" t="s">
        <v>23</v>
      </c>
      <c r="E33" s="141" t="s">
        <v>26</v>
      </c>
      <c r="F33" s="141" t="s">
        <v>27</v>
      </c>
      <c r="G33" s="141" t="s">
        <v>25</v>
      </c>
      <c r="H33" s="141" t="s">
        <v>27</v>
      </c>
      <c r="I33" s="141" t="s">
        <v>24</v>
      </c>
      <c r="J33" s="141" t="s">
        <v>25</v>
      </c>
      <c r="K33" s="141" t="s">
        <v>24</v>
      </c>
      <c r="L33" s="141" t="s">
        <v>24</v>
      </c>
      <c r="M33" s="141" t="s">
        <v>26</v>
      </c>
      <c r="N33" s="141"/>
      <c r="O33" s="141" t="s">
        <v>23</v>
      </c>
      <c r="P33" s="141" t="s">
        <v>27</v>
      </c>
      <c r="Q33" s="141" t="s">
        <v>24</v>
      </c>
      <c r="R33" s="141" t="s">
        <v>24</v>
      </c>
      <c r="S33" s="141"/>
      <c r="T33" s="141" t="s">
        <v>27</v>
      </c>
      <c r="U33" s="141" t="s">
        <v>23</v>
      </c>
      <c r="V33" s="141" t="s">
        <v>26</v>
      </c>
      <c r="W33" s="141" t="s">
        <v>24</v>
      </c>
      <c r="X33" s="141" t="s">
        <v>26</v>
      </c>
      <c r="Y33" s="141" t="s">
        <v>26</v>
      </c>
      <c r="Z33" s="141" t="s">
        <v>26</v>
      </c>
      <c r="AA33" s="141" t="s">
        <v>23</v>
      </c>
      <c r="AB33" s="141" t="s">
        <v>27</v>
      </c>
      <c r="AC33" s="141"/>
      <c r="AD33" s="141" t="s">
        <v>25</v>
      </c>
      <c r="AE33" s="141" t="s">
        <v>27</v>
      </c>
      <c r="AF33" s="141" t="s">
        <v>23</v>
      </c>
      <c r="AG33" s="141" t="s">
        <v>27</v>
      </c>
      <c r="AH33" s="141" t="s">
        <v>25</v>
      </c>
      <c r="AI33" s="141" t="s">
        <v>25</v>
      </c>
      <c r="AJ33" s="141"/>
      <c r="AK33" s="141" t="s">
        <v>25</v>
      </c>
      <c r="AL33" s="141" t="s">
        <v>25</v>
      </c>
      <c r="AM33" s="141" t="s">
        <v>24</v>
      </c>
      <c r="AN33" s="141" t="s">
        <v>27</v>
      </c>
      <c r="AO33" s="141" t="s">
        <v>24</v>
      </c>
      <c r="AP33" s="141" t="s">
        <v>25</v>
      </c>
      <c r="AQ33" s="141" t="s">
        <v>24</v>
      </c>
      <c r="AR33" s="141" t="s">
        <v>26</v>
      </c>
      <c r="AS33" s="141" t="s">
        <v>25</v>
      </c>
      <c r="AT33" s="141" t="s">
        <v>25</v>
      </c>
      <c r="AU33" s="141"/>
      <c r="AV33" s="141" t="s">
        <v>24</v>
      </c>
      <c r="AW33" s="141"/>
      <c r="AX33" s="141"/>
      <c r="AY33" s="141"/>
      <c r="AZ33" s="141"/>
      <c r="BA33" s="141"/>
      <c r="BB33" s="141"/>
      <c r="BC33" s="141"/>
      <c r="BD33" s="141"/>
      <c r="BE33" s="141"/>
      <c r="BF33" s="141"/>
      <c r="BG33" s="141"/>
      <c r="BH33" s="141"/>
      <c r="BI33" s="141"/>
      <c r="BJ33" s="141"/>
      <c r="BK33" s="141"/>
      <c r="BL33" s="61">
        <f>SEKOR!BN26</f>
        <v>19</v>
      </c>
      <c r="BM33" s="61">
        <f>SEKOR!BO26</f>
        <v>21</v>
      </c>
      <c r="BN33" s="62">
        <f>SEKOR!BP26</f>
        <v>47.5</v>
      </c>
      <c r="BO33" s="62">
        <f>SEKOR!BQ26</f>
        <v>61.29032258064516</v>
      </c>
      <c r="BP33" s="63">
        <f>SEKOR!BT26</f>
        <v>70</v>
      </c>
      <c r="BQ33" s="88"/>
      <c r="BR33" s="88"/>
    </row>
    <row r="34" spans="1:70" ht="15" customHeight="1" x14ac:dyDescent="0.25">
      <c r="A34" s="83">
        <f>IF(B34="","",COUNTA($B$10:$B34))</f>
        <v>25</v>
      </c>
      <c r="B34" s="137" t="s">
        <v>431</v>
      </c>
      <c r="C34" s="138" t="s">
        <v>432</v>
      </c>
      <c r="D34" s="141" t="s">
        <v>23</v>
      </c>
      <c r="E34" s="141" t="s">
        <v>26</v>
      </c>
      <c r="F34" s="141" t="s">
        <v>27</v>
      </c>
      <c r="G34" s="141" t="s">
        <v>24</v>
      </c>
      <c r="H34" s="141" t="s">
        <v>27</v>
      </c>
      <c r="I34" s="141" t="s">
        <v>25</v>
      </c>
      <c r="J34" s="141" t="s">
        <v>26</v>
      </c>
      <c r="K34" s="141" t="s">
        <v>24</v>
      </c>
      <c r="L34" s="141" t="s">
        <v>26</v>
      </c>
      <c r="M34" s="141" t="s">
        <v>26</v>
      </c>
      <c r="N34" s="141" t="s">
        <v>23</v>
      </c>
      <c r="O34" s="141" t="s">
        <v>25</v>
      </c>
      <c r="P34" s="141" t="s">
        <v>26</v>
      </c>
      <c r="Q34" s="141" t="s">
        <v>24</v>
      </c>
      <c r="R34" s="141" t="s">
        <v>24</v>
      </c>
      <c r="S34" s="141" t="s">
        <v>26</v>
      </c>
      <c r="T34" s="141" t="s">
        <v>27</v>
      </c>
      <c r="U34" s="141" t="s">
        <v>24</v>
      </c>
      <c r="V34" s="141" t="s">
        <v>25</v>
      </c>
      <c r="W34" s="141" t="s">
        <v>24</v>
      </c>
      <c r="X34" s="141" t="s">
        <v>25</v>
      </c>
      <c r="Y34" s="141" t="s">
        <v>26</v>
      </c>
      <c r="Z34" s="141"/>
      <c r="AA34" s="141" t="s">
        <v>25</v>
      </c>
      <c r="AB34" s="141" t="s">
        <v>27</v>
      </c>
      <c r="AC34" s="141" t="s">
        <v>23</v>
      </c>
      <c r="AD34" s="141" t="s">
        <v>25</v>
      </c>
      <c r="AE34" s="141" t="s">
        <v>26</v>
      </c>
      <c r="AF34" s="141" t="s">
        <v>24</v>
      </c>
      <c r="AG34" s="141" t="s">
        <v>24</v>
      </c>
      <c r="AH34" s="141"/>
      <c r="AI34" s="141" t="s">
        <v>25</v>
      </c>
      <c r="AJ34" s="141" t="s">
        <v>24</v>
      </c>
      <c r="AK34" s="141" t="s">
        <v>24</v>
      </c>
      <c r="AL34" s="141"/>
      <c r="AM34" s="141" t="s">
        <v>25</v>
      </c>
      <c r="AN34" s="141"/>
      <c r="AO34" s="141" t="s">
        <v>24</v>
      </c>
      <c r="AP34" s="141" t="s">
        <v>25</v>
      </c>
      <c r="AQ34" s="141"/>
      <c r="AR34" s="141" t="s">
        <v>23</v>
      </c>
      <c r="AS34" s="141" t="s">
        <v>27</v>
      </c>
      <c r="AT34" s="141" t="s">
        <v>27</v>
      </c>
      <c r="AU34" s="141" t="s">
        <v>26</v>
      </c>
      <c r="AV34" s="141" t="s">
        <v>23</v>
      </c>
      <c r="AW34" s="141"/>
      <c r="AX34" s="141"/>
      <c r="AY34" s="141"/>
      <c r="AZ34" s="141"/>
      <c r="BA34" s="14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61">
        <f>SEKOR!BN27</f>
        <v>21</v>
      </c>
      <c r="BM34" s="61">
        <f>SEKOR!BO27</f>
        <v>19</v>
      </c>
      <c r="BN34" s="62">
        <f>SEKOR!BP27</f>
        <v>52.5</v>
      </c>
      <c r="BO34" s="62">
        <f>SEKOR!BQ27</f>
        <v>67.741935483870961</v>
      </c>
      <c r="BP34" s="63">
        <f>SEKOR!BT27</f>
        <v>74</v>
      </c>
      <c r="BQ34" s="88"/>
      <c r="BR34" s="88"/>
    </row>
    <row r="35" spans="1:70" ht="15" customHeight="1" x14ac:dyDescent="0.25">
      <c r="A35" s="83">
        <f>IF(B35="","",COUNTA($B$10:$B35))</f>
        <v>26</v>
      </c>
      <c r="B35" s="137" t="s">
        <v>433</v>
      </c>
      <c r="C35" s="138" t="s">
        <v>434</v>
      </c>
      <c r="D35" s="141" t="s">
        <v>27</v>
      </c>
      <c r="E35" s="141"/>
      <c r="F35" s="141" t="s">
        <v>24</v>
      </c>
      <c r="G35" s="141" t="s">
        <v>24</v>
      </c>
      <c r="H35" s="141" t="s">
        <v>27</v>
      </c>
      <c r="I35" s="141" t="s">
        <v>26</v>
      </c>
      <c r="J35" s="141" t="s">
        <v>26</v>
      </c>
      <c r="K35" s="141"/>
      <c r="L35" s="141" t="s">
        <v>26</v>
      </c>
      <c r="M35" s="141" t="s">
        <v>23</v>
      </c>
      <c r="N35" s="141" t="s">
        <v>24</v>
      </c>
      <c r="O35" s="141" t="s">
        <v>25</v>
      </c>
      <c r="P35" s="141" t="s">
        <v>23</v>
      </c>
      <c r="Q35" s="141" t="s">
        <v>27</v>
      </c>
      <c r="R35" s="141" t="s">
        <v>24</v>
      </c>
      <c r="S35" s="141" t="s">
        <v>26</v>
      </c>
      <c r="T35" s="141" t="s">
        <v>27</v>
      </c>
      <c r="U35" s="141" t="s">
        <v>25</v>
      </c>
      <c r="V35" s="141" t="s">
        <v>26</v>
      </c>
      <c r="W35" s="141" t="s">
        <v>23</v>
      </c>
      <c r="X35" s="141" t="s">
        <v>24</v>
      </c>
      <c r="Y35" s="141" t="s">
        <v>23</v>
      </c>
      <c r="Z35" s="141" t="s">
        <v>23</v>
      </c>
      <c r="AA35" s="141" t="s">
        <v>25</v>
      </c>
      <c r="AB35" s="141" t="s">
        <v>27</v>
      </c>
      <c r="AC35" s="141" t="s">
        <v>26</v>
      </c>
      <c r="AD35" s="141"/>
      <c r="AE35" s="141" t="s">
        <v>27</v>
      </c>
      <c r="AF35" s="141" t="s">
        <v>23</v>
      </c>
      <c r="AG35" s="141" t="s">
        <v>24</v>
      </c>
      <c r="AH35" s="141" t="s">
        <v>23</v>
      </c>
      <c r="AI35" s="141" t="s">
        <v>25</v>
      </c>
      <c r="AJ35" s="141" t="s">
        <v>27</v>
      </c>
      <c r="AK35" s="141" t="s">
        <v>26</v>
      </c>
      <c r="AL35" s="141" t="s">
        <v>25</v>
      </c>
      <c r="AM35" s="141" t="s">
        <v>24</v>
      </c>
      <c r="AN35" s="141"/>
      <c r="AO35" s="141" t="s">
        <v>24</v>
      </c>
      <c r="AP35" s="141"/>
      <c r="AQ35" s="141" t="s">
        <v>23</v>
      </c>
      <c r="AR35" s="141" t="s">
        <v>26</v>
      </c>
      <c r="AS35" s="141" t="s">
        <v>24</v>
      </c>
      <c r="AT35" s="141" t="s">
        <v>26</v>
      </c>
      <c r="AU35" s="141" t="s">
        <v>25</v>
      </c>
      <c r="AV35" s="141" t="s">
        <v>24</v>
      </c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  <c r="BJ35" s="141"/>
      <c r="BK35" s="141"/>
      <c r="BL35" s="61">
        <f>SEKOR!BN28</f>
        <v>15</v>
      </c>
      <c r="BM35" s="61">
        <f>SEKOR!BO28</f>
        <v>25</v>
      </c>
      <c r="BN35" s="62">
        <f>SEKOR!BP28</f>
        <v>37.5</v>
      </c>
      <c r="BO35" s="62">
        <f>SEKOR!BQ28</f>
        <v>48.387096774193552</v>
      </c>
      <c r="BP35" s="63">
        <f>SEKOR!BT28</f>
        <v>64</v>
      </c>
      <c r="BQ35" s="88"/>
      <c r="BR35" s="88"/>
    </row>
    <row r="36" spans="1:70" ht="15" customHeight="1" x14ac:dyDescent="0.25">
      <c r="A36" s="83">
        <f>IF(B36="","",COUNTA($B$10:$B36))</f>
        <v>27</v>
      </c>
      <c r="B36" s="137" t="s">
        <v>435</v>
      </c>
      <c r="C36" s="138" t="s">
        <v>436</v>
      </c>
      <c r="D36" s="141" t="s">
        <v>23</v>
      </c>
      <c r="E36" s="141" t="s">
        <v>24</v>
      </c>
      <c r="F36" s="141" t="s">
        <v>25</v>
      </c>
      <c r="G36" s="141" t="s">
        <v>27</v>
      </c>
      <c r="H36" s="141" t="s">
        <v>27</v>
      </c>
      <c r="I36" s="141" t="s">
        <v>27</v>
      </c>
      <c r="J36" s="141" t="s">
        <v>23</v>
      </c>
      <c r="K36" s="141" t="s">
        <v>23</v>
      </c>
      <c r="L36" s="141"/>
      <c r="M36" s="141"/>
      <c r="N36" s="141"/>
      <c r="O36" s="141" t="s">
        <v>25</v>
      </c>
      <c r="P36" s="141" t="s">
        <v>24</v>
      </c>
      <c r="Q36" s="141" t="s">
        <v>26</v>
      </c>
      <c r="R36" s="141" t="s">
        <v>26</v>
      </c>
      <c r="S36" s="141" t="s">
        <v>23</v>
      </c>
      <c r="T36" s="141" t="s">
        <v>23</v>
      </c>
      <c r="U36" s="141" t="s">
        <v>24</v>
      </c>
      <c r="V36" s="141" t="s">
        <v>27</v>
      </c>
      <c r="W36" s="141" t="s">
        <v>23</v>
      </c>
      <c r="X36" s="141" t="s">
        <v>26</v>
      </c>
      <c r="Y36" s="141" t="s">
        <v>25</v>
      </c>
      <c r="Z36" s="141" t="s">
        <v>24</v>
      </c>
      <c r="AA36" s="141" t="s">
        <v>27</v>
      </c>
      <c r="AB36" s="141" t="s">
        <v>23</v>
      </c>
      <c r="AC36" s="141" t="s">
        <v>24</v>
      </c>
      <c r="AD36" s="141" t="s">
        <v>23</v>
      </c>
      <c r="AE36" s="141" t="s">
        <v>27</v>
      </c>
      <c r="AF36" s="141" t="s">
        <v>26</v>
      </c>
      <c r="AG36" s="141"/>
      <c r="AH36" s="141" t="s">
        <v>26</v>
      </c>
      <c r="AI36" s="141" t="s">
        <v>25</v>
      </c>
      <c r="AJ36" s="141" t="s">
        <v>23</v>
      </c>
      <c r="AK36" s="141" t="s">
        <v>27</v>
      </c>
      <c r="AL36" s="141" t="s">
        <v>25</v>
      </c>
      <c r="AM36" s="141"/>
      <c r="AN36" s="141" t="s">
        <v>26</v>
      </c>
      <c r="AO36" s="141" t="s">
        <v>23</v>
      </c>
      <c r="AP36" s="141" t="s">
        <v>27</v>
      </c>
      <c r="AQ36" s="141" t="s">
        <v>24</v>
      </c>
      <c r="AR36" s="141"/>
      <c r="AS36" s="141"/>
      <c r="AT36" s="141" t="s">
        <v>24</v>
      </c>
      <c r="AU36" s="141" t="s">
        <v>26</v>
      </c>
      <c r="AV36" s="141" t="s">
        <v>26</v>
      </c>
      <c r="AW36" s="141"/>
      <c r="AX36" s="141"/>
      <c r="AY36" s="141"/>
      <c r="AZ36" s="141"/>
      <c r="BA36" s="141"/>
      <c r="BB36" s="141"/>
      <c r="BC36" s="141"/>
      <c r="BD36" s="141"/>
      <c r="BE36" s="141"/>
      <c r="BF36" s="141"/>
      <c r="BG36" s="141"/>
      <c r="BH36" s="141"/>
      <c r="BI36" s="141"/>
      <c r="BJ36" s="141"/>
      <c r="BK36" s="141"/>
      <c r="BL36" s="61">
        <f>SEKOR!BN29</f>
        <v>7</v>
      </c>
      <c r="BM36" s="61">
        <f>SEKOR!BO29</f>
        <v>31</v>
      </c>
      <c r="BN36" s="62">
        <f>SEKOR!BP29</f>
        <v>17.5</v>
      </c>
      <c r="BO36" s="62">
        <f>SEKOR!BQ29</f>
        <v>22.58064516129032</v>
      </c>
      <c r="BP36" s="63">
        <f>SEKOR!BT29</f>
        <v>50</v>
      </c>
      <c r="BQ36" s="88"/>
      <c r="BR36" s="88"/>
    </row>
    <row r="37" spans="1:70" ht="15" customHeight="1" x14ac:dyDescent="0.25">
      <c r="A37" s="83">
        <f>IF(B37="","",COUNTA($B$10:$B37))</f>
        <v>28</v>
      </c>
      <c r="B37" s="137" t="s">
        <v>437</v>
      </c>
      <c r="C37" s="138" t="s">
        <v>438</v>
      </c>
      <c r="D37" s="141" t="s">
        <v>24</v>
      </c>
      <c r="E37" s="141" t="s">
        <v>26</v>
      </c>
      <c r="F37" s="141" t="s">
        <v>27</v>
      </c>
      <c r="G37" s="141" t="s">
        <v>24</v>
      </c>
      <c r="H37" s="141" t="s">
        <v>27</v>
      </c>
      <c r="I37" s="141" t="s">
        <v>25</v>
      </c>
      <c r="J37" s="141" t="s">
        <v>26</v>
      </c>
      <c r="K37" s="141" t="s">
        <v>26</v>
      </c>
      <c r="L37" s="141" t="s">
        <v>24</v>
      </c>
      <c r="M37" s="141" t="s">
        <v>26</v>
      </c>
      <c r="N37" s="141" t="s">
        <v>27</v>
      </c>
      <c r="O37" s="141"/>
      <c r="P37" s="141" t="s">
        <v>26</v>
      </c>
      <c r="Q37" s="141" t="s">
        <v>24</v>
      </c>
      <c r="R37" s="141" t="s">
        <v>24</v>
      </c>
      <c r="S37" s="141" t="s">
        <v>26</v>
      </c>
      <c r="T37" s="141" t="s">
        <v>27</v>
      </c>
      <c r="U37" s="141" t="s">
        <v>23</v>
      </c>
      <c r="V37" s="141" t="s">
        <v>25</v>
      </c>
      <c r="W37" s="141" t="s">
        <v>24</v>
      </c>
      <c r="X37" s="141" t="s">
        <v>25</v>
      </c>
      <c r="Y37" s="141" t="s">
        <v>26</v>
      </c>
      <c r="Z37" s="141" t="s">
        <v>25</v>
      </c>
      <c r="AA37" s="141" t="s">
        <v>23</v>
      </c>
      <c r="AB37" s="141" t="s">
        <v>27</v>
      </c>
      <c r="AC37" s="141" t="s">
        <v>27</v>
      </c>
      <c r="AD37" s="141" t="s">
        <v>25</v>
      </c>
      <c r="AE37" s="141" t="s">
        <v>23</v>
      </c>
      <c r="AF37" s="141" t="s">
        <v>25</v>
      </c>
      <c r="AG37" s="141" t="s">
        <v>24</v>
      </c>
      <c r="AH37" s="141" t="s">
        <v>23</v>
      </c>
      <c r="AI37" s="141" t="s">
        <v>25</v>
      </c>
      <c r="AJ37" s="141" t="s">
        <v>27</v>
      </c>
      <c r="AK37" s="141" t="s">
        <v>23</v>
      </c>
      <c r="AL37" s="141" t="s">
        <v>24</v>
      </c>
      <c r="AM37" s="141" t="s">
        <v>23</v>
      </c>
      <c r="AN37" s="141" t="s">
        <v>27</v>
      </c>
      <c r="AO37" s="141" t="s">
        <v>24</v>
      </c>
      <c r="AP37" s="141" t="s">
        <v>27</v>
      </c>
      <c r="AQ37" s="141"/>
      <c r="AR37" s="141"/>
      <c r="AS37" s="141"/>
      <c r="AT37" s="141"/>
      <c r="AU37" s="141" t="s">
        <v>26</v>
      </c>
      <c r="AV37" s="141" t="s">
        <v>24</v>
      </c>
      <c r="AW37" s="141"/>
      <c r="AX37" s="141"/>
      <c r="AY37" s="141"/>
      <c r="AZ37" s="141"/>
      <c r="BA37" s="141"/>
      <c r="BB37" s="141"/>
      <c r="BC37" s="141"/>
      <c r="BD37" s="141"/>
      <c r="BE37" s="141"/>
      <c r="BF37" s="141"/>
      <c r="BG37" s="141"/>
      <c r="BH37" s="141"/>
      <c r="BI37" s="141"/>
      <c r="BJ37" s="141"/>
      <c r="BK37" s="141"/>
      <c r="BL37" s="61">
        <f>SEKOR!BN30</f>
        <v>26</v>
      </c>
      <c r="BM37" s="61">
        <f>SEKOR!BO30</f>
        <v>14</v>
      </c>
      <c r="BN37" s="62">
        <f>SEKOR!BP30</f>
        <v>65</v>
      </c>
      <c r="BO37" s="62">
        <f>SEKOR!BQ30</f>
        <v>83.870967741935488</v>
      </c>
      <c r="BP37" s="63">
        <f>SEKOR!BT30</f>
        <v>82</v>
      </c>
      <c r="BQ37" s="88"/>
      <c r="BR37" s="88"/>
    </row>
    <row r="38" spans="1:70" ht="15" customHeight="1" x14ac:dyDescent="0.25">
      <c r="A38" s="83">
        <f>IF(B38="","",COUNTA($B$10:$B38))</f>
        <v>29</v>
      </c>
      <c r="B38" s="137" t="s">
        <v>439</v>
      </c>
      <c r="C38" s="138" t="s">
        <v>440</v>
      </c>
      <c r="D38" s="141" t="s">
        <v>26</v>
      </c>
      <c r="E38" s="141" t="s">
        <v>25</v>
      </c>
      <c r="F38" s="141" t="s">
        <v>25</v>
      </c>
      <c r="G38" s="141"/>
      <c r="H38" s="141" t="s">
        <v>27</v>
      </c>
      <c r="I38" s="141" t="s">
        <v>25</v>
      </c>
      <c r="J38" s="141" t="s">
        <v>26</v>
      </c>
      <c r="K38" s="141" t="s">
        <v>24</v>
      </c>
      <c r="L38" s="141" t="s">
        <v>26</v>
      </c>
      <c r="M38" s="141" t="s">
        <v>24</v>
      </c>
      <c r="N38" s="141" t="s">
        <v>25</v>
      </c>
      <c r="O38" s="141" t="s">
        <v>25</v>
      </c>
      <c r="P38" s="141" t="s">
        <v>23</v>
      </c>
      <c r="Q38" s="141" t="s">
        <v>24</v>
      </c>
      <c r="R38" s="141" t="s">
        <v>23</v>
      </c>
      <c r="S38" s="141"/>
      <c r="T38" s="141" t="s">
        <v>27</v>
      </c>
      <c r="U38" s="141" t="s">
        <v>24</v>
      </c>
      <c r="V38" s="141" t="s">
        <v>25</v>
      </c>
      <c r="W38" s="141" t="s">
        <v>23</v>
      </c>
      <c r="X38" s="141"/>
      <c r="Y38" s="141" t="s">
        <v>26</v>
      </c>
      <c r="Z38" s="141" t="s">
        <v>25</v>
      </c>
      <c r="AA38" s="141"/>
      <c r="AB38" s="141" t="s">
        <v>27</v>
      </c>
      <c r="AC38" s="141" t="s">
        <v>27</v>
      </c>
      <c r="AD38" s="141" t="s">
        <v>25</v>
      </c>
      <c r="AE38" s="141" t="s">
        <v>26</v>
      </c>
      <c r="AF38" s="141" t="s">
        <v>24</v>
      </c>
      <c r="AG38" s="141" t="s">
        <v>27</v>
      </c>
      <c r="AH38" s="141" t="s">
        <v>25</v>
      </c>
      <c r="AI38" s="141" t="s">
        <v>26</v>
      </c>
      <c r="AJ38" s="141" t="s">
        <v>27</v>
      </c>
      <c r="AK38" s="141"/>
      <c r="AL38" s="141" t="s">
        <v>25</v>
      </c>
      <c r="AM38" s="141" t="s">
        <v>23</v>
      </c>
      <c r="AN38" s="141" t="s">
        <v>23</v>
      </c>
      <c r="AO38" s="141" t="s">
        <v>23</v>
      </c>
      <c r="AP38" s="141" t="s">
        <v>25</v>
      </c>
      <c r="AQ38" s="141"/>
      <c r="AR38" s="141" t="s">
        <v>23</v>
      </c>
      <c r="AS38" s="141" t="s">
        <v>23</v>
      </c>
      <c r="AT38" s="141" t="s">
        <v>27</v>
      </c>
      <c r="AU38" s="141" t="s">
        <v>26</v>
      </c>
      <c r="AV38" s="141" t="s">
        <v>24</v>
      </c>
      <c r="AW38" s="141"/>
      <c r="AX38" s="141"/>
      <c r="AY38" s="141"/>
      <c r="AZ38" s="141"/>
      <c r="BA38" s="141"/>
      <c r="BB38" s="141"/>
      <c r="BC38" s="141"/>
      <c r="BD38" s="141"/>
      <c r="BE38" s="141"/>
      <c r="BF38" s="141"/>
      <c r="BG38" s="141"/>
      <c r="BH38" s="141"/>
      <c r="BI38" s="141"/>
      <c r="BJ38" s="141"/>
      <c r="BK38" s="141"/>
      <c r="BL38" s="61">
        <f>SEKOR!BN31</f>
        <v>16</v>
      </c>
      <c r="BM38" s="61">
        <f>SEKOR!BO31</f>
        <v>23</v>
      </c>
      <c r="BN38" s="62">
        <f>SEKOR!BP31</f>
        <v>40</v>
      </c>
      <c r="BO38" s="62">
        <f>SEKOR!BQ31</f>
        <v>51.612903225806448</v>
      </c>
      <c r="BP38" s="63">
        <f>SEKOR!BT31</f>
        <v>65</v>
      </c>
      <c r="BQ38" s="88"/>
      <c r="BR38" s="88"/>
    </row>
    <row r="39" spans="1:70" ht="15" customHeight="1" x14ac:dyDescent="0.25">
      <c r="A39" s="83">
        <f>IF(B39="","",COUNTA($B$10:$B39))</f>
        <v>30</v>
      </c>
      <c r="B39" s="137" t="s">
        <v>441</v>
      </c>
      <c r="C39" s="138" t="s">
        <v>442</v>
      </c>
      <c r="D39" s="141"/>
      <c r="E39" s="141" t="s">
        <v>26</v>
      </c>
      <c r="F39" s="141" t="s">
        <v>25</v>
      </c>
      <c r="G39" s="141" t="s">
        <v>24</v>
      </c>
      <c r="H39" s="141" t="s">
        <v>27</v>
      </c>
      <c r="I39" s="141" t="s">
        <v>25</v>
      </c>
      <c r="J39" s="141" t="s">
        <v>26</v>
      </c>
      <c r="K39" s="141" t="s">
        <v>24</v>
      </c>
      <c r="L39" s="141" t="s">
        <v>26</v>
      </c>
      <c r="M39" s="141" t="s">
        <v>26</v>
      </c>
      <c r="N39" s="141" t="s">
        <v>24</v>
      </c>
      <c r="O39" s="141" t="s">
        <v>25</v>
      </c>
      <c r="P39" s="141" t="s">
        <v>24</v>
      </c>
      <c r="Q39" s="141" t="s">
        <v>24</v>
      </c>
      <c r="R39" s="141" t="s">
        <v>24</v>
      </c>
      <c r="S39" s="141"/>
      <c r="T39" s="141" t="s">
        <v>27</v>
      </c>
      <c r="U39" s="141" t="s">
        <v>24</v>
      </c>
      <c r="V39" s="141" t="s">
        <v>25</v>
      </c>
      <c r="W39" s="141" t="s">
        <v>24</v>
      </c>
      <c r="X39" s="141" t="s">
        <v>25</v>
      </c>
      <c r="Y39" s="141" t="s">
        <v>26</v>
      </c>
      <c r="Z39" s="141" t="s">
        <v>25</v>
      </c>
      <c r="AA39" s="141" t="s">
        <v>23</v>
      </c>
      <c r="AB39" s="141" t="s">
        <v>27</v>
      </c>
      <c r="AC39" s="141" t="s">
        <v>27</v>
      </c>
      <c r="AD39" s="141"/>
      <c r="AE39" s="141" t="s">
        <v>26</v>
      </c>
      <c r="AF39" s="141" t="s">
        <v>23</v>
      </c>
      <c r="AG39" s="141"/>
      <c r="AH39" s="141" t="s">
        <v>25</v>
      </c>
      <c r="AI39" s="141" t="s">
        <v>23</v>
      </c>
      <c r="AJ39" s="141" t="s">
        <v>26</v>
      </c>
      <c r="AK39" s="141" t="s">
        <v>23</v>
      </c>
      <c r="AL39" s="141" t="s">
        <v>27</v>
      </c>
      <c r="AM39" s="141" t="s">
        <v>25</v>
      </c>
      <c r="AN39" s="141" t="s">
        <v>27</v>
      </c>
      <c r="AO39" s="141"/>
      <c r="AP39" s="141" t="s">
        <v>24</v>
      </c>
      <c r="AQ39" s="141" t="s">
        <v>26</v>
      </c>
      <c r="AR39" s="141" t="s">
        <v>23</v>
      </c>
      <c r="AS39" s="141" t="s">
        <v>27</v>
      </c>
      <c r="AT39" s="141" t="s">
        <v>27</v>
      </c>
      <c r="AU39" s="141" t="s">
        <v>26</v>
      </c>
      <c r="AV39" s="141" t="s">
        <v>24</v>
      </c>
      <c r="AW39" s="141"/>
      <c r="AX39" s="141"/>
      <c r="AY39" s="141"/>
      <c r="AZ39" s="141"/>
      <c r="BA39" s="141"/>
      <c r="BB39" s="141"/>
      <c r="BC39" s="141"/>
      <c r="BD39" s="141"/>
      <c r="BE39" s="141"/>
      <c r="BF39" s="141"/>
      <c r="BG39" s="141"/>
      <c r="BH39" s="141"/>
      <c r="BI39" s="141"/>
      <c r="BJ39" s="141"/>
      <c r="BK39" s="141"/>
      <c r="BL39" s="61">
        <f>SEKOR!BN32</f>
        <v>21</v>
      </c>
      <c r="BM39" s="61">
        <f>SEKOR!BO32</f>
        <v>19</v>
      </c>
      <c r="BN39" s="62">
        <f>SEKOR!BP32</f>
        <v>52.5</v>
      </c>
      <c r="BO39" s="62">
        <f>SEKOR!BQ32</f>
        <v>67.741935483870961</v>
      </c>
      <c r="BP39" s="63">
        <f>SEKOR!BT32</f>
        <v>74</v>
      </c>
      <c r="BQ39" s="88"/>
      <c r="BR39" s="88"/>
    </row>
    <row r="40" spans="1:70" ht="15" customHeight="1" x14ac:dyDescent="0.25">
      <c r="A40" s="83">
        <f>IF(B40="","",COUNTA($B$10:$B40))</f>
        <v>31</v>
      </c>
      <c r="B40" s="137" t="s">
        <v>443</v>
      </c>
      <c r="C40" s="138" t="s">
        <v>444</v>
      </c>
      <c r="D40" s="141" t="s">
        <v>26</v>
      </c>
      <c r="E40" s="141"/>
      <c r="F40" s="141" t="s">
        <v>27</v>
      </c>
      <c r="G40" s="141" t="s">
        <v>25</v>
      </c>
      <c r="H40" s="141" t="s">
        <v>27</v>
      </c>
      <c r="I40" s="141" t="s">
        <v>24</v>
      </c>
      <c r="J40" s="141" t="s">
        <v>27</v>
      </c>
      <c r="K40" s="141" t="s">
        <v>25</v>
      </c>
      <c r="L40" s="141" t="s">
        <v>25</v>
      </c>
      <c r="M40" s="141"/>
      <c r="N40" s="141" t="s">
        <v>24</v>
      </c>
      <c r="O40" s="141" t="s">
        <v>24</v>
      </c>
      <c r="P40" s="141" t="s">
        <v>26</v>
      </c>
      <c r="Q40" s="141" t="s">
        <v>24</v>
      </c>
      <c r="R40" s="141"/>
      <c r="S40" s="141" t="s">
        <v>23</v>
      </c>
      <c r="T40" s="141" t="s">
        <v>23</v>
      </c>
      <c r="U40" s="141" t="s">
        <v>24</v>
      </c>
      <c r="V40" s="141" t="s">
        <v>24</v>
      </c>
      <c r="W40" s="141" t="s">
        <v>24</v>
      </c>
      <c r="X40" s="141" t="s">
        <v>25</v>
      </c>
      <c r="Y40" s="141" t="s">
        <v>23</v>
      </c>
      <c r="Z40" s="141" t="s">
        <v>23</v>
      </c>
      <c r="AA40" s="141" t="s">
        <v>25</v>
      </c>
      <c r="AB40" s="141" t="s">
        <v>27</v>
      </c>
      <c r="AC40" s="141"/>
      <c r="AD40" s="141"/>
      <c r="AE40" s="141" t="s">
        <v>25</v>
      </c>
      <c r="AF40" s="141" t="s">
        <v>24</v>
      </c>
      <c r="AG40" s="141" t="s">
        <v>27</v>
      </c>
      <c r="AH40" s="141" t="s">
        <v>26</v>
      </c>
      <c r="AI40" s="141" t="s">
        <v>26</v>
      </c>
      <c r="AJ40" s="141" t="s">
        <v>27</v>
      </c>
      <c r="AK40" s="141" t="s">
        <v>27</v>
      </c>
      <c r="AL40" s="141" t="s">
        <v>27</v>
      </c>
      <c r="AM40" s="141" t="s">
        <v>23</v>
      </c>
      <c r="AN40" s="141" t="s">
        <v>27</v>
      </c>
      <c r="AO40" s="141" t="s">
        <v>23</v>
      </c>
      <c r="AP40" s="141" t="s">
        <v>24</v>
      </c>
      <c r="AQ40" s="141" t="s">
        <v>24</v>
      </c>
      <c r="AR40" s="141" t="s">
        <v>23</v>
      </c>
      <c r="AS40" s="141" t="s">
        <v>27</v>
      </c>
      <c r="AT40" s="141" t="s">
        <v>27</v>
      </c>
      <c r="AU40" s="141" t="s">
        <v>25</v>
      </c>
      <c r="AV40" s="141" t="s">
        <v>24</v>
      </c>
      <c r="AW40" s="141"/>
      <c r="AX40" s="141"/>
      <c r="AY40" s="141"/>
      <c r="AZ40" s="141"/>
      <c r="BA40" s="141"/>
      <c r="BB40" s="141"/>
      <c r="BC40" s="141"/>
      <c r="BD40" s="141"/>
      <c r="BE40" s="141"/>
      <c r="BF40" s="141"/>
      <c r="BG40" s="141"/>
      <c r="BH40" s="141"/>
      <c r="BI40" s="141"/>
      <c r="BJ40" s="141"/>
      <c r="BK40" s="141"/>
      <c r="BL40" s="61">
        <f>SEKOR!BN33</f>
        <v>15</v>
      </c>
      <c r="BM40" s="61">
        <f>SEKOR!BO33</f>
        <v>25</v>
      </c>
      <c r="BN40" s="62">
        <f>SEKOR!BP33</f>
        <v>37.5</v>
      </c>
      <c r="BO40" s="62">
        <f>SEKOR!BQ33</f>
        <v>48.387096774193552</v>
      </c>
      <c r="BP40" s="63">
        <f>SEKOR!BT33</f>
        <v>64</v>
      </c>
      <c r="BQ40" s="88"/>
      <c r="BR40" s="88"/>
    </row>
    <row r="41" spans="1:70" ht="15" customHeight="1" x14ac:dyDescent="0.25">
      <c r="A41" s="83">
        <f>IF(B41="","",COUNTA($B$10:$B41))</f>
        <v>32</v>
      </c>
      <c r="B41" s="137" t="s">
        <v>445</v>
      </c>
      <c r="C41" s="138" t="s">
        <v>446</v>
      </c>
      <c r="D41" s="141" t="s">
        <v>24</v>
      </c>
      <c r="E41" s="141" t="s">
        <v>26</v>
      </c>
      <c r="F41" s="141" t="s">
        <v>27</v>
      </c>
      <c r="G41" s="141" t="s">
        <v>25</v>
      </c>
      <c r="H41" s="141" t="s">
        <v>27</v>
      </c>
      <c r="I41" s="141"/>
      <c r="J41" s="141" t="s">
        <v>26</v>
      </c>
      <c r="K41" s="141" t="s">
        <v>25</v>
      </c>
      <c r="L41" s="141" t="s">
        <v>26</v>
      </c>
      <c r="M41" s="141" t="s">
        <v>23</v>
      </c>
      <c r="N41" s="141" t="s">
        <v>23</v>
      </c>
      <c r="O41" s="141" t="s">
        <v>25</v>
      </c>
      <c r="P41" s="141" t="s">
        <v>26</v>
      </c>
      <c r="Q41" s="141" t="s">
        <v>24</v>
      </c>
      <c r="R41" s="141" t="s">
        <v>24</v>
      </c>
      <c r="S41" s="141" t="s">
        <v>26</v>
      </c>
      <c r="T41" s="141" t="s">
        <v>27</v>
      </c>
      <c r="U41" s="141" t="s">
        <v>23</v>
      </c>
      <c r="V41" s="141" t="s">
        <v>25</v>
      </c>
      <c r="W41" s="141" t="s">
        <v>27</v>
      </c>
      <c r="X41" s="141" t="s">
        <v>24</v>
      </c>
      <c r="Y41" s="141" t="s">
        <v>25</v>
      </c>
      <c r="Z41" s="141"/>
      <c r="AA41" s="141" t="s">
        <v>25</v>
      </c>
      <c r="AB41" s="141" t="s">
        <v>23</v>
      </c>
      <c r="AC41" s="141" t="s">
        <v>26</v>
      </c>
      <c r="AD41" s="141" t="s">
        <v>23</v>
      </c>
      <c r="AE41" s="141" t="s">
        <v>26</v>
      </c>
      <c r="AF41" s="141" t="s">
        <v>23</v>
      </c>
      <c r="AG41" s="141" t="s">
        <v>24</v>
      </c>
      <c r="AH41" s="141"/>
      <c r="AI41" s="141" t="s">
        <v>25</v>
      </c>
      <c r="AJ41" s="141" t="s">
        <v>27</v>
      </c>
      <c r="AK41" s="141" t="s">
        <v>24</v>
      </c>
      <c r="AL41" s="141" t="s">
        <v>23</v>
      </c>
      <c r="AM41" s="141"/>
      <c r="AN41" s="141" t="s">
        <v>23</v>
      </c>
      <c r="AO41" s="141" t="s">
        <v>24</v>
      </c>
      <c r="AP41" s="141" t="s">
        <v>25</v>
      </c>
      <c r="AQ41" s="141"/>
      <c r="AR41" s="141" t="s">
        <v>23</v>
      </c>
      <c r="AS41" s="141" t="s">
        <v>27</v>
      </c>
      <c r="AT41" s="141" t="s">
        <v>25</v>
      </c>
      <c r="AU41" s="141" t="s">
        <v>27</v>
      </c>
      <c r="AV41" s="141" t="s">
        <v>26</v>
      </c>
      <c r="AW41" s="141"/>
      <c r="AX41" s="141"/>
      <c r="AY41" s="141"/>
      <c r="AZ41" s="141"/>
      <c r="BA41" s="141"/>
      <c r="BB41" s="141"/>
      <c r="BC41" s="141"/>
      <c r="BD41" s="141"/>
      <c r="BE41" s="141"/>
      <c r="BF41" s="141"/>
      <c r="BG41" s="141"/>
      <c r="BH41" s="141"/>
      <c r="BI41" s="141"/>
      <c r="BJ41" s="141"/>
      <c r="BK41" s="141"/>
      <c r="BL41" s="61">
        <f>SEKOR!BN34</f>
        <v>15</v>
      </c>
      <c r="BM41" s="61">
        <f>SEKOR!BO34</f>
        <v>25</v>
      </c>
      <c r="BN41" s="62">
        <f>SEKOR!BP34</f>
        <v>37.5</v>
      </c>
      <c r="BO41" s="62">
        <f>SEKOR!BQ34</f>
        <v>48.387096774193552</v>
      </c>
      <c r="BP41" s="63">
        <f>SEKOR!BT34</f>
        <v>64</v>
      </c>
      <c r="BQ41" s="88"/>
      <c r="BR41" s="88"/>
    </row>
    <row r="42" spans="1:70" ht="15" customHeight="1" x14ac:dyDescent="0.25">
      <c r="A42" s="83">
        <f>IF(B42="","",COUNTA($B$10:$B42))</f>
        <v>33</v>
      </c>
      <c r="B42" s="137" t="s">
        <v>447</v>
      </c>
      <c r="C42" s="138" t="s">
        <v>448</v>
      </c>
      <c r="D42" s="141" t="s">
        <v>27</v>
      </c>
      <c r="E42" s="141" t="s">
        <v>24</v>
      </c>
      <c r="F42" s="141" t="s">
        <v>27</v>
      </c>
      <c r="G42" s="141" t="s">
        <v>26</v>
      </c>
      <c r="H42" s="141" t="s">
        <v>27</v>
      </c>
      <c r="I42" s="141" t="s">
        <v>27</v>
      </c>
      <c r="J42" s="141" t="s">
        <v>24</v>
      </c>
      <c r="K42" s="141"/>
      <c r="L42" s="141" t="s">
        <v>27</v>
      </c>
      <c r="M42" s="141" t="s">
        <v>27</v>
      </c>
      <c r="N42" s="141" t="s">
        <v>27</v>
      </c>
      <c r="O42" s="141" t="s">
        <v>27</v>
      </c>
      <c r="P42" s="141" t="s">
        <v>26</v>
      </c>
      <c r="Q42" s="141" t="s">
        <v>26</v>
      </c>
      <c r="R42" s="141" t="s">
        <v>24</v>
      </c>
      <c r="S42" s="141" t="s">
        <v>23</v>
      </c>
      <c r="T42" s="141" t="s">
        <v>27</v>
      </c>
      <c r="U42" s="141" t="s">
        <v>24</v>
      </c>
      <c r="V42" s="141" t="s">
        <v>26</v>
      </c>
      <c r="W42" s="141" t="s">
        <v>25</v>
      </c>
      <c r="X42" s="141" t="s">
        <v>27</v>
      </c>
      <c r="Y42" s="141" t="s">
        <v>27</v>
      </c>
      <c r="Z42" s="141" t="s">
        <v>23</v>
      </c>
      <c r="AA42" s="141" t="s">
        <v>23</v>
      </c>
      <c r="AB42" s="141" t="s">
        <v>26</v>
      </c>
      <c r="AC42" s="141"/>
      <c r="AD42" s="141" t="s">
        <v>24</v>
      </c>
      <c r="AE42" s="141" t="s">
        <v>23</v>
      </c>
      <c r="AF42" s="141" t="s">
        <v>24</v>
      </c>
      <c r="AG42" s="141" t="s">
        <v>26</v>
      </c>
      <c r="AH42" s="141" t="s">
        <v>25</v>
      </c>
      <c r="AI42" s="141" t="s">
        <v>25</v>
      </c>
      <c r="AJ42" s="141" t="s">
        <v>27</v>
      </c>
      <c r="AK42" s="141"/>
      <c r="AL42" s="141" t="s">
        <v>24</v>
      </c>
      <c r="AM42" s="141" t="s">
        <v>24</v>
      </c>
      <c r="AN42" s="141" t="s">
        <v>27</v>
      </c>
      <c r="AO42" s="141"/>
      <c r="AP42" s="141" t="s">
        <v>25</v>
      </c>
      <c r="AQ42" s="141" t="s">
        <v>26</v>
      </c>
      <c r="AR42" s="141"/>
      <c r="AS42" s="141" t="s">
        <v>24</v>
      </c>
      <c r="AT42" s="141" t="s">
        <v>23</v>
      </c>
      <c r="AU42" s="141" t="s">
        <v>26</v>
      </c>
      <c r="AV42" s="141" t="s">
        <v>23</v>
      </c>
      <c r="AW42" s="141"/>
      <c r="AX42" s="141"/>
      <c r="AY42" s="141"/>
      <c r="AZ42" s="141"/>
      <c r="BA42" s="141"/>
      <c r="BB42" s="141"/>
      <c r="BC42" s="141"/>
      <c r="BD42" s="141"/>
      <c r="BE42" s="141"/>
      <c r="BF42" s="141"/>
      <c r="BG42" s="141"/>
      <c r="BH42" s="141"/>
      <c r="BI42" s="141"/>
      <c r="BJ42" s="141"/>
      <c r="BK42" s="141"/>
      <c r="BL42" s="61">
        <f>SEKOR!BN35</f>
        <v>11</v>
      </c>
      <c r="BM42" s="61">
        <f>SEKOR!BO35</f>
        <v>29</v>
      </c>
      <c r="BN42" s="62">
        <f>SEKOR!BP35</f>
        <v>27.500000000000004</v>
      </c>
      <c r="BO42" s="62">
        <f>SEKOR!BQ35</f>
        <v>35.483870967741936</v>
      </c>
      <c r="BP42" s="63">
        <f>SEKOR!BT35</f>
        <v>57</v>
      </c>
      <c r="BQ42" s="88"/>
      <c r="BR42" s="88"/>
    </row>
    <row r="43" spans="1:70" ht="15" customHeight="1" x14ac:dyDescent="0.25">
      <c r="A43" s="83">
        <f>IF(B43="","",COUNTA($B$10:$B43))</f>
        <v>34</v>
      </c>
      <c r="B43" s="137" t="s">
        <v>449</v>
      </c>
      <c r="C43" s="138" t="s">
        <v>450</v>
      </c>
      <c r="D43" s="141"/>
      <c r="E43" s="141" t="s">
        <v>26</v>
      </c>
      <c r="F43" s="141" t="s">
        <v>27</v>
      </c>
      <c r="G43" s="141" t="s">
        <v>27</v>
      </c>
      <c r="H43" s="141" t="s">
        <v>27</v>
      </c>
      <c r="I43" s="141" t="s">
        <v>26</v>
      </c>
      <c r="J43" s="141" t="s">
        <v>26</v>
      </c>
      <c r="K43" s="141" t="s">
        <v>25</v>
      </c>
      <c r="L43" s="141" t="s">
        <v>24</v>
      </c>
      <c r="M43" s="141" t="s">
        <v>24</v>
      </c>
      <c r="N43" s="141" t="s">
        <v>24</v>
      </c>
      <c r="O43" s="141" t="s">
        <v>25</v>
      </c>
      <c r="P43" s="141" t="s">
        <v>26</v>
      </c>
      <c r="Q43" s="141" t="s">
        <v>24</v>
      </c>
      <c r="R43" s="141" t="s">
        <v>24</v>
      </c>
      <c r="S43" s="141" t="s">
        <v>26</v>
      </c>
      <c r="T43" s="141"/>
      <c r="U43" s="141" t="s">
        <v>23</v>
      </c>
      <c r="V43" s="141" t="s">
        <v>24</v>
      </c>
      <c r="W43" s="141" t="s">
        <v>24</v>
      </c>
      <c r="X43" s="141" t="s">
        <v>25</v>
      </c>
      <c r="Y43" s="141" t="s">
        <v>26</v>
      </c>
      <c r="Z43" s="141" t="s">
        <v>25</v>
      </c>
      <c r="AA43" s="141" t="s">
        <v>25</v>
      </c>
      <c r="AB43" s="141" t="s">
        <v>23</v>
      </c>
      <c r="AC43" s="141" t="s">
        <v>27</v>
      </c>
      <c r="AD43" s="141" t="s">
        <v>23</v>
      </c>
      <c r="AE43" s="141" t="s">
        <v>27</v>
      </c>
      <c r="AF43" s="141" t="s">
        <v>27</v>
      </c>
      <c r="AG43" s="141" t="s">
        <v>23</v>
      </c>
      <c r="AH43" s="141" t="s">
        <v>27</v>
      </c>
      <c r="AI43" s="141" t="s">
        <v>25</v>
      </c>
      <c r="AJ43" s="141" t="s">
        <v>25</v>
      </c>
      <c r="AK43" s="141" t="s">
        <v>26</v>
      </c>
      <c r="AL43" s="141" t="s">
        <v>27</v>
      </c>
      <c r="AM43" s="141" t="s">
        <v>25</v>
      </c>
      <c r="AN43" s="141"/>
      <c r="AO43" s="141"/>
      <c r="AP43" s="141" t="s">
        <v>27</v>
      </c>
      <c r="AQ43" s="141" t="s">
        <v>24</v>
      </c>
      <c r="AR43" s="141" t="s">
        <v>23</v>
      </c>
      <c r="AS43" s="141" t="s">
        <v>25</v>
      </c>
      <c r="AT43" s="141"/>
      <c r="AU43" s="141" t="s">
        <v>25</v>
      </c>
      <c r="AV43" s="141" t="s">
        <v>24</v>
      </c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61">
        <f>SEKOR!BN36</f>
        <v>20</v>
      </c>
      <c r="BM43" s="61">
        <f>SEKOR!BO36</f>
        <v>20</v>
      </c>
      <c r="BN43" s="62">
        <f>SEKOR!BP36</f>
        <v>50</v>
      </c>
      <c r="BO43" s="62">
        <f>SEKOR!BQ36</f>
        <v>64.516129032258064</v>
      </c>
      <c r="BP43" s="63">
        <f>SEKOR!BT36</f>
        <v>72</v>
      </c>
      <c r="BQ43" s="88"/>
      <c r="BR43" s="88"/>
    </row>
    <row r="44" spans="1:70" ht="15" customHeight="1" x14ac:dyDescent="0.25">
      <c r="A44" s="83">
        <f>IF(B44="","",COUNTA($B$10:$B44))</f>
        <v>35</v>
      </c>
      <c r="B44" s="137" t="s">
        <v>451</v>
      </c>
      <c r="C44" s="138" t="s">
        <v>452</v>
      </c>
      <c r="D44" s="141" t="s">
        <v>23</v>
      </c>
      <c r="E44" s="141" t="s">
        <v>26</v>
      </c>
      <c r="F44" s="141" t="s">
        <v>27</v>
      </c>
      <c r="G44" s="141" t="s">
        <v>24</v>
      </c>
      <c r="H44" s="141" t="s">
        <v>25</v>
      </c>
      <c r="I44" s="141" t="s">
        <v>25</v>
      </c>
      <c r="J44" s="141" t="s">
        <v>25</v>
      </c>
      <c r="K44" s="141" t="s">
        <v>24</v>
      </c>
      <c r="L44" s="141" t="s">
        <v>26</v>
      </c>
      <c r="M44" s="141" t="s">
        <v>26</v>
      </c>
      <c r="N44" s="141" t="s">
        <v>27</v>
      </c>
      <c r="O44" s="141" t="s">
        <v>25</v>
      </c>
      <c r="P44" s="141" t="s">
        <v>26</v>
      </c>
      <c r="Q44" s="141" t="s">
        <v>24</v>
      </c>
      <c r="R44" s="141" t="s">
        <v>24</v>
      </c>
      <c r="S44" s="141"/>
      <c r="T44" s="141" t="s">
        <v>27</v>
      </c>
      <c r="U44" s="141" t="s">
        <v>23</v>
      </c>
      <c r="V44" s="141" t="s">
        <v>24</v>
      </c>
      <c r="W44" s="141" t="s">
        <v>24</v>
      </c>
      <c r="X44" s="141" t="s">
        <v>26</v>
      </c>
      <c r="Y44" s="141" t="s">
        <v>23</v>
      </c>
      <c r="Z44" s="141" t="s">
        <v>25</v>
      </c>
      <c r="AA44" s="141" t="s">
        <v>25</v>
      </c>
      <c r="AB44" s="141"/>
      <c r="AC44" s="141" t="s">
        <v>27</v>
      </c>
      <c r="AD44" s="141"/>
      <c r="AE44" s="141"/>
      <c r="AF44" s="141" t="s">
        <v>25</v>
      </c>
      <c r="AG44" s="141" t="s">
        <v>24</v>
      </c>
      <c r="AH44" s="141" t="s">
        <v>23</v>
      </c>
      <c r="AI44" s="141" t="s">
        <v>25</v>
      </c>
      <c r="AJ44" s="141" t="s">
        <v>26</v>
      </c>
      <c r="AK44" s="141" t="s">
        <v>23</v>
      </c>
      <c r="AL44" s="141"/>
      <c r="AM44" s="141" t="s">
        <v>23</v>
      </c>
      <c r="AN44" s="141" t="s">
        <v>27</v>
      </c>
      <c r="AO44" s="141" t="s">
        <v>24</v>
      </c>
      <c r="AP44" s="141" t="s">
        <v>27</v>
      </c>
      <c r="AQ44" s="141" t="s">
        <v>26</v>
      </c>
      <c r="AR44" s="141" t="s">
        <v>23</v>
      </c>
      <c r="AS44" s="141" t="s">
        <v>25</v>
      </c>
      <c r="AT44" s="141" t="s">
        <v>26</v>
      </c>
      <c r="AU44" s="141" t="s">
        <v>26</v>
      </c>
      <c r="AV44" s="141" t="s">
        <v>24</v>
      </c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61">
        <f>SEKOR!BN37</f>
        <v>29</v>
      </c>
      <c r="BM44" s="61">
        <f>SEKOR!BO37</f>
        <v>11</v>
      </c>
      <c r="BN44" s="62">
        <f>SEKOR!BP37</f>
        <v>72.5</v>
      </c>
      <c r="BO44" s="62">
        <f>SEKOR!BQ37</f>
        <v>93.548387096774192</v>
      </c>
      <c r="BP44" s="63">
        <f>SEKOR!BT37</f>
        <v>87</v>
      </c>
      <c r="BQ44" s="88"/>
      <c r="BR44" s="88"/>
    </row>
    <row r="45" spans="1:70" ht="15" customHeight="1" x14ac:dyDescent="0.25">
      <c r="A45" s="83">
        <f>IF(B45="","",COUNTA($B$10:$B45))</f>
        <v>36</v>
      </c>
      <c r="B45" s="137" t="s">
        <v>453</v>
      </c>
      <c r="C45" s="138" t="s">
        <v>454</v>
      </c>
      <c r="D45" s="141"/>
      <c r="E45" s="141" t="s">
        <v>26</v>
      </c>
      <c r="F45" s="141" t="s">
        <v>27</v>
      </c>
      <c r="G45" s="141" t="s">
        <v>26</v>
      </c>
      <c r="H45" s="141" t="s">
        <v>27</v>
      </c>
      <c r="I45" s="141" t="s">
        <v>25</v>
      </c>
      <c r="J45" s="141" t="s">
        <v>25</v>
      </c>
      <c r="K45" s="141" t="s">
        <v>24</v>
      </c>
      <c r="L45" s="141" t="s">
        <v>26</v>
      </c>
      <c r="M45" s="141" t="s">
        <v>26</v>
      </c>
      <c r="N45" s="141"/>
      <c r="O45" s="141" t="s">
        <v>25</v>
      </c>
      <c r="P45" s="141" t="s">
        <v>24</v>
      </c>
      <c r="Q45" s="141" t="s">
        <v>24</v>
      </c>
      <c r="R45" s="141"/>
      <c r="S45" s="141" t="s">
        <v>26</v>
      </c>
      <c r="T45" s="141" t="s">
        <v>27</v>
      </c>
      <c r="U45" s="141" t="s">
        <v>23</v>
      </c>
      <c r="V45" s="141" t="s">
        <v>25</v>
      </c>
      <c r="W45" s="141" t="s">
        <v>24</v>
      </c>
      <c r="X45" s="141" t="s">
        <v>25</v>
      </c>
      <c r="Y45" s="141" t="s">
        <v>26</v>
      </c>
      <c r="Z45" s="141"/>
      <c r="AA45" s="141" t="s">
        <v>25</v>
      </c>
      <c r="AB45" s="141" t="s">
        <v>27</v>
      </c>
      <c r="AC45" s="141" t="s">
        <v>27</v>
      </c>
      <c r="AD45" s="141" t="s">
        <v>25</v>
      </c>
      <c r="AE45" s="141" t="s">
        <v>26</v>
      </c>
      <c r="AF45" s="141" t="s">
        <v>24</v>
      </c>
      <c r="AG45" s="141" t="s">
        <v>27</v>
      </c>
      <c r="AH45" s="141" t="s">
        <v>25</v>
      </c>
      <c r="AI45" s="141" t="s">
        <v>25</v>
      </c>
      <c r="AJ45" s="141" t="s">
        <v>26</v>
      </c>
      <c r="AK45" s="141"/>
      <c r="AL45" s="141" t="s">
        <v>27</v>
      </c>
      <c r="AM45" s="141" t="s">
        <v>26</v>
      </c>
      <c r="AN45" s="141" t="s">
        <v>27</v>
      </c>
      <c r="AO45" s="141" t="s">
        <v>24</v>
      </c>
      <c r="AP45" s="141" t="s">
        <v>27</v>
      </c>
      <c r="AQ45" s="141" t="s">
        <v>26</v>
      </c>
      <c r="AR45" s="141" t="s">
        <v>23</v>
      </c>
      <c r="AS45" s="141" t="s">
        <v>27</v>
      </c>
      <c r="AT45" s="141" t="s">
        <v>27</v>
      </c>
      <c r="AU45" s="141" t="s">
        <v>26</v>
      </c>
      <c r="AV45" s="141" t="s">
        <v>24</v>
      </c>
      <c r="AW45" s="141"/>
      <c r="AX45" s="141"/>
      <c r="AY45" s="141"/>
      <c r="AZ45" s="141"/>
      <c r="BA45" s="141"/>
      <c r="BB45" s="141"/>
      <c r="BC45" s="141"/>
      <c r="BD45" s="141"/>
      <c r="BE45" s="141"/>
      <c r="BF45" s="141"/>
      <c r="BG45" s="141"/>
      <c r="BH45" s="141"/>
      <c r="BI45" s="141"/>
      <c r="BJ45" s="141"/>
      <c r="BK45" s="141"/>
      <c r="BL45" s="61">
        <f>SEKOR!BN38</f>
        <v>26</v>
      </c>
      <c r="BM45" s="61">
        <f>SEKOR!BO38</f>
        <v>14</v>
      </c>
      <c r="BN45" s="62">
        <f>SEKOR!BP38</f>
        <v>65</v>
      </c>
      <c r="BO45" s="62">
        <f>SEKOR!BQ38</f>
        <v>83.870967741935488</v>
      </c>
      <c r="BP45" s="63">
        <f>SEKOR!BT38</f>
        <v>82</v>
      </c>
      <c r="BQ45" s="88"/>
      <c r="BR45" s="88"/>
    </row>
    <row r="46" spans="1:70" ht="15" customHeight="1" x14ac:dyDescent="0.25">
      <c r="A46" s="83">
        <f>IF(B46="","",COUNTA($B$10:$B46))</f>
        <v>37</v>
      </c>
      <c r="B46" s="137" t="s">
        <v>455</v>
      </c>
      <c r="C46" s="138" t="s">
        <v>456</v>
      </c>
      <c r="D46" s="141" t="s">
        <v>23</v>
      </c>
      <c r="E46" s="141" t="s">
        <v>26</v>
      </c>
      <c r="F46" s="141" t="s">
        <v>26</v>
      </c>
      <c r="G46" s="141" t="s">
        <v>24</v>
      </c>
      <c r="H46" s="141" t="s">
        <v>27</v>
      </c>
      <c r="I46" s="141" t="s">
        <v>26</v>
      </c>
      <c r="J46" s="141"/>
      <c r="K46" s="141" t="s">
        <v>25</v>
      </c>
      <c r="L46" s="141" t="s">
        <v>26</v>
      </c>
      <c r="M46" s="141" t="s">
        <v>23</v>
      </c>
      <c r="N46" s="141" t="s">
        <v>23</v>
      </c>
      <c r="O46" s="141" t="s">
        <v>23</v>
      </c>
      <c r="P46" s="141" t="s">
        <v>24</v>
      </c>
      <c r="Q46" s="141" t="s">
        <v>24</v>
      </c>
      <c r="R46" s="141" t="s">
        <v>24</v>
      </c>
      <c r="S46" s="141"/>
      <c r="T46" s="141" t="s">
        <v>27</v>
      </c>
      <c r="U46" s="141" t="s">
        <v>23</v>
      </c>
      <c r="V46" s="141"/>
      <c r="W46" s="141" t="s">
        <v>24</v>
      </c>
      <c r="X46" s="141" t="s">
        <v>24</v>
      </c>
      <c r="Y46" s="141" t="s">
        <v>24</v>
      </c>
      <c r="Z46" s="141" t="s">
        <v>26</v>
      </c>
      <c r="AA46" s="141" t="s">
        <v>24</v>
      </c>
      <c r="AB46" s="141" t="s">
        <v>26</v>
      </c>
      <c r="AC46" s="141" t="s">
        <v>27</v>
      </c>
      <c r="AD46" s="141"/>
      <c r="AE46" s="141" t="s">
        <v>27</v>
      </c>
      <c r="AF46" s="141" t="s">
        <v>25</v>
      </c>
      <c r="AG46" s="141"/>
      <c r="AH46" s="141" t="s">
        <v>25</v>
      </c>
      <c r="AI46" s="141" t="s">
        <v>25</v>
      </c>
      <c r="AJ46" s="141" t="s">
        <v>27</v>
      </c>
      <c r="AK46" s="141" t="s">
        <v>27</v>
      </c>
      <c r="AL46" s="141" t="s">
        <v>25</v>
      </c>
      <c r="AM46" s="141" t="s">
        <v>23</v>
      </c>
      <c r="AN46" s="141" t="s">
        <v>27</v>
      </c>
      <c r="AO46" s="141" t="s">
        <v>25</v>
      </c>
      <c r="AP46" s="141" t="s">
        <v>27</v>
      </c>
      <c r="AQ46" s="141" t="s">
        <v>24</v>
      </c>
      <c r="AR46" s="141" t="s">
        <v>23</v>
      </c>
      <c r="AS46" s="141" t="s">
        <v>26</v>
      </c>
      <c r="AT46" s="141" t="s">
        <v>24</v>
      </c>
      <c r="AU46" s="141" t="s">
        <v>26</v>
      </c>
      <c r="AV46" s="141" t="s">
        <v>25</v>
      </c>
      <c r="AW46" s="141"/>
      <c r="AX46" s="141"/>
      <c r="AY46" s="141"/>
      <c r="AZ46" s="141"/>
      <c r="BA46" s="141"/>
      <c r="BB46" s="141"/>
      <c r="BC46" s="141"/>
      <c r="BD46" s="141"/>
      <c r="BE46" s="141"/>
      <c r="BF46" s="141"/>
      <c r="BG46" s="141"/>
      <c r="BH46" s="141"/>
      <c r="BI46" s="141"/>
      <c r="BJ46" s="141"/>
      <c r="BK46" s="141"/>
      <c r="BL46" s="61">
        <f>SEKOR!BN39</f>
        <v>16</v>
      </c>
      <c r="BM46" s="61">
        <f>SEKOR!BO39</f>
        <v>24</v>
      </c>
      <c r="BN46" s="62">
        <f>SEKOR!BP39</f>
        <v>40</v>
      </c>
      <c r="BO46" s="62">
        <f>SEKOR!BQ39</f>
        <v>51.612903225806448</v>
      </c>
      <c r="BP46" s="63">
        <f>SEKOR!BT39</f>
        <v>65</v>
      </c>
      <c r="BQ46" s="88"/>
      <c r="BR46" s="88"/>
    </row>
    <row r="47" spans="1:70" ht="15" customHeight="1" x14ac:dyDescent="0.25">
      <c r="A47" s="83">
        <f>IF(B47="","",COUNTA($B$10:$B47))</f>
        <v>38</v>
      </c>
      <c r="B47" s="137" t="s">
        <v>457</v>
      </c>
      <c r="C47" s="138" t="s">
        <v>458</v>
      </c>
      <c r="D47" s="141" t="s">
        <v>24</v>
      </c>
      <c r="E47" s="141" t="s">
        <v>23</v>
      </c>
      <c r="F47" s="141" t="s">
        <v>27</v>
      </c>
      <c r="G47" s="141" t="s">
        <v>24</v>
      </c>
      <c r="H47" s="141" t="s">
        <v>24</v>
      </c>
      <c r="I47" s="141" t="s">
        <v>25</v>
      </c>
      <c r="J47" s="141" t="s">
        <v>26</v>
      </c>
      <c r="K47" s="141" t="s">
        <v>26</v>
      </c>
      <c r="L47" s="141"/>
      <c r="M47" s="141" t="s">
        <v>23</v>
      </c>
      <c r="N47" s="141" t="s">
        <v>25</v>
      </c>
      <c r="O47" s="141" t="s">
        <v>25</v>
      </c>
      <c r="P47" s="141" t="s">
        <v>26</v>
      </c>
      <c r="Q47" s="141" t="s">
        <v>24</v>
      </c>
      <c r="R47" s="141" t="s">
        <v>24</v>
      </c>
      <c r="S47" s="141" t="s">
        <v>26</v>
      </c>
      <c r="T47" s="141" t="s">
        <v>27</v>
      </c>
      <c r="U47" s="141"/>
      <c r="V47" s="141" t="s">
        <v>24</v>
      </c>
      <c r="W47" s="141" t="s">
        <v>24</v>
      </c>
      <c r="X47" s="141" t="s">
        <v>25</v>
      </c>
      <c r="Y47" s="141" t="s">
        <v>26</v>
      </c>
      <c r="Z47" s="141" t="s">
        <v>27</v>
      </c>
      <c r="AA47" s="141" t="s">
        <v>25</v>
      </c>
      <c r="AB47" s="141" t="s">
        <v>23</v>
      </c>
      <c r="AC47" s="141"/>
      <c r="AD47" s="141" t="s">
        <v>25</v>
      </c>
      <c r="AE47" s="141" t="s">
        <v>23</v>
      </c>
      <c r="AF47" s="141" t="s">
        <v>25</v>
      </c>
      <c r="AG47" s="141" t="s">
        <v>27</v>
      </c>
      <c r="AH47" s="141" t="s">
        <v>25</v>
      </c>
      <c r="AI47" s="141" t="s">
        <v>25</v>
      </c>
      <c r="AJ47" s="141" t="s">
        <v>27</v>
      </c>
      <c r="AK47" s="141" t="s">
        <v>23</v>
      </c>
      <c r="AL47" s="141" t="s">
        <v>27</v>
      </c>
      <c r="AM47" s="141" t="s">
        <v>24</v>
      </c>
      <c r="AN47" s="141" t="s">
        <v>27</v>
      </c>
      <c r="AO47" s="141"/>
      <c r="AP47" s="141" t="s">
        <v>25</v>
      </c>
      <c r="AQ47" s="141" t="s">
        <v>26</v>
      </c>
      <c r="AR47" s="141" t="s">
        <v>23</v>
      </c>
      <c r="AS47" s="141"/>
      <c r="AT47" s="141" t="s">
        <v>26</v>
      </c>
      <c r="AU47" s="141" t="s">
        <v>26</v>
      </c>
      <c r="AV47" s="141" t="s">
        <v>24</v>
      </c>
      <c r="AW47" s="141"/>
      <c r="AX47" s="141"/>
      <c r="AY47" s="141"/>
      <c r="AZ47" s="141"/>
      <c r="BA47" s="141"/>
      <c r="BB47" s="141"/>
      <c r="BC47" s="141"/>
      <c r="BD47" s="141"/>
      <c r="BE47" s="141"/>
      <c r="BF47" s="141"/>
      <c r="BG47" s="141"/>
      <c r="BH47" s="141"/>
      <c r="BI47" s="141"/>
      <c r="BJ47" s="141"/>
      <c r="BK47" s="141"/>
      <c r="BL47" s="61">
        <f>SEKOR!BN40</f>
        <v>29</v>
      </c>
      <c r="BM47" s="61">
        <f>SEKOR!BO40</f>
        <v>11</v>
      </c>
      <c r="BN47" s="62">
        <f>SEKOR!BP40</f>
        <v>72.5</v>
      </c>
      <c r="BO47" s="62">
        <f>SEKOR!BQ40</f>
        <v>93.548387096774192</v>
      </c>
      <c r="BP47" s="63">
        <f>SEKOR!BT40</f>
        <v>87</v>
      </c>
      <c r="BQ47" s="88"/>
      <c r="BR47" s="88"/>
    </row>
    <row r="48" spans="1:70" ht="15" customHeight="1" x14ac:dyDescent="0.25">
      <c r="A48" s="83">
        <f>IF(B48="","",COUNTA($B$10:$B48))</f>
        <v>39</v>
      </c>
      <c r="B48" s="137" t="s">
        <v>459</v>
      </c>
      <c r="C48" s="138" t="s">
        <v>460</v>
      </c>
      <c r="D48" s="141" t="s">
        <v>24</v>
      </c>
      <c r="E48" s="141" t="s">
        <v>26</v>
      </c>
      <c r="F48" s="141"/>
      <c r="G48" s="141" t="s">
        <v>26</v>
      </c>
      <c r="H48" s="141" t="s">
        <v>27</v>
      </c>
      <c r="I48" s="141" t="s">
        <v>26</v>
      </c>
      <c r="J48" s="141" t="s">
        <v>26</v>
      </c>
      <c r="K48" s="141" t="s">
        <v>24</v>
      </c>
      <c r="L48" s="141" t="s">
        <v>25</v>
      </c>
      <c r="M48" s="141" t="s">
        <v>23</v>
      </c>
      <c r="N48" s="141" t="s">
        <v>27</v>
      </c>
      <c r="O48" s="141"/>
      <c r="P48" s="141" t="s">
        <v>25</v>
      </c>
      <c r="Q48" s="141" t="s">
        <v>23</v>
      </c>
      <c r="R48" s="141" t="s">
        <v>27</v>
      </c>
      <c r="S48" s="141" t="s">
        <v>23</v>
      </c>
      <c r="T48" s="141" t="s">
        <v>25</v>
      </c>
      <c r="U48" s="141" t="s">
        <v>23</v>
      </c>
      <c r="V48" s="141" t="s">
        <v>25</v>
      </c>
      <c r="W48" s="141" t="s">
        <v>25</v>
      </c>
      <c r="X48" s="141" t="s">
        <v>24</v>
      </c>
      <c r="Y48" s="141" t="s">
        <v>26</v>
      </c>
      <c r="Z48" s="141" t="s">
        <v>23</v>
      </c>
      <c r="AA48" s="141" t="s">
        <v>24</v>
      </c>
      <c r="AB48" s="141" t="s">
        <v>26</v>
      </c>
      <c r="AC48" s="141" t="s">
        <v>27</v>
      </c>
      <c r="AD48" s="141" t="s">
        <v>26</v>
      </c>
      <c r="AE48" s="141" t="s">
        <v>23</v>
      </c>
      <c r="AF48" s="141" t="s">
        <v>27</v>
      </c>
      <c r="AG48" s="141" t="s">
        <v>27</v>
      </c>
      <c r="AH48" s="141" t="s">
        <v>25</v>
      </c>
      <c r="AI48" s="141" t="s">
        <v>26</v>
      </c>
      <c r="AJ48" s="141"/>
      <c r="AK48" s="141" t="s">
        <v>27</v>
      </c>
      <c r="AL48" s="141" t="s">
        <v>26</v>
      </c>
      <c r="AM48" s="141" t="s">
        <v>23</v>
      </c>
      <c r="AN48" s="141" t="s">
        <v>27</v>
      </c>
      <c r="AO48" s="141" t="s">
        <v>24</v>
      </c>
      <c r="AP48" s="141" t="s">
        <v>26</v>
      </c>
      <c r="AQ48" s="141" t="s">
        <v>27</v>
      </c>
      <c r="AR48" s="141" t="s">
        <v>24</v>
      </c>
      <c r="AS48" s="141" t="s">
        <v>27</v>
      </c>
      <c r="AT48" s="141"/>
      <c r="AU48" s="141" t="s">
        <v>27</v>
      </c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61">
        <f>SEKOR!BN41</f>
        <v>12</v>
      </c>
      <c r="BM48" s="61">
        <f>SEKOR!BO41</f>
        <v>28</v>
      </c>
      <c r="BN48" s="62">
        <f>SEKOR!BP41</f>
        <v>30</v>
      </c>
      <c r="BO48" s="62">
        <f>SEKOR!BQ41</f>
        <v>38.70967741935484</v>
      </c>
      <c r="BP48" s="63">
        <f>SEKOR!BT41</f>
        <v>59</v>
      </c>
      <c r="BQ48" s="88"/>
      <c r="BR48" s="88"/>
    </row>
    <row r="49" spans="1:70" ht="15" customHeight="1" x14ac:dyDescent="0.25">
      <c r="A49" s="83">
        <f>IF(B49="","",COUNTA($B$10:$B49))</f>
        <v>40</v>
      </c>
      <c r="B49" s="137" t="s">
        <v>461</v>
      </c>
      <c r="C49" s="138" t="s">
        <v>462</v>
      </c>
      <c r="D49" s="141" t="s">
        <v>23</v>
      </c>
      <c r="E49" s="141" t="s">
        <v>26</v>
      </c>
      <c r="F49" s="141" t="s">
        <v>26</v>
      </c>
      <c r="G49" s="141" t="s">
        <v>24</v>
      </c>
      <c r="H49" s="141" t="s">
        <v>27</v>
      </c>
      <c r="I49" s="141" t="s">
        <v>25</v>
      </c>
      <c r="J49" s="141" t="s">
        <v>26</v>
      </c>
      <c r="K49" s="141" t="s">
        <v>24</v>
      </c>
      <c r="L49" s="141" t="s">
        <v>24</v>
      </c>
      <c r="M49" s="141" t="s">
        <v>24</v>
      </c>
      <c r="N49" s="141" t="s">
        <v>24</v>
      </c>
      <c r="O49" s="141" t="s">
        <v>26</v>
      </c>
      <c r="P49" s="141" t="s">
        <v>26</v>
      </c>
      <c r="Q49" s="141" t="s">
        <v>26</v>
      </c>
      <c r="R49" s="141" t="s">
        <v>23</v>
      </c>
      <c r="S49" s="141" t="s">
        <v>23</v>
      </c>
      <c r="T49" s="141"/>
      <c r="U49" s="141" t="s">
        <v>23</v>
      </c>
      <c r="V49" s="141" t="s">
        <v>24</v>
      </c>
      <c r="W49" s="141"/>
      <c r="X49" s="141" t="s">
        <v>23</v>
      </c>
      <c r="Y49" s="141" t="s">
        <v>23</v>
      </c>
      <c r="Z49" s="141" t="s">
        <v>24</v>
      </c>
      <c r="AA49" s="141" t="s">
        <v>25</v>
      </c>
      <c r="AB49" s="141" t="s">
        <v>23</v>
      </c>
      <c r="AC49" s="141"/>
      <c r="AD49" s="141" t="s">
        <v>24</v>
      </c>
      <c r="AE49" s="141" t="s">
        <v>26</v>
      </c>
      <c r="AF49" s="141" t="s">
        <v>27</v>
      </c>
      <c r="AG49" s="141" t="s">
        <v>23</v>
      </c>
      <c r="AH49" s="141" t="s">
        <v>25</v>
      </c>
      <c r="AI49" s="141"/>
      <c r="AJ49" s="141" t="s">
        <v>27</v>
      </c>
      <c r="AK49" s="141" t="s">
        <v>27</v>
      </c>
      <c r="AL49" s="141" t="s">
        <v>27</v>
      </c>
      <c r="AM49" s="141" t="s">
        <v>25</v>
      </c>
      <c r="AN49" s="141" t="s">
        <v>27</v>
      </c>
      <c r="AO49" s="141" t="s">
        <v>24</v>
      </c>
      <c r="AP49" s="141" t="s">
        <v>25</v>
      </c>
      <c r="AQ49" s="141" t="s">
        <v>24</v>
      </c>
      <c r="AR49" s="141" t="s">
        <v>23</v>
      </c>
      <c r="AS49" s="141" t="s">
        <v>25</v>
      </c>
      <c r="AT49" s="141"/>
      <c r="AU49" s="141" t="s">
        <v>26</v>
      </c>
      <c r="AV49" s="141" t="s">
        <v>25</v>
      </c>
      <c r="AW49" s="141"/>
      <c r="AX49" s="141"/>
      <c r="AY49" s="141"/>
      <c r="AZ49" s="141"/>
      <c r="BA49" s="141"/>
      <c r="BB49" s="141"/>
      <c r="BC49" s="141"/>
      <c r="BD49" s="141"/>
      <c r="BE49" s="141"/>
      <c r="BF49" s="141"/>
      <c r="BG49" s="141"/>
      <c r="BH49" s="141"/>
      <c r="BI49" s="141"/>
      <c r="BJ49" s="141"/>
      <c r="BK49" s="141"/>
      <c r="BL49" s="61">
        <f>SEKOR!BN42</f>
        <v>15</v>
      </c>
      <c r="BM49" s="61">
        <f>SEKOR!BO42</f>
        <v>25</v>
      </c>
      <c r="BN49" s="62">
        <f>SEKOR!BP42</f>
        <v>37.5</v>
      </c>
      <c r="BO49" s="62">
        <f>SEKOR!BQ42</f>
        <v>48.387096774193552</v>
      </c>
      <c r="BP49" s="63">
        <f>SEKOR!BT42</f>
        <v>64</v>
      </c>
      <c r="BQ49" s="88"/>
      <c r="BR49" s="88"/>
    </row>
    <row r="50" spans="1:70" ht="15" customHeight="1" x14ac:dyDescent="0.25">
      <c r="A50" s="83">
        <f>IF(B50="","",COUNTA($B$10:$B50))</f>
        <v>41</v>
      </c>
      <c r="B50" s="137" t="s">
        <v>463</v>
      </c>
      <c r="C50" s="138" t="s">
        <v>464</v>
      </c>
      <c r="D50" s="141" t="s">
        <v>24</v>
      </c>
      <c r="E50" s="141"/>
      <c r="F50" s="141" t="s">
        <v>27</v>
      </c>
      <c r="G50" s="141" t="s">
        <v>26</v>
      </c>
      <c r="H50" s="141" t="s">
        <v>27</v>
      </c>
      <c r="I50" s="141" t="s">
        <v>27</v>
      </c>
      <c r="J50" s="141" t="s">
        <v>26</v>
      </c>
      <c r="K50" s="141" t="s">
        <v>24</v>
      </c>
      <c r="L50" s="141" t="s">
        <v>24</v>
      </c>
      <c r="M50" s="141" t="s">
        <v>24</v>
      </c>
      <c r="N50" s="141" t="s">
        <v>23</v>
      </c>
      <c r="O50" s="141" t="s">
        <v>25</v>
      </c>
      <c r="P50" s="141" t="s">
        <v>25</v>
      </c>
      <c r="Q50" s="141" t="s">
        <v>24</v>
      </c>
      <c r="R50" s="141" t="s">
        <v>24</v>
      </c>
      <c r="S50" s="141" t="s">
        <v>26</v>
      </c>
      <c r="T50" s="141" t="s">
        <v>27</v>
      </c>
      <c r="U50" s="141" t="s">
        <v>23</v>
      </c>
      <c r="V50" s="141" t="s">
        <v>25</v>
      </c>
      <c r="W50" s="141" t="s">
        <v>26</v>
      </c>
      <c r="X50" s="141" t="s">
        <v>26</v>
      </c>
      <c r="Y50" s="141" t="s">
        <v>23</v>
      </c>
      <c r="Z50" s="141"/>
      <c r="AA50" s="141" t="s">
        <v>25</v>
      </c>
      <c r="AB50" s="141" t="s">
        <v>23</v>
      </c>
      <c r="AC50" s="141" t="s">
        <v>27</v>
      </c>
      <c r="AD50" s="141" t="s">
        <v>23</v>
      </c>
      <c r="AE50" s="141" t="s">
        <v>26</v>
      </c>
      <c r="AF50" s="141" t="s">
        <v>24</v>
      </c>
      <c r="AG50" s="141" t="s">
        <v>27</v>
      </c>
      <c r="AH50" s="141" t="s">
        <v>25</v>
      </c>
      <c r="AI50" s="141" t="s">
        <v>25</v>
      </c>
      <c r="AJ50" s="141" t="s">
        <v>27</v>
      </c>
      <c r="AK50" s="141" t="s">
        <v>27</v>
      </c>
      <c r="AL50" s="141"/>
      <c r="AM50" s="141"/>
      <c r="AN50" s="141" t="s">
        <v>27</v>
      </c>
      <c r="AO50" s="141" t="s">
        <v>24</v>
      </c>
      <c r="AP50" s="141" t="s">
        <v>27</v>
      </c>
      <c r="AQ50" s="141" t="s">
        <v>26</v>
      </c>
      <c r="AR50" s="141" t="s">
        <v>23</v>
      </c>
      <c r="AS50" s="141" t="s">
        <v>25</v>
      </c>
      <c r="AT50" s="141" t="s">
        <v>23</v>
      </c>
      <c r="AU50" s="141" t="s">
        <v>26</v>
      </c>
      <c r="AV50" s="141"/>
      <c r="AW50" s="141"/>
      <c r="AX50" s="141"/>
      <c r="AY50" s="141"/>
      <c r="AZ50" s="141"/>
      <c r="BA50" s="141"/>
      <c r="BB50" s="141"/>
      <c r="BC50" s="141"/>
      <c r="BD50" s="141"/>
      <c r="BE50" s="141"/>
      <c r="BF50" s="141"/>
      <c r="BG50" s="141"/>
      <c r="BH50" s="141"/>
      <c r="BI50" s="141"/>
      <c r="BJ50" s="141"/>
      <c r="BK50" s="141"/>
      <c r="BL50" s="61">
        <f>SEKOR!BN43</f>
        <v>21</v>
      </c>
      <c r="BM50" s="61">
        <f>SEKOR!BO43</f>
        <v>19</v>
      </c>
      <c r="BN50" s="62">
        <f>SEKOR!BP43</f>
        <v>52.5</v>
      </c>
      <c r="BO50" s="62">
        <f>SEKOR!BQ43</f>
        <v>67.741935483870961</v>
      </c>
      <c r="BP50" s="63">
        <f>SEKOR!BT43</f>
        <v>74</v>
      </c>
      <c r="BQ50" s="88"/>
      <c r="BR50" s="88"/>
    </row>
    <row r="51" spans="1:70" ht="15" customHeight="1" x14ac:dyDescent="0.25">
      <c r="A51" s="83">
        <f>IF(B51="","",COUNTA($B$10:$B51))</f>
        <v>42</v>
      </c>
      <c r="B51" s="137" t="s">
        <v>465</v>
      </c>
      <c r="C51" s="138" t="s">
        <v>466</v>
      </c>
      <c r="D51" s="141" t="s">
        <v>24</v>
      </c>
      <c r="E51" s="141"/>
      <c r="F51" s="141"/>
      <c r="G51" s="141" t="s">
        <v>24</v>
      </c>
      <c r="H51" s="141" t="s">
        <v>27</v>
      </c>
      <c r="I51" s="141" t="s">
        <v>25</v>
      </c>
      <c r="J51" s="141" t="s">
        <v>26</v>
      </c>
      <c r="K51" s="141" t="s">
        <v>26</v>
      </c>
      <c r="L51" s="141" t="s">
        <v>24</v>
      </c>
      <c r="M51" s="141" t="s">
        <v>26</v>
      </c>
      <c r="N51" s="141" t="s">
        <v>24</v>
      </c>
      <c r="O51" s="141" t="s">
        <v>25</v>
      </c>
      <c r="P51" s="141" t="s">
        <v>23</v>
      </c>
      <c r="Q51" s="141" t="s">
        <v>24</v>
      </c>
      <c r="R51" s="141" t="s">
        <v>24</v>
      </c>
      <c r="S51" s="141" t="s">
        <v>26</v>
      </c>
      <c r="T51" s="141" t="s">
        <v>27</v>
      </c>
      <c r="U51" s="141" t="s">
        <v>23</v>
      </c>
      <c r="V51" s="141" t="s">
        <v>24</v>
      </c>
      <c r="W51" s="141" t="s">
        <v>24</v>
      </c>
      <c r="X51" s="141" t="s">
        <v>25</v>
      </c>
      <c r="Y51" s="141" t="s">
        <v>26</v>
      </c>
      <c r="Z51" s="141" t="s">
        <v>25</v>
      </c>
      <c r="AA51" s="141" t="s">
        <v>25</v>
      </c>
      <c r="AB51" s="141" t="s">
        <v>27</v>
      </c>
      <c r="AC51" s="141" t="s">
        <v>27</v>
      </c>
      <c r="AD51" s="141" t="s">
        <v>25</v>
      </c>
      <c r="AE51" s="141" t="s">
        <v>23</v>
      </c>
      <c r="AF51" s="141" t="s">
        <v>25</v>
      </c>
      <c r="AG51" s="141"/>
      <c r="AH51" s="141"/>
      <c r="AI51" s="141" t="s">
        <v>25</v>
      </c>
      <c r="AJ51" s="141" t="s">
        <v>27</v>
      </c>
      <c r="AK51" s="141" t="s">
        <v>23</v>
      </c>
      <c r="AL51" s="141" t="s">
        <v>27</v>
      </c>
      <c r="AM51" s="141" t="s">
        <v>23</v>
      </c>
      <c r="AN51" s="141" t="s">
        <v>27</v>
      </c>
      <c r="AO51" s="141"/>
      <c r="AP51" s="141" t="s">
        <v>27</v>
      </c>
      <c r="AQ51" s="141" t="s">
        <v>26</v>
      </c>
      <c r="AR51" s="141" t="s">
        <v>23</v>
      </c>
      <c r="AS51" s="141" t="s">
        <v>27</v>
      </c>
      <c r="AT51" s="141" t="s">
        <v>26</v>
      </c>
      <c r="AU51" s="141" t="s">
        <v>26</v>
      </c>
      <c r="AV51" s="141" t="s">
        <v>24</v>
      </c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  <c r="BJ51" s="141"/>
      <c r="BK51" s="141"/>
      <c r="BL51" s="61">
        <f>SEKOR!BN44</f>
        <v>29</v>
      </c>
      <c r="BM51" s="61">
        <f>SEKOR!BO44</f>
        <v>11</v>
      </c>
      <c r="BN51" s="62">
        <f>SEKOR!BP44</f>
        <v>72.5</v>
      </c>
      <c r="BO51" s="62">
        <f>SEKOR!BQ44</f>
        <v>93.548387096774192</v>
      </c>
      <c r="BP51" s="63">
        <f>SEKOR!BT44</f>
        <v>87</v>
      </c>
      <c r="BQ51" s="88"/>
      <c r="BR51" s="88"/>
    </row>
    <row r="52" spans="1:70" ht="15" customHeight="1" x14ac:dyDescent="0.25">
      <c r="A52" s="83">
        <f>IF(B52="","",COUNTA($B$10:$B52))</f>
        <v>43</v>
      </c>
      <c r="B52" s="137" t="s">
        <v>467</v>
      </c>
      <c r="C52" s="138" t="s">
        <v>468</v>
      </c>
      <c r="D52" s="141"/>
      <c r="E52" s="141" t="s">
        <v>26</v>
      </c>
      <c r="F52" s="141" t="s">
        <v>26</v>
      </c>
      <c r="G52" s="141" t="s">
        <v>24</v>
      </c>
      <c r="H52" s="141" t="s">
        <v>27</v>
      </c>
      <c r="I52" s="141"/>
      <c r="J52" s="141" t="s">
        <v>26</v>
      </c>
      <c r="K52" s="141" t="s">
        <v>26</v>
      </c>
      <c r="L52" s="141" t="s">
        <v>26</v>
      </c>
      <c r="M52" s="141" t="s">
        <v>26</v>
      </c>
      <c r="N52" s="141"/>
      <c r="O52" s="141" t="s">
        <v>23</v>
      </c>
      <c r="P52" s="141" t="s">
        <v>26</v>
      </c>
      <c r="Q52" s="141" t="s">
        <v>24</v>
      </c>
      <c r="R52" s="141" t="s">
        <v>24</v>
      </c>
      <c r="S52" s="141" t="s">
        <v>26</v>
      </c>
      <c r="T52" s="141" t="s">
        <v>27</v>
      </c>
      <c r="U52" s="141" t="s">
        <v>23</v>
      </c>
      <c r="V52" s="141" t="s">
        <v>24</v>
      </c>
      <c r="W52" s="141" t="s">
        <v>24</v>
      </c>
      <c r="X52" s="141" t="s">
        <v>25</v>
      </c>
      <c r="Y52" s="141"/>
      <c r="Z52" s="141"/>
      <c r="AA52" s="141" t="s">
        <v>25</v>
      </c>
      <c r="AB52" s="141" t="s">
        <v>27</v>
      </c>
      <c r="AC52" s="141" t="s">
        <v>27</v>
      </c>
      <c r="AD52" s="141" t="s">
        <v>25</v>
      </c>
      <c r="AE52" s="141" t="s">
        <v>23</v>
      </c>
      <c r="AF52" s="141" t="s">
        <v>25</v>
      </c>
      <c r="AG52" s="141" t="s">
        <v>24</v>
      </c>
      <c r="AH52" s="141" t="s">
        <v>23</v>
      </c>
      <c r="AI52" s="141" t="s">
        <v>25</v>
      </c>
      <c r="AJ52" s="141" t="s">
        <v>27</v>
      </c>
      <c r="AK52" s="141" t="s">
        <v>23</v>
      </c>
      <c r="AL52" s="141" t="s">
        <v>27</v>
      </c>
      <c r="AM52" s="141" t="s">
        <v>27</v>
      </c>
      <c r="AN52" s="141" t="s">
        <v>27</v>
      </c>
      <c r="AO52" s="141" t="s">
        <v>24</v>
      </c>
      <c r="AP52" s="141" t="s">
        <v>27</v>
      </c>
      <c r="AQ52" s="141" t="s">
        <v>26</v>
      </c>
      <c r="AR52" s="141" t="s">
        <v>23</v>
      </c>
      <c r="AS52" s="141" t="s">
        <v>27</v>
      </c>
      <c r="AT52" s="141" t="s">
        <v>25</v>
      </c>
      <c r="AU52" s="141" t="s">
        <v>26</v>
      </c>
      <c r="AV52" s="141" t="s">
        <v>24</v>
      </c>
      <c r="AW52" s="141"/>
      <c r="AX52" s="141"/>
      <c r="AY52" s="141"/>
      <c r="AZ52" s="141"/>
      <c r="BA52" s="141"/>
      <c r="BB52" s="141"/>
      <c r="BC52" s="141"/>
      <c r="BD52" s="141"/>
      <c r="BE52" s="141"/>
      <c r="BF52" s="141"/>
      <c r="BG52" s="141"/>
      <c r="BH52" s="141"/>
      <c r="BI52" s="141"/>
      <c r="BJ52" s="141"/>
      <c r="BK52" s="141"/>
      <c r="BL52" s="61">
        <f>SEKOR!BN45</f>
        <v>27</v>
      </c>
      <c r="BM52" s="61">
        <f>SEKOR!BO45</f>
        <v>13</v>
      </c>
      <c r="BN52" s="62">
        <f>SEKOR!BP45</f>
        <v>67.5</v>
      </c>
      <c r="BO52" s="62">
        <f>SEKOR!BQ45</f>
        <v>87.096774193548384</v>
      </c>
      <c r="BP52" s="63">
        <f>SEKOR!BT45</f>
        <v>84</v>
      </c>
      <c r="BQ52" s="88"/>
      <c r="BR52" s="88"/>
    </row>
    <row r="53" spans="1:70" ht="15" customHeight="1" x14ac:dyDescent="0.25">
      <c r="A53" s="83">
        <f>IF(B53="","",COUNTA($B$10:$B53))</f>
        <v>44</v>
      </c>
      <c r="B53" s="137" t="s">
        <v>469</v>
      </c>
      <c r="C53" s="138" t="s">
        <v>470</v>
      </c>
      <c r="D53" s="141"/>
      <c r="E53" s="141" t="s">
        <v>23</v>
      </c>
      <c r="F53" s="141" t="s">
        <v>25</v>
      </c>
      <c r="G53" s="141" t="s">
        <v>25</v>
      </c>
      <c r="H53" s="141"/>
      <c r="I53" s="141" t="s">
        <v>24</v>
      </c>
      <c r="J53" s="141" t="s">
        <v>24</v>
      </c>
      <c r="K53" s="141" t="s">
        <v>24</v>
      </c>
      <c r="L53" s="141" t="s">
        <v>24</v>
      </c>
      <c r="M53" s="141" t="s">
        <v>23</v>
      </c>
      <c r="N53" s="141" t="s">
        <v>25</v>
      </c>
      <c r="O53" s="141" t="s">
        <v>25</v>
      </c>
      <c r="P53" s="141" t="s">
        <v>25</v>
      </c>
      <c r="Q53" s="141" t="s">
        <v>24</v>
      </c>
      <c r="R53" s="141" t="s">
        <v>26</v>
      </c>
      <c r="S53" s="141" t="s">
        <v>23</v>
      </c>
      <c r="T53" s="141" t="s">
        <v>27</v>
      </c>
      <c r="U53" s="141" t="s">
        <v>25</v>
      </c>
      <c r="V53" s="141" t="s">
        <v>27</v>
      </c>
      <c r="W53" s="141" t="s">
        <v>23</v>
      </c>
      <c r="X53" s="141" t="s">
        <v>26</v>
      </c>
      <c r="Y53" s="141" t="s">
        <v>26</v>
      </c>
      <c r="Z53" s="141" t="s">
        <v>23</v>
      </c>
      <c r="AA53" s="141" t="s">
        <v>27</v>
      </c>
      <c r="AB53" s="141" t="s">
        <v>23</v>
      </c>
      <c r="AC53" s="141" t="s">
        <v>24</v>
      </c>
      <c r="AD53" s="141" t="s">
        <v>25</v>
      </c>
      <c r="AE53" s="141" t="s">
        <v>26</v>
      </c>
      <c r="AF53" s="141" t="s">
        <v>23</v>
      </c>
      <c r="AG53" s="141" t="s">
        <v>25</v>
      </c>
      <c r="AH53" s="141" t="s">
        <v>23</v>
      </c>
      <c r="AI53" s="141" t="s">
        <v>26</v>
      </c>
      <c r="AJ53" s="141" t="s">
        <v>25</v>
      </c>
      <c r="AK53" s="141" t="s">
        <v>27</v>
      </c>
      <c r="AL53" s="141" t="s">
        <v>23</v>
      </c>
      <c r="AM53" s="141" t="s">
        <v>23</v>
      </c>
      <c r="AN53" s="141"/>
      <c r="AO53" s="141" t="s">
        <v>24</v>
      </c>
      <c r="AP53" s="141" t="s">
        <v>25</v>
      </c>
      <c r="AQ53" s="141" t="s">
        <v>25</v>
      </c>
      <c r="AR53" s="141"/>
      <c r="AS53" s="141" t="s">
        <v>27</v>
      </c>
      <c r="AT53" s="141"/>
      <c r="AU53" s="141" t="s">
        <v>25</v>
      </c>
      <c r="AV53" s="141" t="s">
        <v>24</v>
      </c>
      <c r="AW53" s="141"/>
      <c r="AX53" s="141"/>
      <c r="AY53" s="141"/>
      <c r="AZ53" s="141"/>
      <c r="BA53" s="141"/>
      <c r="BB53" s="141"/>
      <c r="BC53" s="141"/>
      <c r="BD53" s="141"/>
      <c r="BE53" s="141"/>
      <c r="BF53" s="141"/>
      <c r="BG53" s="141"/>
      <c r="BH53" s="141"/>
      <c r="BI53" s="141"/>
      <c r="BJ53" s="141"/>
      <c r="BK53" s="141"/>
      <c r="BL53" s="61">
        <f>SEKOR!BN46</f>
        <v>9</v>
      </c>
      <c r="BM53" s="61">
        <f>SEKOR!BO46</f>
        <v>31</v>
      </c>
      <c r="BN53" s="62">
        <f>SEKOR!BP46</f>
        <v>22.5</v>
      </c>
      <c r="BO53" s="62">
        <f>SEKOR!BQ46</f>
        <v>29.032258064516132</v>
      </c>
      <c r="BP53" s="63">
        <f>SEKOR!BT46</f>
        <v>54</v>
      </c>
      <c r="BQ53" s="88"/>
      <c r="BR53" s="88"/>
    </row>
    <row r="54" spans="1:70" ht="15" customHeight="1" x14ac:dyDescent="0.25">
      <c r="A54" s="83">
        <f>IF(B54="","",COUNTA($B$10:$B54))</f>
        <v>45</v>
      </c>
      <c r="B54" s="137" t="s">
        <v>471</v>
      </c>
      <c r="C54" s="138" t="s">
        <v>472</v>
      </c>
      <c r="D54" s="141" t="s">
        <v>25</v>
      </c>
      <c r="E54" s="141" t="s">
        <v>26</v>
      </c>
      <c r="F54" s="141" t="s">
        <v>24</v>
      </c>
      <c r="G54" s="141" t="s">
        <v>24</v>
      </c>
      <c r="H54" s="141" t="s">
        <v>27</v>
      </c>
      <c r="I54" s="141" t="s">
        <v>25</v>
      </c>
      <c r="J54" s="141" t="s">
        <v>24</v>
      </c>
      <c r="K54" s="141" t="s">
        <v>25</v>
      </c>
      <c r="L54" s="141" t="s">
        <v>24</v>
      </c>
      <c r="M54" s="141" t="s">
        <v>26</v>
      </c>
      <c r="N54" s="141"/>
      <c r="O54" s="141" t="s">
        <v>25</v>
      </c>
      <c r="P54" s="141" t="s">
        <v>23</v>
      </c>
      <c r="Q54" s="141" t="s">
        <v>24</v>
      </c>
      <c r="R54" s="141" t="s">
        <v>24</v>
      </c>
      <c r="S54" s="141" t="s">
        <v>23</v>
      </c>
      <c r="T54" s="141" t="s">
        <v>27</v>
      </c>
      <c r="U54" s="141" t="s">
        <v>24</v>
      </c>
      <c r="V54" s="141" t="s">
        <v>25</v>
      </c>
      <c r="W54" s="141" t="s">
        <v>24</v>
      </c>
      <c r="X54" s="141"/>
      <c r="Y54" s="141" t="s">
        <v>26</v>
      </c>
      <c r="Z54" s="141" t="s">
        <v>26</v>
      </c>
      <c r="AA54" s="141"/>
      <c r="AB54" s="141" t="s">
        <v>23</v>
      </c>
      <c r="AC54" s="141" t="s">
        <v>27</v>
      </c>
      <c r="AD54" s="141" t="s">
        <v>27</v>
      </c>
      <c r="AE54" s="141" t="s">
        <v>27</v>
      </c>
      <c r="AF54" s="141"/>
      <c r="AG54" s="141"/>
      <c r="AH54" s="141" t="s">
        <v>25</v>
      </c>
      <c r="AI54" s="141" t="s">
        <v>25</v>
      </c>
      <c r="AJ54" s="141" t="s">
        <v>27</v>
      </c>
      <c r="AK54" s="141" t="s">
        <v>27</v>
      </c>
      <c r="AL54" s="141" t="s">
        <v>23</v>
      </c>
      <c r="AM54" s="141" t="s">
        <v>25</v>
      </c>
      <c r="AN54" s="141" t="s">
        <v>24</v>
      </c>
      <c r="AO54" s="141" t="s">
        <v>24</v>
      </c>
      <c r="AP54" s="141" t="s">
        <v>27</v>
      </c>
      <c r="AQ54" s="141"/>
      <c r="AR54" s="141" t="s">
        <v>23</v>
      </c>
      <c r="AS54" s="141" t="s">
        <v>27</v>
      </c>
      <c r="AT54" s="141" t="s">
        <v>27</v>
      </c>
      <c r="AU54" s="141" t="s">
        <v>24</v>
      </c>
      <c r="AV54" s="141"/>
      <c r="AW54" s="141"/>
      <c r="AX54" s="141"/>
      <c r="AY54" s="141"/>
      <c r="AZ54" s="141"/>
      <c r="BA54" s="141"/>
      <c r="BB54" s="141"/>
      <c r="BC54" s="141"/>
      <c r="BD54" s="141"/>
      <c r="BE54" s="141"/>
      <c r="BF54" s="141"/>
      <c r="BG54" s="141"/>
      <c r="BH54" s="141"/>
      <c r="BI54" s="141"/>
      <c r="BJ54" s="141"/>
      <c r="BK54" s="141"/>
      <c r="BL54" s="61">
        <f>SEKOR!BN47</f>
        <v>15</v>
      </c>
      <c r="BM54" s="61">
        <f>SEKOR!BO47</f>
        <v>23</v>
      </c>
      <c r="BN54" s="62">
        <f>SEKOR!BP47</f>
        <v>37.5</v>
      </c>
      <c r="BO54" s="62">
        <f>SEKOR!BQ47</f>
        <v>48.387096774193552</v>
      </c>
      <c r="BP54" s="63">
        <f>SEKOR!BT47</f>
        <v>64</v>
      </c>
      <c r="BQ54" s="88"/>
      <c r="BR54" s="88"/>
    </row>
    <row r="55" spans="1:70" ht="15" customHeight="1" x14ac:dyDescent="0.25">
      <c r="A55" s="83">
        <f>IF(B55="","",COUNTA($B$10:$B55))</f>
        <v>46</v>
      </c>
      <c r="B55" s="137" t="s">
        <v>473</v>
      </c>
      <c r="C55" s="138" t="s">
        <v>474</v>
      </c>
      <c r="D55" s="141" t="s">
        <v>24</v>
      </c>
      <c r="E55" s="141" t="s">
        <v>26</v>
      </c>
      <c r="F55" s="141" t="s">
        <v>27</v>
      </c>
      <c r="G55" s="141" t="s">
        <v>24</v>
      </c>
      <c r="H55" s="141" t="s">
        <v>24</v>
      </c>
      <c r="I55" s="141" t="s">
        <v>26</v>
      </c>
      <c r="J55" s="141"/>
      <c r="K55" s="141" t="s">
        <v>26</v>
      </c>
      <c r="L55" s="141"/>
      <c r="M55" s="141" t="s">
        <v>26</v>
      </c>
      <c r="N55" s="141" t="s">
        <v>27</v>
      </c>
      <c r="O55" s="141" t="s">
        <v>27</v>
      </c>
      <c r="P55" s="141" t="s">
        <v>26</v>
      </c>
      <c r="Q55" s="141" t="s">
        <v>26</v>
      </c>
      <c r="R55" s="141" t="s">
        <v>24</v>
      </c>
      <c r="S55" s="141" t="s">
        <v>26</v>
      </c>
      <c r="T55" s="141" t="s">
        <v>27</v>
      </c>
      <c r="U55" s="141" t="s">
        <v>23</v>
      </c>
      <c r="V55" s="141" t="s">
        <v>24</v>
      </c>
      <c r="W55" s="141" t="s">
        <v>26</v>
      </c>
      <c r="X55" s="141" t="s">
        <v>25</v>
      </c>
      <c r="Y55" s="141" t="s">
        <v>26</v>
      </c>
      <c r="Z55" s="141" t="s">
        <v>26</v>
      </c>
      <c r="AA55" s="141" t="s">
        <v>23</v>
      </c>
      <c r="AB55" s="141" t="s">
        <v>23</v>
      </c>
      <c r="AC55" s="141" t="s">
        <v>25</v>
      </c>
      <c r="AD55" s="141"/>
      <c r="AE55" s="141" t="s">
        <v>27</v>
      </c>
      <c r="AF55" s="141" t="s">
        <v>23</v>
      </c>
      <c r="AG55" s="141" t="s">
        <v>27</v>
      </c>
      <c r="AH55" s="141" t="s">
        <v>23</v>
      </c>
      <c r="AI55" s="141" t="s">
        <v>25</v>
      </c>
      <c r="AJ55" s="141" t="s">
        <v>27</v>
      </c>
      <c r="AK55" s="141" t="s">
        <v>23</v>
      </c>
      <c r="AL55" s="141"/>
      <c r="AM55" s="141" t="s">
        <v>25</v>
      </c>
      <c r="AN55" s="141" t="s">
        <v>27</v>
      </c>
      <c r="AO55" s="141" t="s">
        <v>24</v>
      </c>
      <c r="AP55" s="141"/>
      <c r="AQ55" s="141" t="s">
        <v>26</v>
      </c>
      <c r="AR55" s="141" t="s">
        <v>23</v>
      </c>
      <c r="AS55" s="141" t="s">
        <v>25</v>
      </c>
      <c r="AT55" s="141" t="s">
        <v>24</v>
      </c>
      <c r="AU55" s="141" t="s">
        <v>26</v>
      </c>
      <c r="AV55" s="141" t="s">
        <v>24</v>
      </c>
      <c r="AW55" s="141"/>
      <c r="AX55" s="141"/>
      <c r="AY55" s="141"/>
      <c r="AZ55" s="141"/>
      <c r="BA55" s="141"/>
      <c r="BB55" s="141"/>
      <c r="BC55" s="141"/>
      <c r="BD55" s="141"/>
      <c r="BE55" s="141"/>
      <c r="BF55" s="141"/>
      <c r="BG55" s="141"/>
      <c r="BH55" s="141"/>
      <c r="BI55" s="141"/>
      <c r="BJ55" s="141"/>
      <c r="BK55" s="141"/>
      <c r="BL55" s="61">
        <f>SEKOR!BN48</f>
        <v>24</v>
      </c>
      <c r="BM55" s="61">
        <f>SEKOR!BO48</f>
        <v>16</v>
      </c>
      <c r="BN55" s="62">
        <f>SEKOR!BP48</f>
        <v>60</v>
      </c>
      <c r="BO55" s="62">
        <f>SEKOR!BQ48</f>
        <v>77.41935483870968</v>
      </c>
      <c r="BP55" s="63">
        <f>SEKOR!BT48</f>
        <v>79</v>
      </c>
      <c r="BQ55" s="88"/>
      <c r="BR55" s="88"/>
    </row>
    <row r="56" spans="1:70" ht="15" customHeight="1" x14ac:dyDescent="0.25">
      <c r="A56" s="83">
        <f>IF(B56="","",COUNTA($B$10:$B56))</f>
        <v>47</v>
      </c>
      <c r="B56" s="137" t="s">
        <v>475</v>
      </c>
      <c r="C56" s="138" t="s">
        <v>476</v>
      </c>
      <c r="D56" s="141" t="s">
        <v>24</v>
      </c>
      <c r="E56" s="141" t="s">
        <v>26</v>
      </c>
      <c r="F56" s="141" t="s">
        <v>27</v>
      </c>
      <c r="G56" s="141" t="s">
        <v>24</v>
      </c>
      <c r="H56" s="141" t="s">
        <v>24</v>
      </c>
      <c r="I56" s="141" t="s">
        <v>25</v>
      </c>
      <c r="J56" s="141" t="s">
        <v>26</v>
      </c>
      <c r="K56" s="141" t="s">
        <v>24</v>
      </c>
      <c r="L56" s="141" t="s">
        <v>27</v>
      </c>
      <c r="M56" s="141" t="s">
        <v>27</v>
      </c>
      <c r="N56" s="141" t="s">
        <v>27</v>
      </c>
      <c r="O56" s="141" t="s">
        <v>25</v>
      </c>
      <c r="P56" s="141" t="s">
        <v>24</v>
      </c>
      <c r="Q56" s="141" t="s">
        <v>24</v>
      </c>
      <c r="R56" s="141"/>
      <c r="S56" s="141" t="s">
        <v>26</v>
      </c>
      <c r="T56" s="141" t="s">
        <v>27</v>
      </c>
      <c r="U56" s="141" t="s">
        <v>23</v>
      </c>
      <c r="V56" s="141" t="s">
        <v>24</v>
      </c>
      <c r="W56" s="141"/>
      <c r="X56" s="141" t="s">
        <v>26</v>
      </c>
      <c r="Y56" s="141" t="s">
        <v>26</v>
      </c>
      <c r="Z56" s="141" t="s">
        <v>23</v>
      </c>
      <c r="AA56" s="141" t="s">
        <v>25</v>
      </c>
      <c r="AB56" s="141" t="s">
        <v>23</v>
      </c>
      <c r="AC56" s="141" t="s">
        <v>27</v>
      </c>
      <c r="AD56" s="141" t="s">
        <v>25</v>
      </c>
      <c r="AE56" s="141"/>
      <c r="AF56" s="141" t="s">
        <v>25</v>
      </c>
      <c r="AG56" s="141"/>
      <c r="AH56" s="141" t="s">
        <v>26</v>
      </c>
      <c r="AI56" s="141" t="s">
        <v>25</v>
      </c>
      <c r="AJ56" s="141" t="s">
        <v>27</v>
      </c>
      <c r="AK56" s="141" t="s">
        <v>23</v>
      </c>
      <c r="AL56" s="141" t="s">
        <v>24</v>
      </c>
      <c r="AM56" s="141" t="s">
        <v>25</v>
      </c>
      <c r="AN56" s="141" t="s">
        <v>27</v>
      </c>
      <c r="AO56" s="141" t="s">
        <v>24</v>
      </c>
      <c r="AP56" s="141" t="s">
        <v>27</v>
      </c>
      <c r="AQ56" s="141"/>
      <c r="AR56" s="141" t="s">
        <v>23</v>
      </c>
      <c r="AS56" s="141" t="s">
        <v>27</v>
      </c>
      <c r="AT56" s="141" t="s">
        <v>25</v>
      </c>
      <c r="AU56" s="141" t="s">
        <v>26</v>
      </c>
      <c r="AV56" s="141" t="s">
        <v>25</v>
      </c>
      <c r="AW56" s="141"/>
      <c r="AX56" s="141"/>
      <c r="AY56" s="141"/>
      <c r="AZ56" s="141"/>
      <c r="BA56" s="141"/>
      <c r="BB56" s="141"/>
      <c r="BC56" s="141"/>
      <c r="BD56" s="141"/>
      <c r="BE56" s="141"/>
      <c r="BF56" s="141"/>
      <c r="BG56" s="141"/>
      <c r="BH56" s="141"/>
      <c r="BI56" s="141"/>
      <c r="BJ56" s="141"/>
      <c r="BK56" s="141"/>
      <c r="BL56" s="61">
        <f>SEKOR!BN49</f>
        <v>30</v>
      </c>
      <c r="BM56" s="61">
        <f>SEKOR!BO49</f>
        <v>10</v>
      </c>
      <c r="BN56" s="62">
        <f>SEKOR!BP49</f>
        <v>75</v>
      </c>
      <c r="BO56" s="62">
        <f>SEKOR!BQ49</f>
        <v>96.774193548387103</v>
      </c>
      <c r="BP56" s="63">
        <f>SEKOR!BT49</f>
        <v>89</v>
      </c>
      <c r="BQ56" s="88"/>
      <c r="BR56" s="88"/>
    </row>
    <row r="57" spans="1:70" ht="15" customHeight="1" x14ac:dyDescent="0.25">
      <c r="A57" s="83">
        <f>IF(B57="","",COUNTA($B$10:$B57))</f>
        <v>48</v>
      </c>
      <c r="B57" s="137" t="s">
        <v>477</v>
      </c>
      <c r="C57" s="138" t="s">
        <v>478</v>
      </c>
      <c r="D57" s="141" t="s">
        <v>24</v>
      </c>
      <c r="E57" s="141" t="s">
        <v>26</v>
      </c>
      <c r="F57" s="141" t="s">
        <v>25</v>
      </c>
      <c r="G57" s="141" t="s">
        <v>24</v>
      </c>
      <c r="H57" s="141" t="s">
        <v>24</v>
      </c>
      <c r="I57" s="141" t="s">
        <v>26</v>
      </c>
      <c r="J57" s="141" t="s">
        <v>25</v>
      </c>
      <c r="K57" s="141"/>
      <c r="L57" s="141" t="s">
        <v>26</v>
      </c>
      <c r="M57" s="141" t="s">
        <v>24</v>
      </c>
      <c r="N57" s="141" t="s">
        <v>23</v>
      </c>
      <c r="O57" s="141" t="s">
        <v>26</v>
      </c>
      <c r="P57" s="141" t="s">
        <v>26</v>
      </c>
      <c r="Q57" s="141"/>
      <c r="R57" s="141" t="s">
        <v>24</v>
      </c>
      <c r="S57" s="141" t="s">
        <v>26</v>
      </c>
      <c r="T57" s="141" t="s">
        <v>27</v>
      </c>
      <c r="U57" s="141"/>
      <c r="V57" s="141" t="s">
        <v>24</v>
      </c>
      <c r="W57" s="141" t="s">
        <v>24</v>
      </c>
      <c r="X57" s="141" t="s">
        <v>26</v>
      </c>
      <c r="Y57" s="141" t="s">
        <v>25</v>
      </c>
      <c r="Z57" s="141"/>
      <c r="AA57" s="141" t="s">
        <v>24</v>
      </c>
      <c r="AB57" s="141" t="s">
        <v>23</v>
      </c>
      <c r="AC57" s="141" t="s">
        <v>27</v>
      </c>
      <c r="AD57" s="141" t="s">
        <v>23</v>
      </c>
      <c r="AE57" s="141" t="s">
        <v>27</v>
      </c>
      <c r="AF57" s="141" t="s">
        <v>27</v>
      </c>
      <c r="AG57" s="141" t="s">
        <v>27</v>
      </c>
      <c r="AH57" s="141" t="s">
        <v>25</v>
      </c>
      <c r="AI57" s="141" t="s">
        <v>25</v>
      </c>
      <c r="AJ57" s="141" t="s">
        <v>25</v>
      </c>
      <c r="AK57" s="141" t="s">
        <v>26</v>
      </c>
      <c r="AL57" s="141" t="s">
        <v>27</v>
      </c>
      <c r="AM57" s="141" t="s">
        <v>23</v>
      </c>
      <c r="AN57" s="141" t="s">
        <v>27</v>
      </c>
      <c r="AO57" s="141" t="s">
        <v>24</v>
      </c>
      <c r="AP57" s="141"/>
      <c r="AQ57" s="141" t="s">
        <v>23</v>
      </c>
      <c r="AR57" s="141" t="s">
        <v>23</v>
      </c>
      <c r="AS57" s="141" t="s">
        <v>27</v>
      </c>
      <c r="AT57" s="141" t="s">
        <v>26</v>
      </c>
      <c r="AU57" s="141" t="s">
        <v>26</v>
      </c>
      <c r="AV57" s="141" t="s">
        <v>24</v>
      </c>
      <c r="AW57" s="141"/>
      <c r="AX57" s="141"/>
      <c r="AY57" s="141"/>
      <c r="AZ57" s="141"/>
      <c r="BA57" s="141"/>
      <c r="BB57" s="141"/>
      <c r="BC57" s="141"/>
      <c r="BD57" s="141"/>
      <c r="BE57" s="141"/>
      <c r="BF57" s="141"/>
      <c r="BG57" s="141"/>
      <c r="BH57" s="141"/>
      <c r="BI57" s="141"/>
      <c r="BJ57" s="141"/>
      <c r="BK57" s="141"/>
      <c r="BL57" s="61">
        <f>SEKOR!BN50</f>
        <v>21</v>
      </c>
      <c r="BM57" s="61">
        <f>SEKOR!BO50</f>
        <v>19</v>
      </c>
      <c r="BN57" s="62">
        <f>SEKOR!BP50</f>
        <v>52.5</v>
      </c>
      <c r="BO57" s="62">
        <f>SEKOR!BQ50</f>
        <v>67.741935483870961</v>
      </c>
      <c r="BP57" s="63">
        <f>SEKOR!BT50</f>
        <v>74</v>
      </c>
      <c r="BQ57" s="88"/>
      <c r="BR57" s="88"/>
    </row>
    <row r="58" spans="1:70" ht="15" customHeight="1" x14ac:dyDescent="0.25">
      <c r="A58" s="83">
        <f>IF(B58="","",COUNTA($B$10:$B58))</f>
        <v>49</v>
      </c>
      <c r="B58" s="137" t="s">
        <v>479</v>
      </c>
      <c r="C58" s="138" t="s">
        <v>480</v>
      </c>
      <c r="D58" s="141" t="s">
        <v>25</v>
      </c>
      <c r="E58" s="141" t="s">
        <v>25</v>
      </c>
      <c r="F58" s="141" t="s">
        <v>23</v>
      </c>
      <c r="G58" s="141" t="s">
        <v>24</v>
      </c>
      <c r="H58" s="141" t="s">
        <v>27</v>
      </c>
      <c r="I58" s="141" t="s">
        <v>24</v>
      </c>
      <c r="J58" s="141" t="s">
        <v>23</v>
      </c>
      <c r="K58" s="141" t="s">
        <v>25</v>
      </c>
      <c r="L58" s="141" t="s">
        <v>24</v>
      </c>
      <c r="M58" s="141" t="s">
        <v>24</v>
      </c>
      <c r="N58" s="141" t="s">
        <v>25</v>
      </c>
      <c r="O58" s="141" t="s">
        <v>27</v>
      </c>
      <c r="P58" s="141" t="s">
        <v>27</v>
      </c>
      <c r="Q58" s="141" t="s">
        <v>27</v>
      </c>
      <c r="R58" s="141" t="s">
        <v>26</v>
      </c>
      <c r="S58" s="141" t="s">
        <v>26</v>
      </c>
      <c r="T58" s="141" t="s">
        <v>23</v>
      </c>
      <c r="U58" s="141" t="s">
        <v>26</v>
      </c>
      <c r="V58" s="141" t="s">
        <v>24</v>
      </c>
      <c r="W58" s="141" t="s">
        <v>23</v>
      </c>
      <c r="X58" s="141" t="s">
        <v>23</v>
      </c>
      <c r="Y58" s="141" t="s">
        <v>25</v>
      </c>
      <c r="Z58" s="141" t="s">
        <v>24</v>
      </c>
      <c r="AA58" s="141" t="s">
        <v>24</v>
      </c>
      <c r="AB58" s="141"/>
      <c r="AC58" s="141" t="s">
        <v>24</v>
      </c>
      <c r="AD58" s="141" t="s">
        <v>25</v>
      </c>
      <c r="AE58" s="141" t="s">
        <v>25</v>
      </c>
      <c r="AF58" s="141" t="s">
        <v>24</v>
      </c>
      <c r="AG58" s="141" t="s">
        <v>27</v>
      </c>
      <c r="AH58" s="141" t="s">
        <v>27</v>
      </c>
      <c r="AI58" s="141" t="s">
        <v>26</v>
      </c>
      <c r="AJ58" s="141" t="s">
        <v>27</v>
      </c>
      <c r="AK58" s="141" t="s">
        <v>23</v>
      </c>
      <c r="AL58" s="141"/>
      <c r="AM58" s="141" t="s">
        <v>26</v>
      </c>
      <c r="AN58" s="141" t="s">
        <v>25</v>
      </c>
      <c r="AO58" s="141" t="s">
        <v>23</v>
      </c>
      <c r="AP58" s="141"/>
      <c r="AQ58" s="141"/>
      <c r="AR58" s="141" t="s">
        <v>27</v>
      </c>
      <c r="AS58" s="141"/>
      <c r="AT58" s="141" t="s">
        <v>27</v>
      </c>
      <c r="AU58" s="141" t="s">
        <v>25</v>
      </c>
      <c r="AV58" s="141" t="s">
        <v>25</v>
      </c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61">
        <f>SEKOR!BN51</f>
        <v>7</v>
      </c>
      <c r="BM58" s="61">
        <f>SEKOR!BO51</f>
        <v>33</v>
      </c>
      <c r="BN58" s="62">
        <f>SEKOR!BP51</f>
        <v>17.5</v>
      </c>
      <c r="BO58" s="62">
        <f>SEKOR!BQ51</f>
        <v>22.58064516129032</v>
      </c>
      <c r="BP58" s="63">
        <f>SEKOR!BT51</f>
        <v>50</v>
      </c>
      <c r="BQ58" s="88"/>
      <c r="BR58" s="88"/>
    </row>
    <row r="59" spans="1:70" ht="15" customHeight="1" x14ac:dyDescent="0.25">
      <c r="A59" s="83">
        <f>IF(B59="","",COUNTA($B$10:$B59))</f>
        <v>50</v>
      </c>
      <c r="B59" s="137" t="s">
        <v>481</v>
      </c>
      <c r="C59" s="138" t="s">
        <v>482</v>
      </c>
      <c r="D59" s="141" t="s">
        <v>24</v>
      </c>
      <c r="E59" s="141"/>
      <c r="F59" s="141" t="s">
        <v>24</v>
      </c>
      <c r="G59" s="141" t="s">
        <v>24</v>
      </c>
      <c r="H59" s="141" t="s">
        <v>27</v>
      </c>
      <c r="I59" s="141" t="s">
        <v>27</v>
      </c>
      <c r="J59" s="141" t="s">
        <v>25</v>
      </c>
      <c r="K59" s="141" t="s">
        <v>24</v>
      </c>
      <c r="L59" s="141" t="s">
        <v>27</v>
      </c>
      <c r="M59" s="141" t="s">
        <v>23</v>
      </c>
      <c r="N59" s="141" t="s">
        <v>24</v>
      </c>
      <c r="O59" s="141" t="s">
        <v>23</v>
      </c>
      <c r="P59" s="141" t="s">
        <v>25</v>
      </c>
      <c r="Q59" s="141" t="s">
        <v>23</v>
      </c>
      <c r="R59" s="141" t="s">
        <v>24</v>
      </c>
      <c r="S59" s="141" t="s">
        <v>26</v>
      </c>
      <c r="T59" s="141"/>
      <c r="U59" s="141" t="s">
        <v>27</v>
      </c>
      <c r="V59" s="141" t="s">
        <v>26</v>
      </c>
      <c r="W59" s="141" t="s">
        <v>26</v>
      </c>
      <c r="X59" s="141" t="s">
        <v>24</v>
      </c>
      <c r="Y59" s="141" t="s">
        <v>24</v>
      </c>
      <c r="Z59" s="141" t="s">
        <v>23</v>
      </c>
      <c r="AA59" s="141" t="s">
        <v>25</v>
      </c>
      <c r="AB59" s="141" t="s">
        <v>23</v>
      </c>
      <c r="AC59" s="141" t="s">
        <v>24</v>
      </c>
      <c r="AD59" s="141" t="s">
        <v>24</v>
      </c>
      <c r="AE59" s="141"/>
      <c r="AF59" s="141" t="s">
        <v>24</v>
      </c>
      <c r="AG59" s="141" t="s">
        <v>23</v>
      </c>
      <c r="AH59" s="141" t="s">
        <v>25</v>
      </c>
      <c r="AI59" s="141" t="s">
        <v>26</v>
      </c>
      <c r="AJ59" s="141" t="s">
        <v>27</v>
      </c>
      <c r="AK59" s="141"/>
      <c r="AL59" s="141" t="s">
        <v>26</v>
      </c>
      <c r="AM59" s="141" t="s">
        <v>26</v>
      </c>
      <c r="AN59" s="141" t="s">
        <v>27</v>
      </c>
      <c r="AO59" s="141" t="s">
        <v>24</v>
      </c>
      <c r="AP59" s="141" t="s">
        <v>27</v>
      </c>
      <c r="AQ59" s="141" t="s">
        <v>24</v>
      </c>
      <c r="AR59" s="141"/>
      <c r="AS59" s="141" t="s">
        <v>25</v>
      </c>
      <c r="AT59" s="141" t="s">
        <v>23</v>
      </c>
      <c r="AU59" s="141" t="s">
        <v>26</v>
      </c>
      <c r="AV59" s="141" t="s">
        <v>24</v>
      </c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61">
        <f>SEKOR!BN52</f>
        <v>12</v>
      </c>
      <c r="BM59" s="61">
        <f>SEKOR!BO52</f>
        <v>28</v>
      </c>
      <c r="BN59" s="62">
        <f>SEKOR!BP52</f>
        <v>30</v>
      </c>
      <c r="BO59" s="62">
        <f>SEKOR!BQ52</f>
        <v>38.70967741935484</v>
      </c>
      <c r="BP59" s="63">
        <f>SEKOR!BT52</f>
        <v>59</v>
      </c>
      <c r="BQ59" s="88"/>
      <c r="BR59" s="88"/>
    </row>
    <row r="60" spans="1:70" ht="15" customHeight="1" x14ac:dyDescent="0.25">
      <c r="A60" s="83">
        <f>IF(B60="","",COUNTA($B$10:$B60))</f>
        <v>51</v>
      </c>
      <c r="B60" s="137" t="s">
        <v>483</v>
      </c>
      <c r="C60" s="138" t="s">
        <v>484</v>
      </c>
      <c r="D60" s="141" t="s">
        <v>24</v>
      </c>
      <c r="E60" s="141" t="s">
        <v>23</v>
      </c>
      <c r="F60" s="141"/>
      <c r="G60" s="141" t="s">
        <v>24</v>
      </c>
      <c r="H60" s="141"/>
      <c r="I60" s="141" t="s">
        <v>25</v>
      </c>
      <c r="J60" s="141" t="s">
        <v>26</v>
      </c>
      <c r="K60" s="141" t="s">
        <v>25</v>
      </c>
      <c r="L60" s="141" t="s">
        <v>26</v>
      </c>
      <c r="M60" s="141" t="s">
        <v>26</v>
      </c>
      <c r="N60" s="141" t="s">
        <v>24</v>
      </c>
      <c r="O60" s="141" t="s">
        <v>23</v>
      </c>
      <c r="P60" s="141" t="s">
        <v>26</v>
      </c>
      <c r="Q60" s="141" t="s">
        <v>24</v>
      </c>
      <c r="R60" s="141" t="s">
        <v>23</v>
      </c>
      <c r="S60" s="141" t="s">
        <v>24</v>
      </c>
      <c r="T60" s="141"/>
      <c r="U60" s="141" t="s">
        <v>23</v>
      </c>
      <c r="V60" s="141" t="s">
        <v>24</v>
      </c>
      <c r="W60" s="141" t="s">
        <v>24</v>
      </c>
      <c r="X60" s="141" t="s">
        <v>25</v>
      </c>
      <c r="Y60" s="141" t="s">
        <v>26</v>
      </c>
      <c r="Z60" s="141" t="s">
        <v>23</v>
      </c>
      <c r="AA60" s="141" t="s">
        <v>25</v>
      </c>
      <c r="AB60" s="141"/>
      <c r="AC60" s="141" t="s">
        <v>27</v>
      </c>
      <c r="AD60" s="141" t="s">
        <v>27</v>
      </c>
      <c r="AE60" s="141" t="s">
        <v>27</v>
      </c>
      <c r="AF60" s="141" t="s">
        <v>25</v>
      </c>
      <c r="AG60" s="141" t="s">
        <v>24</v>
      </c>
      <c r="AH60" s="141" t="s">
        <v>23</v>
      </c>
      <c r="AI60" s="141" t="s">
        <v>25</v>
      </c>
      <c r="AJ60" s="141" t="s">
        <v>25</v>
      </c>
      <c r="AK60" s="141"/>
      <c r="AL60" s="141" t="s">
        <v>27</v>
      </c>
      <c r="AM60" s="141" t="s">
        <v>26</v>
      </c>
      <c r="AN60" s="141" t="s">
        <v>27</v>
      </c>
      <c r="AO60" s="141" t="s">
        <v>24</v>
      </c>
      <c r="AP60" s="141" t="s">
        <v>27</v>
      </c>
      <c r="AQ60" s="141" t="s">
        <v>26</v>
      </c>
      <c r="AR60" s="141" t="s">
        <v>23</v>
      </c>
      <c r="AS60" s="141" t="s">
        <v>25</v>
      </c>
      <c r="AT60" s="141" t="s">
        <v>26</v>
      </c>
      <c r="AU60" s="141" t="s">
        <v>24</v>
      </c>
      <c r="AV60" s="141" t="s">
        <v>25</v>
      </c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61">
        <f>SEKOR!BN53</f>
        <v>25</v>
      </c>
      <c r="BM60" s="61">
        <f>SEKOR!BO53</f>
        <v>15</v>
      </c>
      <c r="BN60" s="62">
        <f>SEKOR!BP53</f>
        <v>62.5</v>
      </c>
      <c r="BO60" s="62">
        <f>SEKOR!BQ53</f>
        <v>80.645161290322577</v>
      </c>
      <c r="BP60" s="63">
        <f>SEKOR!BT53</f>
        <v>80</v>
      </c>
      <c r="BQ60" s="88"/>
      <c r="BR60" s="88"/>
    </row>
    <row r="61" spans="1:70" ht="15" customHeight="1" x14ac:dyDescent="0.25">
      <c r="A61" s="83">
        <f>IF(B61="","",COUNTA($B$10:$B61))</f>
        <v>52</v>
      </c>
      <c r="B61" s="137" t="s">
        <v>485</v>
      </c>
      <c r="C61" s="138" t="s">
        <v>486</v>
      </c>
      <c r="D61" s="141" t="s">
        <v>24</v>
      </c>
      <c r="E61" s="141" t="s">
        <v>26</v>
      </c>
      <c r="F61" s="141" t="s">
        <v>27</v>
      </c>
      <c r="G61" s="141" t="s">
        <v>24</v>
      </c>
      <c r="H61" s="141"/>
      <c r="I61" s="141" t="s">
        <v>25</v>
      </c>
      <c r="J61" s="141" t="s">
        <v>26</v>
      </c>
      <c r="K61" s="141" t="s">
        <v>24</v>
      </c>
      <c r="L61" s="141" t="s">
        <v>26</v>
      </c>
      <c r="M61" s="141" t="s">
        <v>26</v>
      </c>
      <c r="N61" s="141" t="s">
        <v>24</v>
      </c>
      <c r="O61" s="141"/>
      <c r="P61" s="141" t="s">
        <v>26</v>
      </c>
      <c r="Q61" s="141" t="s">
        <v>24</v>
      </c>
      <c r="R61" s="141" t="s">
        <v>24</v>
      </c>
      <c r="S61" s="141" t="s">
        <v>26</v>
      </c>
      <c r="T61" s="141" t="s">
        <v>27</v>
      </c>
      <c r="U61" s="141" t="s">
        <v>23</v>
      </c>
      <c r="V61" s="141" t="s">
        <v>24</v>
      </c>
      <c r="W61" s="141" t="s">
        <v>24</v>
      </c>
      <c r="X61" s="141" t="s">
        <v>25</v>
      </c>
      <c r="Y61" s="141" t="s">
        <v>26</v>
      </c>
      <c r="Z61" s="141"/>
      <c r="AA61" s="141" t="s">
        <v>25</v>
      </c>
      <c r="AB61" s="141" t="s">
        <v>27</v>
      </c>
      <c r="AC61" s="141" t="s">
        <v>27</v>
      </c>
      <c r="AD61" s="141" t="s">
        <v>25</v>
      </c>
      <c r="AE61" s="141"/>
      <c r="AF61" s="141" t="s">
        <v>25</v>
      </c>
      <c r="AG61" s="141" t="s">
        <v>24</v>
      </c>
      <c r="AH61" s="141" t="s">
        <v>23</v>
      </c>
      <c r="AI61" s="141" t="s">
        <v>25</v>
      </c>
      <c r="AJ61" s="141" t="s">
        <v>27</v>
      </c>
      <c r="AK61" s="141" t="s">
        <v>23</v>
      </c>
      <c r="AL61" s="141"/>
      <c r="AM61" s="141" t="s">
        <v>27</v>
      </c>
      <c r="AN61" s="141" t="s">
        <v>25</v>
      </c>
      <c r="AO61" s="141" t="s">
        <v>24</v>
      </c>
      <c r="AP61" s="141" t="s">
        <v>27</v>
      </c>
      <c r="AQ61" s="141" t="s">
        <v>26</v>
      </c>
      <c r="AR61" s="141" t="s">
        <v>23</v>
      </c>
      <c r="AS61" s="141" t="s">
        <v>27</v>
      </c>
      <c r="AT61" s="141" t="s">
        <v>26</v>
      </c>
      <c r="AU61" s="141" t="s">
        <v>26</v>
      </c>
      <c r="AV61" s="141" t="s">
        <v>24</v>
      </c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61">
        <f>SEKOR!BN54</f>
        <v>31</v>
      </c>
      <c r="BM61" s="61">
        <f>SEKOR!BO54</f>
        <v>9</v>
      </c>
      <c r="BN61" s="62">
        <f>SEKOR!BP54</f>
        <v>77.5</v>
      </c>
      <c r="BO61" s="62">
        <f>SEKOR!BQ54</f>
        <v>100</v>
      </c>
      <c r="BP61" s="63">
        <f>SEKOR!BT54</f>
        <v>90</v>
      </c>
      <c r="BQ61" s="88"/>
      <c r="BR61" s="88"/>
    </row>
    <row r="62" spans="1:70" ht="15" customHeight="1" x14ac:dyDescent="0.25">
      <c r="A62" s="83">
        <f>IF(B62="","",COUNTA($B$10:$B62))</f>
        <v>53</v>
      </c>
      <c r="B62" s="137" t="s">
        <v>487</v>
      </c>
      <c r="C62" s="138" t="s">
        <v>488</v>
      </c>
      <c r="D62" s="141" t="s">
        <v>24</v>
      </c>
      <c r="E62" s="141" t="s">
        <v>23</v>
      </c>
      <c r="F62" s="141" t="s">
        <v>24</v>
      </c>
      <c r="G62" s="141" t="s">
        <v>26</v>
      </c>
      <c r="H62" s="141" t="s">
        <v>25</v>
      </c>
      <c r="I62" s="141"/>
      <c r="J62" s="141" t="s">
        <v>23</v>
      </c>
      <c r="K62" s="141" t="s">
        <v>27</v>
      </c>
      <c r="L62" s="141" t="s">
        <v>24</v>
      </c>
      <c r="M62" s="141" t="s">
        <v>23</v>
      </c>
      <c r="N62" s="141" t="s">
        <v>23</v>
      </c>
      <c r="O62" s="141" t="s">
        <v>25</v>
      </c>
      <c r="P62" s="141" t="s">
        <v>26</v>
      </c>
      <c r="Q62" s="141" t="s">
        <v>23</v>
      </c>
      <c r="R62" s="141" t="s">
        <v>23</v>
      </c>
      <c r="S62" s="141" t="s">
        <v>24</v>
      </c>
      <c r="T62" s="141" t="s">
        <v>27</v>
      </c>
      <c r="U62" s="141" t="s">
        <v>24</v>
      </c>
      <c r="V62" s="141"/>
      <c r="W62" s="141" t="s">
        <v>23</v>
      </c>
      <c r="X62" s="141" t="s">
        <v>27</v>
      </c>
      <c r="Y62" s="141" t="s">
        <v>23</v>
      </c>
      <c r="Z62" s="141" t="s">
        <v>26</v>
      </c>
      <c r="AA62" s="141" t="s">
        <v>25</v>
      </c>
      <c r="AB62" s="141" t="s">
        <v>23</v>
      </c>
      <c r="AC62" s="141" t="s">
        <v>24</v>
      </c>
      <c r="AD62" s="141" t="s">
        <v>24</v>
      </c>
      <c r="AE62" s="141" t="s">
        <v>26</v>
      </c>
      <c r="AF62" s="141" t="s">
        <v>23</v>
      </c>
      <c r="AG62" s="141" t="s">
        <v>25</v>
      </c>
      <c r="AH62" s="141" t="s">
        <v>27</v>
      </c>
      <c r="AI62" s="141"/>
      <c r="AJ62" s="141" t="s">
        <v>23</v>
      </c>
      <c r="AK62" s="141" t="s">
        <v>23</v>
      </c>
      <c r="AL62" s="141" t="s">
        <v>27</v>
      </c>
      <c r="AM62" s="141" t="s">
        <v>23</v>
      </c>
      <c r="AN62" s="141"/>
      <c r="AO62" s="141"/>
      <c r="AP62" s="141" t="s">
        <v>25</v>
      </c>
      <c r="AQ62" s="141" t="s">
        <v>27</v>
      </c>
      <c r="AR62" s="141"/>
      <c r="AS62" s="141" t="s">
        <v>27</v>
      </c>
      <c r="AT62" s="141" t="s">
        <v>27</v>
      </c>
      <c r="AU62" s="141" t="s">
        <v>23</v>
      </c>
      <c r="AV62" s="141" t="s">
        <v>23</v>
      </c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61">
        <f>SEKOR!BN55</f>
        <v>7</v>
      </c>
      <c r="BM62" s="61">
        <f>SEKOR!BO55</f>
        <v>32</v>
      </c>
      <c r="BN62" s="62">
        <f>SEKOR!BP55</f>
        <v>17.5</v>
      </c>
      <c r="BO62" s="62">
        <f>SEKOR!BQ55</f>
        <v>22.58064516129032</v>
      </c>
      <c r="BP62" s="63">
        <f>SEKOR!BT55</f>
        <v>50</v>
      </c>
      <c r="BQ62" s="88"/>
      <c r="BR62" s="88"/>
    </row>
    <row r="63" spans="1:70" ht="15" customHeight="1" x14ac:dyDescent="0.25">
      <c r="A63" s="83">
        <f>IF(B63="","",COUNTA($B$10:$B63))</f>
        <v>54</v>
      </c>
      <c r="B63" s="137" t="s">
        <v>489</v>
      </c>
      <c r="C63" s="138" t="s">
        <v>490</v>
      </c>
      <c r="D63" s="141" t="s">
        <v>23</v>
      </c>
      <c r="E63" s="141" t="s">
        <v>25</v>
      </c>
      <c r="F63" s="141" t="s">
        <v>26</v>
      </c>
      <c r="G63" s="141" t="s">
        <v>25</v>
      </c>
      <c r="H63" s="141" t="s">
        <v>27</v>
      </c>
      <c r="I63" s="141" t="s">
        <v>25</v>
      </c>
      <c r="J63" s="141" t="s">
        <v>26</v>
      </c>
      <c r="K63" s="141"/>
      <c r="L63" s="141" t="s">
        <v>26</v>
      </c>
      <c r="M63" s="141" t="s">
        <v>23</v>
      </c>
      <c r="N63" s="141" t="s">
        <v>24</v>
      </c>
      <c r="O63" s="141" t="s">
        <v>25</v>
      </c>
      <c r="P63" s="141" t="s">
        <v>25</v>
      </c>
      <c r="Q63" s="141" t="s">
        <v>26</v>
      </c>
      <c r="R63" s="141" t="s">
        <v>24</v>
      </c>
      <c r="S63" s="141" t="s">
        <v>26</v>
      </c>
      <c r="T63" s="141"/>
      <c r="U63" s="141" t="s">
        <v>23</v>
      </c>
      <c r="V63" s="141" t="s">
        <v>26</v>
      </c>
      <c r="W63" s="141" t="s">
        <v>26</v>
      </c>
      <c r="X63" s="141" t="s">
        <v>24</v>
      </c>
      <c r="Y63" s="141" t="s">
        <v>25</v>
      </c>
      <c r="Z63" s="141" t="s">
        <v>23</v>
      </c>
      <c r="AA63" s="141"/>
      <c r="AB63" s="141" t="s">
        <v>23</v>
      </c>
      <c r="AC63" s="141" t="s">
        <v>23</v>
      </c>
      <c r="AD63" s="141" t="s">
        <v>24</v>
      </c>
      <c r="AE63" s="141" t="s">
        <v>27</v>
      </c>
      <c r="AF63" s="141" t="s">
        <v>26</v>
      </c>
      <c r="AG63" s="141" t="s">
        <v>27</v>
      </c>
      <c r="AH63" s="141" t="s">
        <v>27</v>
      </c>
      <c r="AI63" s="141"/>
      <c r="AJ63" s="141" t="s">
        <v>26</v>
      </c>
      <c r="AK63" s="141" t="s">
        <v>26</v>
      </c>
      <c r="AL63" s="141"/>
      <c r="AM63" s="141" t="s">
        <v>26</v>
      </c>
      <c r="AN63" s="141" t="s">
        <v>27</v>
      </c>
      <c r="AO63" s="141" t="s">
        <v>24</v>
      </c>
      <c r="AP63" s="141" t="s">
        <v>27</v>
      </c>
      <c r="AQ63" s="141" t="s">
        <v>27</v>
      </c>
      <c r="AR63" s="141" t="s">
        <v>23</v>
      </c>
      <c r="AS63" s="141" t="s">
        <v>25</v>
      </c>
      <c r="AT63" s="141" t="s">
        <v>23</v>
      </c>
      <c r="AU63" s="141" t="s">
        <v>27</v>
      </c>
      <c r="AV63" s="141" t="s">
        <v>24</v>
      </c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61">
        <f>SEKOR!BN56</f>
        <v>14</v>
      </c>
      <c r="BM63" s="61">
        <f>SEKOR!BO56</f>
        <v>26</v>
      </c>
      <c r="BN63" s="62">
        <f>SEKOR!BP56</f>
        <v>35</v>
      </c>
      <c r="BO63" s="62">
        <f>SEKOR!BQ56</f>
        <v>45.161290322580641</v>
      </c>
      <c r="BP63" s="63">
        <f>SEKOR!BT56</f>
        <v>62</v>
      </c>
      <c r="BQ63" s="88"/>
      <c r="BR63" s="88"/>
    </row>
    <row r="64" spans="1:70" ht="15" customHeight="1" x14ac:dyDescent="0.25">
      <c r="A64" s="83">
        <f>IF(B64="","",COUNTA($B$10:$B64))</f>
        <v>55</v>
      </c>
      <c r="B64" s="137" t="s">
        <v>491</v>
      </c>
      <c r="C64" s="138" t="s">
        <v>492</v>
      </c>
      <c r="D64" s="141" t="s">
        <v>23</v>
      </c>
      <c r="E64" s="141" t="s">
        <v>26</v>
      </c>
      <c r="F64" s="141" t="s">
        <v>27</v>
      </c>
      <c r="G64" s="141" t="s">
        <v>24</v>
      </c>
      <c r="H64" s="141" t="s">
        <v>27</v>
      </c>
      <c r="I64" s="141" t="s">
        <v>25</v>
      </c>
      <c r="J64" s="141" t="s">
        <v>26</v>
      </c>
      <c r="K64" s="141" t="s">
        <v>24</v>
      </c>
      <c r="L64" s="141" t="s">
        <v>26</v>
      </c>
      <c r="M64" s="141" t="s">
        <v>26</v>
      </c>
      <c r="N64" s="141" t="s">
        <v>23</v>
      </c>
      <c r="O64" s="141" t="s">
        <v>25</v>
      </c>
      <c r="P64" s="141" t="s">
        <v>24</v>
      </c>
      <c r="Q64" s="141" t="s">
        <v>24</v>
      </c>
      <c r="R64" s="141" t="s">
        <v>24</v>
      </c>
      <c r="S64" s="141" t="s">
        <v>26</v>
      </c>
      <c r="T64" s="141" t="s">
        <v>27</v>
      </c>
      <c r="U64" s="141" t="s">
        <v>23</v>
      </c>
      <c r="V64" s="141" t="s">
        <v>25</v>
      </c>
      <c r="W64" s="141"/>
      <c r="X64" s="141" t="s">
        <v>25</v>
      </c>
      <c r="Y64" s="141" t="s">
        <v>26</v>
      </c>
      <c r="Z64" s="141"/>
      <c r="AA64" s="141" t="s">
        <v>25</v>
      </c>
      <c r="AB64" s="141" t="s">
        <v>27</v>
      </c>
      <c r="AC64" s="141" t="s">
        <v>27</v>
      </c>
      <c r="AD64" s="141" t="s">
        <v>25</v>
      </c>
      <c r="AE64" s="141" t="s">
        <v>26</v>
      </c>
      <c r="AF64" s="141" t="s">
        <v>24</v>
      </c>
      <c r="AG64" s="141"/>
      <c r="AH64" s="141" t="s">
        <v>25</v>
      </c>
      <c r="AI64" s="141" t="s">
        <v>25</v>
      </c>
      <c r="AJ64" s="141"/>
      <c r="AK64" s="141" t="s">
        <v>27</v>
      </c>
      <c r="AL64" s="141" t="s">
        <v>27</v>
      </c>
      <c r="AM64" s="141"/>
      <c r="AN64" s="141" t="s">
        <v>24</v>
      </c>
      <c r="AO64" s="141" t="s">
        <v>24</v>
      </c>
      <c r="AP64" s="141" t="s">
        <v>27</v>
      </c>
      <c r="AQ64" s="141" t="s">
        <v>26</v>
      </c>
      <c r="AR64" s="141" t="s">
        <v>23</v>
      </c>
      <c r="AS64" s="141" t="s">
        <v>27</v>
      </c>
      <c r="AT64" s="141" t="s">
        <v>27</v>
      </c>
      <c r="AU64" s="141" t="s">
        <v>26</v>
      </c>
      <c r="AV64" s="141" t="s">
        <v>24</v>
      </c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61">
        <f>SEKOR!BN57</f>
        <v>25</v>
      </c>
      <c r="BM64" s="61">
        <f>SEKOR!BO57</f>
        <v>15</v>
      </c>
      <c r="BN64" s="62">
        <f>SEKOR!BP57</f>
        <v>62.5</v>
      </c>
      <c r="BO64" s="62">
        <f>SEKOR!BQ57</f>
        <v>80.645161290322577</v>
      </c>
      <c r="BP64" s="63">
        <f>SEKOR!BT57</f>
        <v>80</v>
      </c>
      <c r="BQ64" s="88"/>
      <c r="BR64" s="88"/>
    </row>
    <row r="65" spans="1:70" ht="15" customHeight="1" x14ac:dyDescent="0.25">
      <c r="A65" s="83">
        <f>IF(B65="","",COUNTA($B$10:$B65))</f>
        <v>56</v>
      </c>
      <c r="B65" s="137" t="s">
        <v>493</v>
      </c>
      <c r="C65" s="138" t="s">
        <v>494</v>
      </c>
      <c r="D65" s="141" t="s">
        <v>23</v>
      </c>
      <c r="E65" s="141" t="s">
        <v>27</v>
      </c>
      <c r="F65" s="141" t="s">
        <v>25</v>
      </c>
      <c r="G65" s="141"/>
      <c r="H65" s="141" t="s">
        <v>27</v>
      </c>
      <c r="I65" s="141"/>
      <c r="J65" s="141" t="s">
        <v>26</v>
      </c>
      <c r="K65" s="141"/>
      <c r="L65" s="141" t="s">
        <v>26</v>
      </c>
      <c r="M65" s="141" t="s">
        <v>23</v>
      </c>
      <c r="N65" s="141" t="s">
        <v>23</v>
      </c>
      <c r="O65" s="141" t="s">
        <v>23</v>
      </c>
      <c r="P65" s="141" t="s">
        <v>27</v>
      </c>
      <c r="Q65" s="141" t="s">
        <v>24</v>
      </c>
      <c r="R65" s="141" t="s">
        <v>24</v>
      </c>
      <c r="S65" s="141" t="s">
        <v>26</v>
      </c>
      <c r="T65" s="141" t="s">
        <v>27</v>
      </c>
      <c r="U65" s="141" t="s">
        <v>23</v>
      </c>
      <c r="V65" s="141" t="s">
        <v>24</v>
      </c>
      <c r="W65" s="141" t="s">
        <v>24</v>
      </c>
      <c r="X65" s="141" t="s">
        <v>26</v>
      </c>
      <c r="Y65" s="141" t="s">
        <v>26</v>
      </c>
      <c r="Z65" s="141" t="s">
        <v>25</v>
      </c>
      <c r="AA65" s="141" t="s">
        <v>24</v>
      </c>
      <c r="AB65" s="141"/>
      <c r="AC65" s="141" t="s">
        <v>27</v>
      </c>
      <c r="AD65" s="141"/>
      <c r="AE65" s="141" t="s">
        <v>27</v>
      </c>
      <c r="AF65" s="141" t="s">
        <v>23</v>
      </c>
      <c r="AG65" s="141" t="s">
        <v>26</v>
      </c>
      <c r="AH65" s="141" t="s">
        <v>24</v>
      </c>
      <c r="AI65" s="141" t="s">
        <v>23</v>
      </c>
      <c r="AJ65" s="141" t="s">
        <v>26</v>
      </c>
      <c r="AK65" s="141" t="s">
        <v>24</v>
      </c>
      <c r="AL65" s="141" t="s">
        <v>25</v>
      </c>
      <c r="AM65" s="141" t="s">
        <v>24</v>
      </c>
      <c r="AN65" s="141" t="s">
        <v>27</v>
      </c>
      <c r="AO65" s="141" t="s">
        <v>27</v>
      </c>
      <c r="AP65" s="141" t="s">
        <v>27</v>
      </c>
      <c r="AQ65" s="141" t="s">
        <v>25</v>
      </c>
      <c r="AR65" s="141" t="s">
        <v>23</v>
      </c>
      <c r="AS65" s="141" t="s">
        <v>25</v>
      </c>
      <c r="AT65" s="141" t="s">
        <v>23</v>
      </c>
      <c r="AU65" s="141" t="s">
        <v>25</v>
      </c>
      <c r="AV65" s="141" t="s">
        <v>25</v>
      </c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61">
        <f>SEKOR!BN58</f>
        <v>17</v>
      </c>
      <c r="BM65" s="61">
        <f>SEKOR!BO58</f>
        <v>23</v>
      </c>
      <c r="BN65" s="62">
        <f>SEKOR!BP58</f>
        <v>42.5</v>
      </c>
      <c r="BO65" s="62">
        <f>SEKOR!BQ58</f>
        <v>54.838709677419352</v>
      </c>
      <c r="BP65" s="63">
        <f>SEKOR!BT58</f>
        <v>67</v>
      </c>
      <c r="BQ65" s="88"/>
      <c r="BR65" s="88"/>
    </row>
    <row r="66" spans="1:70" ht="15" customHeight="1" x14ac:dyDescent="0.25">
      <c r="A66" s="83" t="str">
        <f>IF(B66="","",COUNTA($B$10:$B66))</f>
        <v/>
      </c>
      <c r="B66" s="137"/>
      <c r="C66" s="138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61">
        <f>SEKOR!BN59</f>
        <v>0</v>
      </c>
      <c r="BM66" s="61">
        <f>SEKOR!BO59</f>
        <v>0</v>
      </c>
      <c r="BN66" s="62" t="str">
        <f>SEKOR!BP59</f>
        <v/>
      </c>
      <c r="BO66" s="62" t="str">
        <f>SEKOR!BQ59</f>
        <v/>
      </c>
      <c r="BP66" s="63" t="str">
        <f>SEKOR!BT59</f>
        <v/>
      </c>
      <c r="BQ66" s="88"/>
      <c r="BR66" s="88"/>
    </row>
    <row r="67" spans="1:70" ht="15" customHeight="1" x14ac:dyDescent="0.25">
      <c r="A67" s="83" t="str">
        <f>IF(B67="","",COUNTA($B$10:$B67))</f>
        <v/>
      </c>
      <c r="B67" s="137"/>
      <c r="C67" s="138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61">
        <f>SEKOR!BN60</f>
        <v>0</v>
      </c>
      <c r="BM67" s="61">
        <f>SEKOR!BO60</f>
        <v>0</v>
      </c>
      <c r="BN67" s="62" t="str">
        <f>SEKOR!BP60</f>
        <v/>
      </c>
      <c r="BO67" s="62" t="str">
        <f>SEKOR!BQ60</f>
        <v/>
      </c>
      <c r="BP67" s="63" t="str">
        <f>SEKOR!BT60</f>
        <v/>
      </c>
      <c r="BQ67" s="88"/>
      <c r="BR67" s="88"/>
    </row>
    <row r="68" spans="1:70" ht="15" customHeight="1" x14ac:dyDescent="0.25">
      <c r="A68" s="83" t="str">
        <f>IF(B68="","",COUNTA($B$10:$B68))</f>
        <v/>
      </c>
      <c r="B68" s="137"/>
      <c r="C68" s="138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61">
        <f>SEKOR!BN61</f>
        <v>0</v>
      </c>
      <c r="BM68" s="61">
        <f>SEKOR!BO61</f>
        <v>0</v>
      </c>
      <c r="BN68" s="62" t="str">
        <f>SEKOR!BP61</f>
        <v/>
      </c>
      <c r="BO68" s="62" t="str">
        <f>SEKOR!BQ61</f>
        <v/>
      </c>
      <c r="BP68" s="63" t="str">
        <f>SEKOR!BT61</f>
        <v/>
      </c>
      <c r="BQ68" s="88"/>
      <c r="BR68" s="88"/>
    </row>
    <row r="69" spans="1:70" ht="15" customHeight="1" x14ac:dyDescent="0.25">
      <c r="A69" s="83" t="str">
        <f>IF(B69="","",COUNTA($B$10:$B69))</f>
        <v/>
      </c>
      <c r="B69" s="137"/>
      <c r="C69" s="138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61">
        <f>SEKOR!BN62</f>
        <v>0</v>
      </c>
      <c r="BM69" s="61">
        <f>SEKOR!BO62</f>
        <v>0</v>
      </c>
      <c r="BN69" s="62" t="str">
        <f>SEKOR!BP62</f>
        <v/>
      </c>
      <c r="BO69" s="62" t="str">
        <f>SEKOR!BQ62</f>
        <v/>
      </c>
      <c r="BP69" s="63" t="str">
        <f>SEKOR!BT62</f>
        <v/>
      </c>
      <c r="BQ69" s="88"/>
      <c r="BR69" s="88"/>
    </row>
    <row r="70" spans="1:70" ht="15" customHeight="1" x14ac:dyDescent="0.25">
      <c r="A70" s="83" t="str">
        <f>IF(B70="","",COUNTA($B$10:$B70))</f>
        <v/>
      </c>
      <c r="B70" s="137"/>
      <c r="C70" s="138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61">
        <f>SEKOR!BN63</f>
        <v>0</v>
      </c>
      <c r="BM70" s="61">
        <f>SEKOR!BO63</f>
        <v>0</v>
      </c>
      <c r="BN70" s="62" t="str">
        <f>SEKOR!BP63</f>
        <v/>
      </c>
      <c r="BO70" s="62" t="str">
        <f>SEKOR!BQ63</f>
        <v/>
      </c>
      <c r="BP70" s="63" t="str">
        <f>SEKOR!BT63</f>
        <v/>
      </c>
      <c r="BQ70" s="88"/>
      <c r="BR70" s="88"/>
    </row>
    <row r="71" spans="1:70" ht="15" customHeight="1" x14ac:dyDescent="0.25">
      <c r="A71" s="83" t="str">
        <f>IF(B71="","",COUNTA($B$10:$B71))</f>
        <v/>
      </c>
      <c r="B71" s="137"/>
      <c r="C71" s="138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61">
        <f>SEKOR!BN64</f>
        <v>0</v>
      </c>
      <c r="BM71" s="61">
        <f>SEKOR!BO64</f>
        <v>0</v>
      </c>
      <c r="BN71" s="62" t="str">
        <f>SEKOR!BP64</f>
        <v/>
      </c>
      <c r="BO71" s="62" t="str">
        <f>SEKOR!BQ64</f>
        <v/>
      </c>
      <c r="BP71" s="63" t="str">
        <f>SEKOR!BT64</f>
        <v/>
      </c>
      <c r="BQ71" s="88"/>
      <c r="BR71" s="88"/>
    </row>
    <row r="72" spans="1:70" ht="15" customHeight="1" x14ac:dyDescent="0.25">
      <c r="A72" s="83" t="str">
        <f>IF(B72="","",COUNTA($B$10:$B72))</f>
        <v/>
      </c>
      <c r="B72" s="137"/>
      <c r="C72" s="138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61">
        <f>SEKOR!BN65</f>
        <v>0</v>
      </c>
      <c r="BM72" s="61">
        <f>SEKOR!BO65</f>
        <v>0</v>
      </c>
      <c r="BN72" s="62" t="str">
        <f>SEKOR!BP65</f>
        <v/>
      </c>
      <c r="BO72" s="62" t="str">
        <f>SEKOR!BQ65</f>
        <v/>
      </c>
      <c r="BP72" s="63" t="str">
        <f>SEKOR!BT65</f>
        <v/>
      </c>
      <c r="BQ72" s="88"/>
      <c r="BR72" s="88"/>
    </row>
    <row r="73" spans="1:70" ht="15" customHeight="1" x14ac:dyDescent="0.25">
      <c r="A73" s="83" t="str">
        <f>IF(B73="","",COUNTA($B$10:$B73))</f>
        <v/>
      </c>
      <c r="B73" s="137"/>
      <c r="C73" s="138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61">
        <f>SEKOR!BN66</f>
        <v>0</v>
      </c>
      <c r="BM73" s="61">
        <f>SEKOR!BO66</f>
        <v>0</v>
      </c>
      <c r="BN73" s="62" t="str">
        <f>SEKOR!BP66</f>
        <v/>
      </c>
      <c r="BO73" s="62" t="str">
        <f>SEKOR!BQ66</f>
        <v/>
      </c>
      <c r="BP73" s="63" t="str">
        <f>SEKOR!BT66</f>
        <v/>
      </c>
      <c r="BQ73" s="88"/>
      <c r="BR73" s="88"/>
    </row>
    <row r="74" spans="1:70" ht="15" customHeight="1" x14ac:dyDescent="0.25">
      <c r="A74" s="83" t="str">
        <f>IF(B74="","",COUNTA($B$10:$B74))</f>
        <v/>
      </c>
      <c r="B74" s="137"/>
      <c r="C74" s="138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61">
        <f>SEKOR!BN67</f>
        <v>0</v>
      </c>
      <c r="BM74" s="61">
        <f>SEKOR!BO67</f>
        <v>0</v>
      </c>
      <c r="BN74" s="62" t="str">
        <f>SEKOR!BP67</f>
        <v/>
      </c>
      <c r="BO74" s="62" t="str">
        <f>SEKOR!BQ67</f>
        <v/>
      </c>
      <c r="BP74" s="63" t="str">
        <f>SEKOR!BT67</f>
        <v/>
      </c>
      <c r="BQ74" s="88"/>
      <c r="BR74" s="88"/>
    </row>
    <row r="75" spans="1:70" ht="15" customHeight="1" x14ac:dyDescent="0.25">
      <c r="A75" s="83" t="str">
        <f>IF(B75="","",COUNTA($B$10:$B75))</f>
        <v/>
      </c>
      <c r="B75" s="137"/>
      <c r="C75" s="138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61">
        <f>SEKOR!BN68</f>
        <v>0</v>
      </c>
      <c r="BM75" s="61">
        <f>SEKOR!BO68</f>
        <v>0</v>
      </c>
      <c r="BN75" s="62" t="str">
        <f>SEKOR!BP68</f>
        <v/>
      </c>
      <c r="BO75" s="62" t="str">
        <f>SEKOR!BQ68</f>
        <v/>
      </c>
      <c r="BP75" s="63" t="str">
        <f>SEKOR!BT68</f>
        <v/>
      </c>
      <c r="BQ75" s="88"/>
      <c r="BR75" s="88"/>
    </row>
    <row r="76" spans="1:70" ht="15" customHeight="1" x14ac:dyDescent="0.25">
      <c r="A76" s="83" t="str">
        <f>IF(B76="","",COUNTA($B$10:$B76))</f>
        <v/>
      </c>
      <c r="B76" s="137"/>
      <c r="C76" s="138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61">
        <f>SEKOR!BN69</f>
        <v>0</v>
      </c>
      <c r="BM76" s="61">
        <f>SEKOR!BO69</f>
        <v>0</v>
      </c>
      <c r="BN76" s="62" t="str">
        <f>SEKOR!BP69</f>
        <v/>
      </c>
      <c r="BO76" s="62" t="str">
        <f>SEKOR!BQ69</f>
        <v/>
      </c>
      <c r="BP76" s="63" t="str">
        <f>SEKOR!BT69</f>
        <v/>
      </c>
      <c r="BQ76" s="88"/>
      <c r="BR76" s="88"/>
    </row>
    <row r="77" spans="1:70" ht="15" customHeight="1" x14ac:dyDescent="0.25">
      <c r="A77" s="83" t="str">
        <f>IF(B77="","",COUNTA($B$10:$B77))</f>
        <v/>
      </c>
      <c r="B77" s="137"/>
      <c r="C77" s="138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61">
        <f>SEKOR!BN70</f>
        <v>0</v>
      </c>
      <c r="BM77" s="61">
        <f>SEKOR!BO70</f>
        <v>0</v>
      </c>
      <c r="BN77" s="62" t="str">
        <f>SEKOR!BP70</f>
        <v/>
      </c>
      <c r="BO77" s="62" t="str">
        <f>SEKOR!BQ70</f>
        <v/>
      </c>
      <c r="BP77" s="63" t="str">
        <f>SEKOR!BT70</f>
        <v/>
      </c>
      <c r="BQ77" s="88"/>
      <c r="BR77" s="88"/>
    </row>
    <row r="78" spans="1:70" ht="15" customHeight="1" x14ac:dyDescent="0.25">
      <c r="A78" s="83" t="str">
        <f>IF(B78="","",COUNTA($B$10:$B78))</f>
        <v/>
      </c>
      <c r="B78" s="137"/>
      <c r="C78" s="138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61">
        <f>SEKOR!BN71</f>
        <v>0</v>
      </c>
      <c r="BM78" s="61">
        <f>SEKOR!BO71</f>
        <v>0</v>
      </c>
      <c r="BN78" s="62" t="str">
        <f>SEKOR!BP71</f>
        <v/>
      </c>
      <c r="BO78" s="62" t="str">
        <f>SEKOR!BQ71</f>
        <v/>
      </c>
      <c r="BP78" s="63" t="str">
        <f>SEKOR!BT71</f>
        <v/>
      </c>
      <c r="BQ78" s="88"/>
      <c r="BR78" s="88"/>
    </row>
    <row r="79" spans="1:70" ht="15" customHeight="1" x14ac:dyDescent="0.25">
      <c r="A79" s="83" t="str">
        <f>IF(B79="","",COUNTA($B$10:$B79))</f>
        <v/>
      </c>
      <c r="B79" s="137"/>
      <c r="C79" s="138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61">
        <f>SEKOR!BN72</f>
        <v>0</v>
      </c>
      <c r="BM79" s="61">
        <f>SEKOR!BO72</f>
        <v>0</v>
      </c>
      <c r="BN79" s="62" t="str">
        <f>SEKOR!BP72</f>
        <v/>
      </c>
      <c r="BO79" s="62" t="str">
        <f>SEKOR!BQ72</f>
        <v/>
      </c>
      <c r="BP79" s="63" t="str">
        <f>SEKOR!BT72</f>
        <v/>
      </c>
      <c r="BQ79" s="88"/>
      <c r="BR79" s="88"/>
    </row>
    <row r="80" spans="1:70" ht="15" customHeight="1" x14ac:dyDescent="0.25">
      <c r="A80" s="83" t="str">
        <f>IF(B80="","",COUNTA($B$10:$B80))</f>
        <v/>
      </c>
      <c r="B80" s="137"/>
      <c r="C80" s="138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61">
        <f>SEKOR!BN73</f>
        <v>0</v>
      </c>
      <c r="BM80" s="61">
        <f>SEKOR!BO73</f>
        <v>0</v>
      </c>
      <c r="BN80" s="62" t="str">
        <f>SEKOR!BP73</f>
        <v/>
      </c>
      <c r="BO80" s="62" t="str">
        <f>SEKOR!BQ73</f>
        <v/>
      </c>
      <c r="BP80" s="63" t="str">
        <f>SEKOR!BT73</f>
        <v/>
      </c>
      <c r="BQ80" s="88"/>
      <c r="BR80" s="88"/>
    </row>
    <row r="81" spans="1:70" ht="15" customHeight="1" x14ac:dyDescent="0.25">
      <c r="A81" s="83" t="str">
        <f>IF(B81="","",COUNTA($B$10:$B81))</f>
        <v/>
      </c>
      <c r="B81" s="137"/>
      <c r="C81" s="138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61">
        <f>SEKOR!BN74</f>
        <v>0</v>
      </c>
      <c r="BM81" s="61">
        <f>SEKOR!BO74</f>
        <v>0</v>
      </c>
      <c r="BN81" s="62" t="str">
        <f>SEKOR!BP74</f>
        <v/>
      </c>
      <c r="BO81" s="62" t="str">
        <f>SEKOR!BQ74</f>
        <v/>
      </c>
      <c r="BP81" s="63" t="str">
        <f>SEKOR!BT74</f>
        <v/>
      </c>
      <c r="BQ81" s="88"/>
      <c r="BR81" s="88"/>
    </row>
    <row r="82" spans="1:70" ht="15" customHeight="1" x14ac:dyDescent="0.25">
      <c r="A82" s="83" t="str">
        <f>IF(B82="","",COUNTA($B$10:$B82))</f>
        <v/>
      </c>
      <c r="B82" s="137"/>
      <c r="C82" s="138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61">
        <f>SEKOR!BN75</f>
        <v>0</v>
      </c>
      <c r="BM82" s="61">
        <f>SEKOR!BO75</f>
        <v>0</v>
      </c>
      <c r="BN82" s="62" t="str">
        <f>SEKOR!BP75</f>
        <v/>
      </c>
      <c r="BO82" s="62" t="str">
        <f>SEKOR!BQ75</f>
        <v/>
      </c>
      <c r="BP82" s="63" t="str">
        <f>SEKOR!BT75</f>
        <v/>
      </c>
      <c r="BQ82" s="88"/>
      <c r="BR82" s="88"/>
    </row>
    <row r="83" spans="1:70" ht="15" customHeight="1" x14ac:dyDescent="0.25">
      <c r="A83" s="83" t="str">
        <f>IF(B83="","",COUNTA($B$10:$B83))</f>
        <v/>
      </c>
      <c r="B83" s="137"/>
      <c r="C83" s="138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61">
        <f>SEKOR!BN76</f>
        <v>0</v>
      </c>
      <c r="BM83" s="61">
        <f>SEKOR!BO76</f>
        <v>0</v>
      </c>
      <c r="BN83" s="62" t="str">
        <f>SEKOR!BP76</f>
        <v/>
      </c>
      <c r="BO83" s="62" t="str">
        <f>SEKOR!BQ76</f>
        <v/>
      </c>
      <c r="BP83" s="63" t="str">
        <f>SEKOR!BT76</f>
        <v/>
      </c>
      <c r="BQ83" s="88"/>
      <c r="BR83" s="88"/>
    </row>
    <row r="84" spans="1:70" ht="15" customHeight="1" x14ac:dyDescent="0.25">
      <c r="A84" s="83" t="str">
        <f>IF(B84="","",COUNTA($B$10:$B84))</f>
        <v/>
      </c>
      <c r="B84" s="137"/>
      <c r="C84" s="138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61">
        <f>SEKOR!BN77</f>
        <v>0</v>
      </c>
      <c r="BM84" s="61">
        <f>SEKOR!BO77</f>
        <v>0</v>
      </c>
      <c r="BN84" s="62" t="str">
        <f>SEKOR!BP77</f>
        <v/>
      </c>
      <c r="BO84" s="62" t="str">
        <f>SEKOR!BQ77</f>
        <v/>
      </c>
      <c r="BP84" s="63" t="str">
        <f>SEKOR!BT77</f>
        <v/>
      </c>
      <c r="BQ84" s="88"/>
      <c r="BR84" s="88"/>
    </row>
    <row r="85" spans="1:70" ht="15" customHeight="1" x14ac:dyDescent="0.25">
      <c r="A85" s="83" t="str">
        <f>IF(B85="","",COUNTA($B$10:$B85))</f>
        <v/>
      </c>
      <c r="B85" s="137"/>
      <c r="C85" s="138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61">
        <f>SEKOR!BN78</f>
        <v>0</v>
      </c>
      <c r="BM85" s="61">
        <f>SEKOR!BO78</f>
        <v>0</v>
      </c>
      <c r="BN85" s="62" t="str">
        <f>SEKOR!BP78</f>
        <v/>
      </c>
      <c r="BO85" s="62" t="str">
        <f>SEKOR!BQ78</f>
        <v/>
      </c>
      <c r="BP85" s="63" t="str">
        <f>SEKOR!BT78</f>
        <v/>
      </c>
      <c r="BQ85" s="88"/>
      <c r="BR85" s="88"/>
    </row>
    <row r="86" spans="1:70" ht="15" customHeight="1" x14ac:dyDescent="0.25">
      <c r="A86" s="83" t="str">
        <f>IF(B86="","",COUNTA($B$10:$B86))</f>
        <v/>
      </c>
      <c r="B86" s="137"/>
      <c r="C86" s="138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61">
        <f>SEKOR!BN79</f>
        <v>0</v>
      </c>
      <c r="BM86" s="61">
        <f>SEKOR!BO79</f>
        <v>0</v>
      </c>
      <c r="BN86" s="62" t="str">
        <f>SEKOR!BP79</f>
        <v/>
      </c>
      <c r="BO86" s="62" t="str">
        <f>SEKOR!BQ79</f>
        <v/>
      </c>
      <c r="BP86" s="63" t="str">
        <f>SEKOR!BT79</f>
        <v/>
      </c>
      <c r="BQ86" s="88"/>
      <c r="BR86" s="88"/>
    </row>
    <row r="87" spans="1:70" ht="15" customHeight="1" x14ac:dyDescent="0.25">
      <c r="A87" s="83" t="str">
        <f>IF(B87="","",COUNTA($B$10:$B87))</f>
        <v/>
      </c>
      <c r="B87" s="137"/>
      <c r="C87" s="138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61">
        <f>SEKOR!BN80</f>
        <v>0</v>
      </c>
      <c r="BM87" s="61">
        <f>SEKOR!BO80</f>
        <v>0</v>
      </c>
      <c r="BN87" s="62" t="str">
        <f>SEKOR!BP80</f>
        <v/>
      </c>
      <c r="BO87" s="62" t="str">
        <f>SEKOR!BQ80</f>
        <v/>
      </c>
      <c r="BP87" s="63" t="str">
        <f>SEKOR!BT80</f>
        <v/>
      </c>
      <c r="BQ87" s="88"/>
      <c r="BR87" s="88"/>
    </row>
    <row r="88" spans="1:70" ht="15" customHeight="1" x14ac:dyDescent="0.25">
      <c r="A88" s="83" t="str">
        <f>IF(B88="","",COUNTA($B$10:$B88))</f>
        <v/>
      </c>
      <c r="B88" s="137"/>
      <c r="C88" s="138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61">
        <f>SEKOR!BN81</f>
        <v>0</v>
      </c>
      <c r="BM88" s="61">
        <f>SEKOR!BO81</f>
        <v>0</v>
      </c>
      <c r="BN88" s="62" t="str">
        <f>SEKOR!BP81</f>
        <v/>
      </c>
      <c r="BO88" s="62" t="str">
        <f>SEKOR!BQ81</f>
        <v/>
      </c>
      <c r="BP88" s="63" t="str">
        <f>SEKOR!BT81</f>
        <v/>
      </c>
      <c r="BQ88" s="88"/>
      <c r="BR88" s="88"/>
    </row>
    <row r="89" spans="1:70" ht="15" customHeight="1" x14ac:dyDescent="0.25">
      <c r="A89" s="83" t="str">
        <f>IF(B89="","",COUNTA($B$10:$B89))</f>
        <v/>
      </c>
      <c r="B89" s="137"/>
      <c r="C89" s="138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61">
        <f>SEKOR!BN82</f>
        <v>0</v>
      </c>
      <c r="BM89" s="61">
        <f>SEKOR!BO82</f>
        <v>0</v>
      </c>
      <c r="BN89" s="62" t="str">
        <f>SEKOR!BP82</f>
        <v/>
      </c>
      <c r="BO89" s="62" t="str">
        <f>SEKOR!BQ82</f>
        <v/>
      </c>
      <c r="BP89" s="63" t="str">
        <f>SEKOR!BT82</f>
        <v/>
      </c>
      <c r="BQ89" s="88"/>
      <c r="BR89" s="88"/>
    </row>
    <row r="90" spans="1:70" ht="15" customHeight="1" x14ac:dyDescent="0.25">
      <c r="A90" s="83" t="str">
        <f>IF(B90="","",COUNTA($B$10:$B90))</f>
        <v/>
      </c>
      <c r="B90" s="137"/>
      <c r="C90" s="138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61">
        <f>SEKOR!BN83</f>
        <v>0</v>
      </c>
      <c r="BM90" s="61">
        <f>SEKOR!BO83</f>
        <v>0</v>
      </c>
      <c r="BN90" s="62" t="str">
        <f>SEKOR!BP83</f>
        <v/>
      </c>
      <c r="BO90" s="62" t="str">
        <f>SEKOR!BQ83</f>
        <v/>
      </c>
      <c r="BP90" s="63" t="str">
        <f>SEKOR!BT83</f>
        <v/>
      </c>
      <c r="BQ90" s="88"/>
      <c r="BR90" s="88"/>
    </row>
    <row r="91" spans="1:70" ht="15" customHeight="1" x14ac:dyDescent="0.25">
      <c r="A91" s="83" t="str">
        <f>IF(B91="","",COUNTA($B$10:$B91))</f>
        <v/>
      </c>
      <c r="B91" s="137"/>
      <c r="C91" s="138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61">
        <f>SEKOR!BN84</f>
        <v>0</v>
      </c>
      <c r="BM91" s="61">
        <f>SEKOR!BO84</f>
        <v>0</v>
      </c>
      <c r="BN91" s="62" t="str">
        <f>SEKOR!BP84</f>
        <v/>
      </c>
      <c r="BO91" s="62" t="str">
        <f>SEKOR!BQ84</f>
        <v/>
      </c>
      <c r="BP91" s="63" t="str">
        <f>SEKOR!BT84</f>
        <v/>
      </c>
      <c r="BQ91" s="88"/>
      <c r="BR91" s="88"/>
    </row>
    <row r="92" spans="1:70" ht="15" customHeight="1" x14ac:dyDescent="0.25">
      <c r="A92" s="83" t="str">
        <f>IF(B92="","",COUNTA($B$10:$B92))</f>
        <v/>
      </c>
      <c r="B92" s="137"/>
      <c r="C92" s="138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61">
        <f>SEKOR!BN85</f>
        <v>0</v>
      </c>
      <c r="BM92" s="61">
        <f>SEKOR!BO85</f>
        <v>0</v>
      </c>
      <c r="BN92" s="62" t="str">
        <f>SEKOR!BP85</f>
        <v/>
      </c>
      <c r="BO92" s="62" t="str">
        <f>SEKOR!BQ85</f>
        <v/>
      </c>
      <c r="BP92" s="63" t="str">
        <f>SEKOR!BT85</f>
        <v/>
      </c>
      <c r="BQ92" s="88"/>
      <c r="BR92" s="88"/>
    </row>
    <row r="93" spans="1:70" ht="15" customHeight="1" x14ac:dyDescent="0.25">
      <c r="A93" s="83" t="str">
        <f>IF(B93="","",COUNTA($B$10:$B93))</f>
        <v/>
      </c>
      <c r="B93" s="137"/>
      <c r="C93" s="138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61">
        <f>SEKOR!BN86</f>
        <v>0</v>
      </c>
      <c r="BM93" s="61">
        <f>SEKOR!BO86</f>
        <v>0</v>
      </c>
      <c r="BN93" s="62" t="str">
        <f>SEKOR!BP86</f>
        <v/>
      </c>
      <c r="BO93" s="62" t="str">
        <f>SEKOR!BQ86</f>
        <v/>
      </c>
      <c r="BP93" s="63" t="str">
        <f>SEKOR!BT86</f>
        <v/>
      </c>
      <c r="BQ93" s="88"/>
      <c r="BR93" s="88"/>
    </row>
    <row r="94" spans="1:70" ht="15" customHeight="1" x14ac:dyDescent="0.25">
      <c r="A94" s="83" t="str">
        <f>IF(B94="","",COUNTA($B$10:$B94))</f>
        <v/>
      </c>
      <c r="B94" s="137"/>
      <c r="C94" s="138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61">
        <f>SEKOR!BN87</f>
        <v>0</v>
      </c>
      <c r="BM94" s="61">
        <f>SEKOR!BO87</f>
        <v>0</v>
      </c>
      <c r="BN94" s="62" t="str">
        <f>SEKOR!BP87</f>
        <v/>
      </c>
      <c r="BO94" s="62" t="str">
        <f>SEKOR!BQ87</f>
        <v/>
      </c>
      <c r="BP94" s="63" t="str">
        <f>SEKOR!BT87</f>
        <v/>
      </c>
      <c r="BQ94" s="88"/>
      <c r="BR94" s="88"/>
    </row>
    <row r="95" spans="1:70" ht="15" customHeight="1" x14ac:dyDescent="0.25">
      <c r="A95" s="83" t="str">
        <f>IF(B95="","",COUNTA($B$10:$B95))</f>
        <v/>
      </c>
      <c r="B95" s="137"/>
      <c r="C95" s="138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61">
        <f>SEKOR!BN88</f>
        <v>0</v>
      </c>
      <c r="BM95" s="61">
        <f>SEKOR!BO88</f>
        <v>0</v>
      </c>
      <c r="BN95" s="62" t="str">
        <f>SEKOR!BP88</f>
        <v/>
      </c>
      <c r="BO95" s="62" t="str">
        <f>SEKOR!BQ88</f>
        <v/>
      </c>
      <c r="BP95" s="63" t="str">
        <f>SEKOR!BT88</f>
        <v/>
      </c>
      <c r="BQ95" s="88"/>
      <c r="BR95" s="88"/>
    </row>
    <row r="96" spans="1:70" ht="15" customHeight="1" x14ac:dyDescent="0.25">
      <c r="A96" s="83" t="str">
        <f>IF(B96="","",COUNTA($B$10:$B96))</f>
        <v/>
      </c>
      <c r="B96" s="137"/>
      <c r="C96" s="138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61">
        <f>SEKOR!BN89</f>
        <v>0</v>
      </c>
      <c r="BM96" s="61">
        <f>SEKOR!BO89</f>
        <v>0</v>
      </c>
      <c r="BN96" s="62" t="str">
        <f>SEKOR!BP89</f>
        <v/>
      </c>
      <c r="BO96" s="62" t="str">
        <f>SEKOR!BQ89</f>
        <v/>
      </c>
      <c r="BP96" s="63" t="str">
        <f>SEKOR!BT89</f>
        <v/>
      </c>
      <c r="BQ96" s="88"/>
      <c r="BR96" s="88"/>
    </row>
    <row r="97" spans="1:70" ht="15" customHeight="1" x14ac:dyDescent="0.25">
      <c r="A97" s="83" t="str">
        <f>IF(B97="","",COUNTA($B$10:$B97))</f>
        <v/>
      </c>
      <c r="B97" s="137"/>
      <c r="C97" s="138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61">
        <f>SEKOR!BN90</f>
        <v>0</v>
      </c>
      <c r="BM97" s="61">
        <f>SEKOR!BO90</f>
        <v>0</v>
      </c>
      <c r="BN97" s="62" t="str">
        <f>SEKOR!BP90</f>
        <v/>
      </c>
      <c r="BO97" s="62" t="str">
        <f>SEKOR!BQ90</f>
        <v/>
      </c>
      <c r="BP97" s="63" t="str">
        <f>SEKOR!BT90</f>
        <v/>
      </c>
      <c r="BQ97" s="88"/>
      <c r="BR97" s="88"/>
    </row>
    <row r="98" spans="1:70" ht="15" customHeight="1" x14ac:dyDescent="0.25">
      <c r="A98" s="83" t="str">
        <f>IF(B98="","",COUNTA($B$10:$B98))</f>
        <v/>
      </c>
      <c r="B98" s="137"/>
      <c r="C98" s="138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61">
        <f>SEKOR!BN91</f>
        <v>0</v>
      </c>
      <c r="BM98" s="61">
        <f>SEKOR!BO91</f>
        <v>0</v>
      </c>
      <c r="BN98" s="62" t="str">
        <f>SEKOR!BP91</f>
        <v/>
      </c>
      <c r="BO98" s="62" t="str">
        <f>SEKOR!BQ91</f>
        <v/>
      </c>
      <c r="BP98" s="63" t="str">
        <f>SEKOR!BT91</f>
        <v/>
      </c>
      <c r="BQ98" s="88"/>
      <c r="BR98" s="88"/>
    </row>
    <row r="99" spans="1:70" ht="15" customHeight="1" x14ac:dyDescent="0.25">
      <c r="A99" s="83" t="str">
        <f>IF(B99="","",COUNTA($B$10:$B99))</f>
        <v/>
      </c>
      <c r="B99" s="137"/>
      <c r="C99" s="138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61">
        <f>SEKOR!BN92</f>
        <v>0</v>
      </c>
      <c r="BM99" s="61">
        <f>SEKOR!BO92</f>
        <v>0</v>
      </c>
      <c r="BN99" s="62" t="str">
        <f>SEKOR!BP92</f>
        <v/>
      </c>
      <c r="BO99" s="62" t="str">
        <f>SEKOR!BQ92</f>
        <v/>
      </c>
      <c r="BP99" s="63" t="str">
        <f>SEKOR!BT92</f>
        <v/>
      </c>
      <c r="BQ99" s="88"/>
      <c r="BR99" s="88"/>
    </row>
    <row r="100" spans="1:70" ht="15" customHeight="1" x14ac:dyDescent="0.25">
      <c r="A100" s="83" t="str">
        <f>IF(B100="","",COUNTA($B$10:$B100))</f>
        <v/>
      </c>
      <c r="B100" s="137"/>
      <c r="C100" s="138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61">
        <f>SEKOR!BN93</f>
        <v>0</v>
      </c>
      <c r="BM100" s="61">
        <f>SEKOR!BO93</f>
        <v>0</v>
      </c>
      <c r="BN100" s="62" t="str">
        <f>SEKOR!BP93</f>
        <v/>
      </c>
      <c r="BO100" s="62" t="str">
        <f>SEKOR!BQ93</f>
        <v/>
      </c>
      <c r="BP100" s="63" t="str">
        <f>SEKOR!BT93</f>
        <v/>
      </c>
      <c r="BQ100" s="88"/>
      <c r="BR100" s="88"/>
    </row>
    <row r="101" spans="1:70" ht="15" customHeight="1" x14ac:dyDescent="0.25">
      <c r="A101" s="83" t="str">
        <f>IF(B101="","",COUNTA($B$10:$B101))</f>
        <v/>
      </c>
      <c r="B101" s="137"/>
      <c r="C101" s="138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61">
        <f>SEKOR!BN94</f>
        <v>0</v>
      </c>
      <c r="BM101" s="61">
        <f>SEKOR!BO94</f>
        <v>0</v>
      </c>
      <c r="BN101" s="62" t="str">
        <f>SEKOR!BP94</f>
        <v/>
      </c>
      <c r="BO101" s="62" t="str">
        <f>SEKOR!BQ94</f>
        <v/>
      </c>
      <c r="BP101" s="63" t="str">
        <f>SEKOR!BT94</f>
        <v/>
      </c>
      <c r="BQ101" s="88"/>
      <c r="BR101" s="88"/>
    </row>
    <row r="102" spans="1:70" ht="15" customHeight="1" x14ac:dyDescent="0.25">
      <c r="A102" s="83" t="str">
        <f>IF(B102="","",COUNTA($B$10:$B102))</f>
        <v/>
      </c>
      <c r="B102" s="137"/>
      <c r="C102" s="138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61">
        <f>SEKOR!BN95</f>
        <v>0</v>
      </c>
      <c r="BM102" s="61">
        <f>SEKOR!BO95</f>
        <v>0</v>
      </c>
      <c r="BN102" s="62" t="str">
        <f>SEKOR!BP95</f>
        <v/>
      </c>
      <c r="BO102" s="62" t="str">
        <f>SEKOR!BQ95</f>
        <v/>
      </c>
      <c r="BP102" s="63" t="str">
        <f>SEKOR!BT95</f>
        <v/>
      </c>
      <c r="BQ102" s="88"/>
      <c r="BR102" s="88"/>
    </row>
    <row r="103" spans="1:70" ht="15" customHeight="1" x14ac:dyDescent="0.25">
      <c r="A103" s="83" t="str">
        <f>IF(B103="","",COUNTA($B$10:$B103))</f>
        <v/>
      </c>
      <c r="B103" s="137"/>
      <c r="C103" s="138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61">
        <f>SEKOR!BN96</f>
        <v>0</v>
      </c>
      <c r="BM103" s="61">
        <f>SEKOR!BO96</f>
        <v>0</v>
      </c>
      <c r="BN103" s="62" t="str">
        <f>SEKOR!BP96</f>
        <v/>
      </c>
      <c r="BO103" s="62" t="str">
        <f>SEKOR!BQ96</f>
        <v/>
      </c>
      <c r="BP103" s="63" t="str">
        <f>SEKOR!BT96</f>
        <v/>
      </c>
      <c r="BQ103" s="88"/>
      <c r="BR103" s="88"/>
    </row>
    <row r="104" spans="1:70" ht="15" customHeight="1" x14ac:dyDescent="0.25">
      <c r="A104" s="83" t="str">
        <f>IF(B104="","",COUNTA($B$10:$B104))</f>
        <v/>
      </c>
      <c r="B104" s="137"/>
      <c r="C104" s="138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61">
        <f>SEKOR!BN97</f>
        <v>0</v>
      </c>
      <c r="BM104" s="61">
        <f>SEKOR!BO97</f>
        <v>0</v>
      </c>
      <c r="BN104" s="62" t="str">
        <f>SEKOR!BP97</f>
        <v/>
      </c>
      <c r="BO104" s="62" t="str">
        <f>SEKOR!BQ97</f>
        <v/>
      </c>
      <c r="BP104" s="63" t="str">
        <f>SEKOR!BT97</f>
        <v/>
      </c>
      <c r="BQ104" s="88"/>
      <c r="BR104" s="88"/>
    </row>
    <row r="105" spans="1:70" ht="15" customHeight="1" x14ac:dyDescent="0.25">
      <c r="A105" s="83" t="str">
        <f>IF(B105="","",COUNTA($B$10:$B105))</f>
        <v/>
      </c>
      <c r="B105" s="137"/>
      <c r="C105" s="138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61">
        <f>SEKOR!BN98</f>
        <v>0</v>
      </c>
      <c r="BM105" s="61">
        <f>SEKOR!BO98</f>
        <v>0</v>
      </c>
      <c r="BN105" s="62" t="str">
        <f>SEKOR!BP98</f>
        <v/>
      </c>
      <c r="BO105" s="62" t="str">
        <f>SEKOR!BQ98</f>
        <v/>
      </c>
      <c r="BP105" s="63" t="str">
        <f>SEKOR!BT98</f>
        <v/>
      </c>
      <c r="BQ105" s="88"/>
      <c r="BR105" s="88"/>
    </row>
    <row r="106" spans="1:70" ht="15" customHeight="1" x14ac:dyDescent="0.25">
      <c r="A106" s="83" t="str">
        <f>IF(B106="","",COUNTA($B$10:$B106))</f>
        <v/>
      </c>
      <c r="B106" s="137"/>
      <c r="C106" s="138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61">
        <f>SEKOR!BN99</f>
        <v>0</v>
      </c>
      <c r="BM106" s="61">
        <f>SEKOR!BO99</f>
        <v>0</v>
      </c>
      <c r="BN106" s="62" t="str">
        <f>SEKOR!BP99</f>
        <v/>
      </c>
      <c r="BO106" s="62" t="str">
        <f>SEKOR!BQ99</f>
        <v/>
      </c>
      <c r="BP106" s="63" t="str">
        <f>SEKOR!BT99</f>
        <v/>
      </c>
      <c r="BQ106" s="88"/>
      <c r="BR106" s="88"/>
    </row>
    <row r="107" spans="1:70" ht="15" customHeight="1" x14ac:dyDescent="0.25">
      <c r="A107" s="83" t="str">
        <f>IF(B107="","",COUNTA($B$10:$B107))</f>
        <v/>
      </c>
      <c r="B107" s="137"/>
      <c r="C107" s="138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61">
        <f>SEKOR!BN100</f>
        <v>0</v>
      </c>
      <c r="BM107" s="61">
        <f>SEKOR!BO100</f>
        <v>0</v>
      </c>
      <c r="BN107" s="62" t="str">
        <f>SEKOR!BP100</f>
        <v/>
      </c>
      <c r="BO107" s="62" t="str">
        <f>SEKOR!BQ100</f>
        <v/>
      </c>
      <c r="BP107" s="63" t="str">
        <f>SEKOR!BT100</f>
        <v/>
      </c>
      <c r="BQ107" s="88"/>
      <c r="BR107" s="88"/>
    </row>
    <row r="108" spans="1:70" ht="15" customHeight="1" x14ac:dyDescent="0.25">
      <c r="A108" s="83" t="str">
        <f>IF(B108="","",COUNTA($B$10:$B108))</f>
        <v/>
      </c>
      <c r="B108" s="137"/>
      <c r="C108" s="138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61">
        <f>SEKOR!BN101</f>
        <v>0</v>
      </c>
      <c r="BM108" s="61">
        <f>SEKOR!BO101</f>
        <v>0</v>
      </c>
      <c r="BN108" s="62" t="str">
        <f>SEKOR!BP101</f>
        <v/>
      </c>
      <c r="BO108" s="62" t="str">
        <f>SEKOR!BQ101</f>
        <v/>
      </c>
      <c r="BP108" s="63" t="str">
        <f>SEKOR!BT101</f>
        <v/>
      </c>
      <c r="BQ108" s="88"/>
      <c r="BR108" s="88"/>
    </row>
    <row r="109" spans="1:70" ht="15" customHeight="1" x14ac:dyDescent="0.25">
      <c r="A109" s="83" t="str">
        <f>IF(B109="","",COUNTA($B$10:$B109))</f>
        <v/>
      </c>
      <c r="B109" s="137"/>
      <c r="C109" s="138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  <c r="AH109" s="141"/>
      <c r="AI109" s="141"/>
      <c r="AJ109" s="141"/>
      <c r="AK109" s="141"/>
      <c r="AL109" s="141"/>
      <c r="AM109" s="141"/>
      <c r="AN109" s="141"/>
      <c r="AO109" s="141"/>
      <c r="AP109" s="141"/>
      <c r="AQ109" s="141"/>
      <c r="AR109" s="141"/>
      <c r="AS109" s="141"/>
      <c r="AT109" s="141"/>
      <c r="AU109" s="141"/>
      <c r="AV109" s="141"/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61">
        <f>SEKOR!BN102</f>
        <v>0</v>
      </c>
      <c r="BM109" s="61">
        <f>SEKOR!BO102</f>
        <v>0</v>
      </c>
      <c r="BN109" s="62" t="str">
        <f>SEKOR!BP102</f>
        <v/>
      </c>
      <c r="BO109" s="62" t="str">
        <f>SEKOR!BQ102</f>
        <v/>
      </c>
      <c r="BP109" s="63" t="str">
        <f>SEKOR!BT102</f>
        <v/>
      </c>
      <c r="BQ109" s="88"/>
      <c r="BR109" s="88"/>
    </row>
    <row r="110" spans="1:70" ht="15" customHeight="1" x14ac:dyDescent="0.25">
      <c r="A110" s="83" t="str">
        <f>IF(B110="","",COUNTA($B$10:$B110))</f>
        <v/>
      </c>
      <c r="B110" s="137"/>
      <c r="C110" s="138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  <c r="AH110" s="141"/>
      <c r="AI110" s="141"/>
      <c r="AJ110" s="141"/>
      <c r="AK110" s="141"/>
      <c r="AL110" s="141"/>
      <c r="AM110" s="141"/>
      <c r="AN110" s="141"/>
      <c r="AO110" s="141"/>
      <c r="AP110" s="141"/>
      <c r="AQ110" s="141"/>
      <c r="AR110" s="141"/>
      <c r="AS110" s="141"/>
      <c r="AT110" s="141"/>
      <c r="AU110" s="141"/>
      <c r="AV110" s="141"/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61">
        <f>SEKOR!BN103</f>
        <v>0</v>
      </c>
      <c r="BM110" s="61">
        <f>SEKOR!BO103</f>
        <v>0</v>
      </c>
      <c r="BN110" s="62" t="str">
        <f>SEKOR!BP103</f>
        <v/>
      </c>
      <c r="BO110" s="62" t="str">
        <f>SEKOR!BQ103</f>
        <v/>
      </c>
      <c r="BP110" s="63" t="str">
        <f>SEKOR!BT103</f>
        <v/>
      </c>
      <c r="BQ110" s="88"/>
      <c r="BR110" s="88"/>
    </row>
    <row r="111" spans="1:70" ht="15" customHeight="1" x14ac:dyDescent="0.25">
      <c r="A111" s="83" t="str">
        <f>IF(B111="","",COUNTA($B$10:$B111))</f>
        <v/>
      </c>
      <c r="B111" s="137"/>
      <c r="C111" s="138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  <c r="AH111" s="141"/>
      <c r="AI111" s="141"/>
      <c r="AJ111" s="141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/>
      <c r="AV111" s="141"/>
      <c r="AW111" s="141"/>
      <c r="AX111" s="141"/>
      <c r="AY111" s="141"/>
      <c r="AZ111" s="141"/>
      <c r="BA111" s="141"/>
      <c r="BB111" s="141"/>
      <c r="BC111" s="141"/>
      <c r="BD111" s="141"/>
      <c r="BE111" s="141"/>
      <c r="BF111" s="141"/>
      <c r="BG111" s="141"/>
      <c r="BH111" s="141"/>
      <c r="BI111" s="141"/>
      <c r="BJ111" s="141"/>
      <c r="BK111" s="141"/>
      <c r="BL111" s="61">
        <f>SEKOR!BN104</f>
        <v>0</v>
      </c>
      <c r="BM111" s="61">
        <f>SEKOR!BO104</f>
        <v>0</v>
      </c>
      <c r="BN111" s="62" t="str">
        <f>SEKOR!BP104</f>
        <v/>
      </c>
      <c r="BO111" s="62" t="str">
        <f>SEKOR!BQ104</f>
        <v/>
      </c>
      <c r="BP111" s="63" t="str">
        <f>SEKOR!BT104</f>
        <v/>
      </c>
      <c r="BQ111" s="88"/>
      <c r="BR111" s="88"/>
    </row>
    <row r="112" spans="1:70" ht="15" customHeight="1" x14ac:dyDescent="0.25">
      <c r="A112" s="83" t="str">
        <f>IF(B112="","",COUNTA($B$10:$B112))</f>
        <v/>
      </c>
      <c r="B112" s="137"/>
      <c r="C112" s="138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  <c r="AH112" s="141"/>
      <c r="AI112" s="141"/>
      <c r="AJ112" s="141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/>
      <c r="AV112" s="141"/>
      <c r="AW112" s="141"/>
      <c r="AX112" s="141"/>
      <c r="AY112" s="141"/>
      <c r="AZ112" s="141"/>
      <c r="BA112" s="141"/>
      <c r="BB112" s="141"/>
      <c r="BC112" s="141"/>
      <c r="BD112" s="141"/>
      <c r="BE112" s="141"/>
      <c r="BF112" s="141"/>
      <c r="BG112" s="141"/>
      <c r="BH112" s="141"/>
      <c r="BI112" s="141"/>
      <c r="BJ112" s="141"/>
      <c r="BK112" s="141"/>
      <c r="BL112" s="61">
        <f>SEKOR!BN105</f>
        <v>0</v>
      </c>
      <c r="BM112" s="61">
        <f>SEKOR!BO105</f>
        <v>0</v>
      </c>
      <c r="BN112" s="62" t="str">
        <f>SEKOR!BP105</f>
        <v/>
      </c>
      <c r="BO112" s="62" t="str">
        <f>SEKOR!BQ105</f>
        <v/>
      </c>
      <c r="BP112" s="63" t="str">
        <f>SEKOR!BT105</f>
        <v/>
      </c>
      <c r="BQ112" s="88"/>
      <c r="BR112" s="88"/>
    </row>
    <row r="113" spans="1:70" ht="15" customHeight="1" x14ac:dyDescent="0.25">
      <c r="A113" s="83" t="str">
        <f>IF(B113="","",COUNTA($B$10:$B113))</f>
        <v/>
      </c>
      <c r="B113" s="137"/>
      <c r="C113" s="138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  <c r="AH113" s="141"/>
      <c r="AI113" s="141"/>
      <c r="AJ113" s="141"/>
      <c r="AK113" s="141"/>
      <c r="AL113" s="141"/>
      <c r="AM113" s="141"/>
      <c r="AN113" s="141"/>
      <c r="AO113" s="141"/>
      <c r="AP113" s="141"/>
      <c r="AQ113" s="141"/>
      <c r="AR113" s="141"/>
      <c r="AS113" s="141"/>
      <c r="AT113" s="141"/>
      <c r="AU113" s="141"/>
      <c r="AV113" s="141"/>
      <c r="AW113" s="141"/>
      <c r="AX113" s="141"/>
      <c r="AY113" s="141"/>
      <c r="AZ113" s="141"/>
      <c r="BA113" s="141"/>
      <c r="BB113" s="141"/>
      <c r="BC113" s="141"/>
      <c r="BD113" s="141"/>
      <c r="BE113" s="141"/>
      <c r="BF113" s="141"/>
      <c r="BG113" s="141"/>
      <c r="BH113" s="141"/>
      <c r="BI113" s="141"/>
      <c r="BJ113" s="141"/>
      <c r="BK113" s="141"/>
      <c r="BL113" s="61">
        <f>SEKOR!BN106</f>
        <v>0</v>
      </c>
      <c r="BM113" s="61">
        <f>SEKOR!BO106</f>
        <v>0</v>
      </c>
      <c r="BN113" s="62" t="str">
        <f>SEKOR!BP106</f>
        <v/>
      </c>
      <c r="BO113" s="62" t="str">
        <f>SEKOR!BQ106</f>
        <v/>
      </c>
      <c r="BP113" s="63" t="str">
        <f>SEKOR!BT106</f>
        <v/>
      </c>
      <c r="BQ113" s="88"/>
      <c r="BR113" s="88"/>
    </row>
    <row r="114" spans="1:70" ht="15" customHeight="1" x14ac:dyDescent="0.25">
      <c r="A114" s="83" t="str">
        <f>IF(B114="","",COUNTA($B$10:$B114))</f>
        <v/>
      </c>
      <c r="B114" s="137"/>
      <c r="C114" s="138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  <c r="AH114" s="141"/>
      <c r="AI114" s="141"/>
      <c r="AJ114" s="141"/>
      <c r="AK114" s="141"/>
      <c r="AL114" s="141"/>
      <c r="AM114" s="141"/>
      <c r="AN114" s="141"/>
      <c r="AO114" s="141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/>
      <c r="BA114" s="141"/>
      <c r="BB114" s="141"/>
      <c r="BC114" s="141"/>
      <c r="BD114" s="141"/>
      <c r="BE114" s="141"/>
      <c r="BF114" s="141"/>
      <c r="BG114" s="141"/>
      <c r="BH114" s="141"/>
      <c r="BI114" s="141"/>
      <c r="BJ114" s="141"/>
      <c r="BK114" s="141"/>
      <c r="BL114" s="61">
        <f>SEKOR!BN107</f>
        <v>0</v>
      </c>
      <c r="BM114" s="61">
        <f>SEKOR!BO107</f>
        <v>0</v>
      </c>
      <c r="BN114" s="62" t="str">
        <f>SEKOR!BP107</f>
        <v/>
      </c>
      <c r="BO114" s="62" t="str">
        <f>SEKOR!BQ107</f>
        <v/>
      </c>
      <c r="BP114" s="63" t="str">
        <f>SEKOR!BT107</f>
        <v/>
      </c>
      <c r="BQ114" s="88"/>
      <c r="BR114" s="88"/>
    </row>
    <row r="115" spans="1:70" ht="15" customHeight="1" x14ac:dyDescent="0.25">
      <c r="A115" s="83" t="str">
        <f>IF(B115="","",COUNTA($B$10:$B115))</f>
        <v/>
      </c>
      <c r="B115" s="137"/>
      <c r="C115" s="138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  <c r="AH115" s="141"/>
      <c r="AI115" s="141"/>
      <c r="AJ115" s="141"/>
      <c r="AK115" s="141"/>
      <c r="AL115" s="141"/>
      <c r="AM115" s="141"/>
      <c r="AN115" s="141"/>
      <c r="AO115" s="141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/>
      <c r="BA115" s="141"/>
      <c r="BB115" s="141"/>
      <c r="BC115" s="141"/>
      <c r="BD115" s="141"/>
      <c r="BE115" s="141"/>
      <c r="BF115" s="141"/>
      <c r="BG115" s="141"/>
      <c r="BH115" s="141"/>
      <c r="BI115" s="141"/>
      <c r="BJ115" s="141"/>
      <c r="BK115" s="141"/>
      <c r="BL115" s="61">
        <f>SEKOR!BN108</f>
        <v>0</v>
      </c>
      <c r="BM115" s="61">
        <f>SEKOR!BO108</f>
        <v>0</v>
      </c>
      <c r="BN115" s="62" t="str">
        <f>SEKOR!BP108</f>
        <v/>
      </c>
      <c r="BO115" s="62" t="str">
        <f>SEKOR!BQ108</f>
        <v/>
      </c>
      <c r="BP115" s="63" t="str">
        <f>SEKOR!BT108</f>
        <v/>
      </c>
      <c r="BQ115" s="88"/>
      <c r="BR115" s="88"/>
    </row>
    <row r="116" spans="1:70" ht="15" customHeight="1" x14ac:dyDescent="0.25">
      <c r="A116" s="83" t="str">
        <f>IF(B116="","",COUNTA($B$10:$B116))</f>
        <v/>
      </c>
      <c r="B116" s="137"/>
      <c r="C116" s="138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  <c r="AH116" s="141"/>
      <c r="AI116" s="141"/>
      <c r="AJ116" s="141"/>
      <c r="AK116" s="141"/>
      <c r="AL116" s="141"/>
      <c r="AM116" s="141"/>
      <c r="AN116" s="141"/>
      <c r="AO116" s="141"/>
      <c r="AP116" s="141"/>
      <c r="AQ116" s="141"/>
      <c r="AR116" s="141"/>
      <c r="AS116" s="141"/>
      <c r="AT116" s="141"/>
      <c r="AU116" s="141"/>
      <c r="AV116" s="141"/>
      <c r="AW116" s="141"/>
      <c r="AX116" s="141"/>
      <c r="AY116" s="141"/>
      <c r="AZ116" s="141"/>
      <c r="BA116" s="141"/>
      <c r="BB116" s="141"/>
      <c r="BC116" s="141"/>
      <c r="BD116" s="141"/>
      <c r="BE116" s="141"/>
      <c r="BF116" s="141"/>
      <c r="BG116" s="141"/>
      <c r="BH116" s="141"/>
      <c r="BI116" s="141"/>
      <c r="BJ116" s="141"/>
      <c r="BK116" s="141"/>
      <c r="BL116" s="61">
        <f>SEKOR!BN109</f>
        <v>0</v>
      </c>
      <c r="BM116" s="61">
        <f>SEKOR!BO109</f>
        <v>0</v>
      </c>
      <c r="BN116" s="62" t="str">
        <f>SEKOR!BP109</f>
        <v/>
      </c>
      <c r="BO116" s="62" t="str">
        <f>SEKOR!BQ109</f>
        <v/>
      </c>
      <c r="BP116" s="63" t="str">
        <f>SEKOR!BT109</f>
        <v/>
      </c>
      <c r="BQ116" s="88"/>
      <c r="BR116" s="88"/>
    </row>
    <row r="117" spans="1:70" ht="15" customHeight="1" x14ac:dyDescent="0.25">
      <c r="A117" s="83" t="str">
        <f>IF(B117="","",COUNTA($B$10:$B117))</f>
        <v/>
      </c>
      <c r="B117" s="137"/>
      <c r="C117" s="138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  <c r="AH117" s="141"/>
      <c r="AI117" s="141"/>
      <c r="AJ117" s="141"/>
      <c r="AK117" s="141"/>
      <c r="AL117" s="141"/>
      <c r="AM117" s="141"/>
      <c r="AN117" s="141"/>
      <c r="AO117" s="141"/>
      <c r="AP117" s="141"/>
      <c r="AQ117" s="141"/>
      <c r="AR117" s="141"/>
      <c r="AS117" s="141"/>
      <c r="AT117" s="141"/>
      <c r="AU117" s="141"/>
      <c r="AV117" s="141"/>
      <c r="AW117" s="141"/>
      <c r="AX117" s="141"/>
      <c r="AY117" s="141"/>
      <c r="AZ117" s="141"/>
      <c r="BA117" s="141"/>
      <c r="BB117" s="141"/>
      <c r="BC117" s="141"/>
      <c r="BD117" s="141"/>
      <c r="BE117" s="141"/>
      <c r="BF117" s="141"/>
      <c r="BG117" s="141"/>
      <c r="BH117" s="141"/>
      <c r="BI117" s="141"/>
      <c r="BJ117" s="141"/>
      <c r="BK117" s="141"/>
      <c r="BL117" s="61">
        <f>SEKOR!BN110</f>
        <v>0</v>
      </c>
      <c r="BM117" s="61">
        <f>SEKOR!BO110</f>
        <v>0</v>
      </c>
      <c r="BN117" s="62" t="str">
        <f>SEKOR!BP110</f>
        <v/>
      </c>
      <c r="BO117" s="62" t="str">
        <f>SEKOR!BQ110</f>
        <v/>
      </c>
      <c r="BP117" s="63" t="str">
        <f>SEKOR!BT110</f>
        <v/>
      </c>
      <c r="BQ117" s="88"/>
      <c r="BR117" s="88"/>
    </row>
    <row r="118" spans="1:70" ht="15" customHeight="1" x14ac:dyDescent="0.25">
      <c r="A118" s="83" t="str">
        <f>IF(B118="","",COUNTA($B$10:$B118))</f>
        <v/>
      </c>
      <c r="B118" s="137"/>
      <c r="C118" s="138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  <c r="AH118" s="141"/>
      <c r="AI118" s="141"/>
      <c r="AJ118" s="141"/>
      <c r="AK118" s="141"/>
      <c r="AL118" s="141"/>
      <c r="AM118" s="141"/>
      <c r="AN118" s="141"/>
      <c r="AO118" s="141"/>
      <c r="AP118" s="141"/>
      <c r="AQ118" s="141"/>
      <c r="AR118" s="141"/>
      <c r="AS118" s="141"/>
      <c r="AT118" s="141"/>
      <c r="AU118" s="141"/>
      <c r="AV118" s="141"/>
      <c r="AW118" s="141"/>
      <c r="AX118" s="141"/>
      <c r="AY118" s="141"/>
      <c r="AZ118" s="141"/>
      <c r="BA118" s="141"/>
      <c r="BB118" s="141"/>
      <c r="BC118" s="141"/>
      <c r="BD118" s="141"/>
      <c r="BE118" s="141"/>
      <c r="BF118" s="141"/>
      <c r="BG118" s="141"/>
      <c r="BH118" s="141"/>
      <c r="BI118" s="141"/>
      <c r="BJ118" s="141"/>
      <c r="BK118" s="141"/>
      <c r="BL118" s="61">
        <f>SEKOR!BN111</f>
        <v>0</v>
      </c>
      <c r="BM118" s="61">
        <f>SEKOR!BO111</f>
        <v>0</v>
      </c>
      <c r="BN118" s="62" t="str">
        <f>SEKOR!BP111</f>
        <v/>
      </c>
      <c r="BO118" s="62" t="str">
        <f>SEKOR!BQ111</f>
        <v/>
      </c>
      <c r="BP118" s="63" t="str">
        <f>SEKOR!BT111</f>
        <v/>
      </c>
      <c r="BQ118" s="88"/>
      <c r="BR118" s="88"/>
    </row>
    <row r="119" spans="1:70" ht="15" customHeight="1" x14ac:dyDescent="0.25">
      <c r="A119" s="83" t="str">
        <f>IF(B119="","",COUNTA($B$10:$B119))</f>
        <v/>
      </c>
      <c r="B119" s="137"/>
      <c r="C119" s="138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  <c r="AH119" s="141"/>
      <c r="AI119" s="141"/>
      <c r="AJ119" s="141"/>
      <c r="AK119" s="141"/>
      <c r="AL119" s="141"/>
      <c r="AM119" s="141"/>
      <c r="AN119" s="141"/>
      <c r="AO119" s="141"/>
      <c r="AP119" s="141"/>
      <c r="AQ119" s="141"/>
      <c r="AR119" s="141"/>
      <c r="AS119" s="141"/>
      <c r="AT119" s="141"/>
      <c r="AU119" s="141"/>
      <c r="AV119" s="141"/>
      <c r="AW119" s="141"/>
      <c r="AX119" s="141"/>
      <c r="AY119" s="141"/>
      <c r="AZ119" s="141"/>
      <c r="BA119" s="141"/>
      <c r="BB119" s="141"/>
      <c r="BC119" s="141"/>
      <c r="BD119" s="141"/>
      <c r="BE119" s="141"/>
      <c r="BF119" s="141"/>
      <c r="BG119" s="141"/>
      <c r="BH119" s="141"/>
      <c r="BI119" s="141"/>
      <c r="BJ119" s="141"/>
      <c r="BK119" s="141"/>
      <c r="BL119" s="61">
        <f>SEKOR!BN112</f>
        <v>0</v>
      </c>
      <c r="BM119" s="61">
        <f>SEKOR!BO112</f>
        <v>0</v>
      </c>
      <c r="BN119" s="62" t="str">
        <f>SEKOR!BP112</f>
        <v/>
      </c>
      <c r="BO119" s="62" t="str">
        <f>SEKOR!BQ112</f>
        <v/>
      </c>
      <c r="BP119" s="63" t="str">
        <f>SEKOR!BT112</f>
        <v/>
      </c>
      <c r="BQ119" s="88"/>
      <c r="BR119" s="88"/>
    </row>
    <row r="120" spans="1:70" ht="15" customHeight="1" x14ac:dyDescent="0.25">
      <c r="A120" s="83" t="str">
        <f>IF(B120="","",COUNTA($B$10:$B120))</f>
        <v/>
      </c>
      <c r="B120" s="137"/>
      <c r="C120" s="138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  <c r="AH120" s="141"/>
      <c r="AI120" s="141"/>
      <c r="AJ120" s="141"/>
      <c r="AK120" s="141"/>
      <c r="AL120" s="141"/>
      <c r="AM120" s="141"/>
      <c r="AN120" s="141"/>
      <c r="AO120" s="141"/>
      <c r="AP120" s="141"/>
      <c r="AQ120" s="141"/>
      <c r="AR120" s="141"/>
      <c r="AS120" s="141"/>
      <c r="AT120" s="141"/>
      <c r="AU120" s="141"/>
      <c r="AV120" s="141"/>
      <c r="AW120" s="141"/>
      <c r="AX120" s="141"/>
      <c r="AY120" s="141"/>
      <c r="AZ120" s="141"/>
      <c r="BA120" s="141"/>
      <c r="BB120" s="141"/>
      <c r="BC120" s="141"/>
      <c r="BD120" s="141"/>
      <c r="BE120" s="141"/>
      <c r="BF120" s="141"/>
      <c r="BG120" s="141"/>
      <c r="BH120" s="141"/>
      <c r="BI120" s="141"/>
      <c r="BJ120" s="141"/>
      <c r="BK120" s="141"/>
      <c r="BL120" s="61">
        <f>SEKOR!BN113</f>
        <v>0</v>
      </c>
      <c r="BM120" s="61">
        <f>SEKOR!BO113</f>
        <v>0</v>
      </c>
      <c r="BN120" s="62" t="str">
        <f>SEKOR!BP113</f>
        <v/>
      </c>
      <c r="BO120" s="62" t="str">
        <f>SEKOR!BQ113</f>
        <v/>
      </c>
      <c r="BP120" s="63" t="str">
        <f>SEKOR!BT113</f>
        <v/>
      </c>
      <c r="BQ120" s="88"/>
      <c r="BR120" s="88"/>
    </row>
    <row r="121" spans="1:70" ht="15" customHeight="1" x14ac:dyDescent="0.25">
      <c r="A121" s="83" t="str">
        <f>IF(B121="","",COUNTA($B$10:$B121))</f>
        <v/>
      </c>
      <c r="B121" s="137"/>
      <c r="C121" s="138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  <c r="AH121" s="141"/>
      <c r="AI121" s="141"/>
      <c r="AJ121" s="141"/>
      <c r="AK121" s="141"/>
      <c r="AL121" s="141"/>
      <c r="AM121" s="141"/>
      <c r="AN121" s="141"/>
      <c r="AO121" s="141"/>
      <c r="AP121" s="141"/>
      <c r="AQ121" s="141"/>
      <c r="AR121" s="141"/>
      <c r="AS121" s="141"/>
      <c r="AT121" s="141"/>
      <c r="AU121" s="141"/>
      <c r="AV121" s="141"/>
      <c r="AW121" s="141"/>
      <c r="AX121" s="141"/>
      <c r="AY121" s="141"/>
      <c r="AZ121" s="141"/>
      <c r="BA121" s="141"/>
      <c r="BB121" s="141"/>
      <c r="BC121" s="141"/>
      <c r="BD121" s="141"/>
      <c r="BE121" s="141"/>
      <c r="BF121" s="141"/>
      <c r="BG121" s="141"/>
      <c r="BH121" s="141"/>
      <c r="BI121" s="141"/>
      <c r="BJ121" s="141"/>
      <c r="BK121" s="141"/>
      <c r="BL121" s="61">
        <f>SEKOR!BN114</f>
        <v>0</v>
      </c>
      <c r="BM121" s="61">
        <f>SEKOR!BO114</f>
        <v>0</v>
      </c>
      <c r="BN121" s="62" t="str">
        <f>SEKOR!BP114</f>
        <v/>
      </c>
      <c r="BO121" s="62" t="str">
        <f>SEKOR!BQ114</f>
        <v/>
      </c>
      <c r="BP121" s="63" t="str">
        <f>SEKOR!BT114</f>
        <v/>
      </c>
      <c r="BQ121" s="88"/>
      <c r="BR121" s="88"/>
    </row>
    <row r="122" spans="1:70" ht="15" customHeight="1" x14ac:dyDescent="0.25">
      <c r="A122" s="83" t="str">
        <f>IF(B122="","",COUNTA($B$10:$B122))</f>
        <v/>
      </c>
      <c r="B122" s="137"/>
      <c r="C122" s="138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  <c r="AH122" s="141"/>
      <c r="AI122" s="141"/>
      <c r="AJ122" s="141"/>
      <c r="AK122" s="141"/>
      <c r="AL122" s="141"/>
      <c r="AM122" s="141"/>
      <c r="AN122" s="141"/>
      <c r="AO122" s="141"/>
      <c r="AP122" s="141"/>
      <c r="AQ122" s="141"/>
      <c r="AR122" s="141"/>
      <c r="AS122" s="141"/>
      <c r="AT122" s="141"/>
      <c r="AU122" s="141"/>
      <c r="AV122" s="141"/>
      <c r="AW122" s="141"/>
      <c r="AX122" s="141"/>
      <c r="AY122" s="141"/>
      <c r="AZ122" s="141"/>
      <c r="BA122" s="141"/>
      <c r="BB122" s="141"/>
      <c r="BC122" s="141"/>
      <c r="BD122" s="141"/>
      <c r="BE122" s="141"/>
      <c r="BF122" s="141"/>
      <c r="BG122" s="141"/>
      <c r="BH122" s="141"/>
      <c r="BI122" s="141"/>
      <c r="BJ122" s="141"/>
      <c r="BK122" s="141"/>
      <c r="BL122" s="61">
        <f>SEKOR!BN115</f>
        <v>0</v>
      </c>
      <c r="BM122" s="61">
        <f>SEKOR!BO115</f>
        <v>0</v>
      </c>
      <c r="BN122" s="62" t="str">
        <f>SEKOR!BP115</f>
        <v/>
      </c>
      <c r="BO122" s="62" t="str">
        <f>SEKOR!BQ115</f>
        <v/>
      </c>
      <c r="BP122" s="63" t="str">
        <f>SEKOR!BT115</f>
        <v/>
      </c>
      <c r="BQ122" s="88"/>
      <c r="BR122" s="88"/>
    </row>
    <row r="123" spans="1:70" ht="15" customHeight="1" x14ac:dyDescent="0.25">
      <c r="A123" s="83" t="str">
        <f>IF(B123="","",COUNTA($B$10:$B123))</f>
        <v/>
      </c>
      <c r="B123" s="137"/>
      <c r="C123" s="138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  <c r="AH123" s="141"/>
      <c r="AI123" s="141"/>
      <c r="AJ123" s="141"/>
      <c r="AK123" s="141"/>
      <c r="AL123" s="141"/>
      <c r="AM123" s="141"/>
      <c r="AN123" s="141"/>
      <c r="AO123" s="141"/>
      <c r="AP123" s="141"/>
      <c r="AQ123" s="141"/>
      <c r="AR123" s="141"/>
      <c r="AS123" s="141"/>
      <c r="AT123" s="141"/>
      <c r="AU123" s="141"/>
      <c r="AV123" s="141"/>
      <c r="AW123" s="141"/>
      <c r="AX123" s="141"/>
      <c r="AY123" s="141"/>
      <c r="AZ123" s="141"/>
      <c r="BA123" s="141"/>
      <c r="BB123" s="141"/>
      <c r="BC123" s="141"/>
      <c r="BD123" s="141"/>
      <c r="BE123" s="141"/>
      <c r="BF123" s="141"/>
      <c r="BG123" s="141"/>
      <c r="BH123" s="141"/>
      <c r="BI123" s="141"/>
      <c r="BJ123" s="141"/>
      <c r="BK123" s="141"/>
      <c r="BL123" s="61">
        <f>SEKOR!BN116</f>
        <v>0</v>
      </c>
      <c r="BM123" s="61">
        <f>SEKOR!BO116</f>
        <v>0</v>
      </c>
      <c r="BN123" s="62" t="str">
        <f>SEKOR!BP116</f>
        <v/>
      </c>
      <c r="BO123" s="62" t="str">
        <f>SEKOR!BQ116</f>
        <v/>
      </c>
      <c r="BP123" s="63" t="str">
        <f>SEKOR!BT116</f>
        <v/>
      </c>
      <c r="BQ123" s="88"/>
      <c r="BR123" s="88"/>
    </row>
    <row r="124" spans="1:70" ht="15" customHeight="1" x14ac:dyDescent="0.25">
      <c r="A124" s="83" t="str">
        <f>IF(B124="","",COUNTA($B$10:$B124))</f>
        <v/>
      </c>
      <c r="B124" s="137"/>
      <c r="C124" s="138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  <c r="AP124" s="141"/>
      <c r="AQ124" s="141"/>
      <c r="AR124" s="141"/>
      <c r="AS124" s="141"/>
      <c r="AT124" s="141"/>
      <c r="AU124" s="141"/>
      <c r="AV124" s="141"/>
      <c r="AW124" s="141"/>
      <c r="AX124" s="141"/>
      <c r="AY124" s="141"/>
      <c r="AZ124" s="141"/>
      <c r="BA124" s="141"/>
      <c r="BB124" s="141"/>
      <c r="BC124" s="141"/>
      <c r="BD124" s="141"/>
      <c r="BE124" s="141"/>
      <c r="BF124" s="141"/>
      <c r="BG124" s="141"/>
      <c r="BH124" s="141"/>
      <c r="BI124" s="141"/>
      <c r="BJ124" s="141"/>
      <c r="BK124" s="141"/>
      <c r="BL124" s="61">
        <f>SEKOR!BN117</f>
        <v>0</v>
      </c>
      <c r="BM124" s="61">
        <f>SEKOR!BO117</f>
        <v>0</v>
      </c>
      <c r="BN124" s="62" t="str">
        <f>SEKOR!BP117</f>
        <v/>
      </c>
      <c r="BO124" s="62" t="str">
        <f>SEKOR!BQ117</f>
        <v/>
      </c>
      <c r="BP124" s="63" t="str">
        <f>SEKOR!BT117</f>
        <v/>
      </c>
      <c r="BQ124" s="88"/>
      <c r="BR124" s="88"/>
    </row>
    <row r="125" spans="1:70" ht="15" customHeight="1" x14ac:dyDescent="0.25">
      <c r="A125" s="83" t="str">
        <f>IF(B125="","",COUNTA($B$10:$B125))</f>
        <v/>
      </c>
      <c r="B125" s="137"/>
      <c r="C125" s="138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  <c r="AH125" s="141"/>
      <c r="AI125" s="141"/>
      <c r="AJ125" s="141"/>
      <c r="AK125" s="141"/>
      <c r="AL125" s="141"/>
      <c r="AM125" s="141"/>
      <c r="AN125" s="141"/>
      <c r="AO125" s="141"/>
      <c r="AP125" s="141"/>
      <c r="AQ125" s="141"/>
      <c r="AR125" s="141"/>
      <c r="AS125" s="141"/>
      <c r="AT125" s="141"/>
      <c r="AU125" s="141"/>
      <c r="AV125" s="141"/>
      <c r="AW125" s="141"/>
      <c r="AX125" s="141"/>
      <c r="AY125" s="141"/>
      <c r="AZ125" s="141"/>
      <c r="BA125" s="141"/>
      <c r="BB125" s="141"/>
      <c r="BC125" s="141"/>
      <c r="BD125" s="141"/>
      <c r="BE125" s="141"/>
      <c r="BF125" s="141"/>
      <c r="BG125" s="141"/>
      <c r="BH125" s="141"/>
      <c r="BI125" s="141"/>
      <c r="BJ125" s="141"/>
      <c r="BK125" s="141"/>
      <c r="BL125" s="61">
        <f>SEKOR!BN118</f>
        <v>0</v>
      </c>
      <c r="BM125" s="61">
        <f>SEKOR!BO118</f>
        <v>0</v>
      </c>
      <c r="BN125" s="62" t="str">
        <f>SEKOR!BP118</f>
        <v/>
      </c>
      <c r="BO125" s="62" t="str">
        <f>SEKOR!BQ118</f>
        <v/>
      </c>
      <c r="BP125" s="63" t="str">
        <f>SEKOR!BT118</f>
        <v/>
      </c>
      <c r="BQ125" s="88"/>
      <c r="BR125" s="88"/>
    </row>
    <row r="126" spans="1:70" ht="15" customHeight="1" x14ac:dyDescent="0.25">
      <c r="A126" s="83" t="str">
        <f>IF(B126="","",COUNTA($B$10:$B126))</f>
        <v/>
      </c>
      <c r="B126" s="137"/>
      <c r="C126" s="138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  <c r="AH126" s="141"/>
      <c r="AI126" s="141"/>
      <c r="AJ126" s="141"/>
      <c r="AK126" s="141"/>
      <c r="AL126" s="141"/>
      <c r="AM126" s="141"/>
      <c r="AN126" s="141"/>
      <c r="AO126" s="141"/>
      <c r="AP126" s="141"/>
      <c r="AQ126" s="141"/>
      <c r="AR126" s="141"/>
      <c r="AS126" s="141"/>
      <c r="AT126" s="141"/>
      <c r="AU126" s="141"/>
      <c r="AV126" s="141"/>
      <c r="AW126" s="141"/>
      <c r="AX126" s="141"/>
      <c r="AY126" s="141"/>
      <c r="AZ126" s="141"/>
      <c r="BA126" s="141"/>
      <c r="BB126" s="141"/>
      <c r="BC126" s="141"/>
      <c r="BD126" s="141"/>
      <c r="BE126" s="141"/>
      <c r="BF126" s="141"/>
      <c r="BG126" s="141"/>
      <c r="BH126" s="141"/>
      <c r="BI126" s="141"/>
      <c r="BJ126" s="141"/>
      <c r="BK126" s="141"/>
      <c r="BL126" s="61">
        <f>SEKOR!BN119</f>
        <v>0</v>
      </c>
      <c r="BM126" s="61">
        <f>SEKOR!BO119</f>
        <v>0</v>
      </c>
      <c r="BN126" s="62" t="str">
        <f>SEKOR!BP119</f>
        <v/>
      </c>
      <c r="BO126" s="62" t="str">
        <f>SEKOR!BQ119</f>
        <v/>
      </c>
      <c r="BP126" s="63" t="str">
        <f>SEKOR!BT119</f>
        <v/>
      </c>
      <c r="BQ126" s="88"/>
      <c r="BR126" s="88"/>
    </row>
    <row r="127" spans="1:70" ht="15" customHeight="1" x14ac:dyDescent="0.25">
      <c r="A127" s="83" t="str">
        <f>IF(B127="","",COUNTA($B$10:$B127))</f>
        <v/>
      </c>
      <c r="B127" s="137"/>
      <c r="C127" s="138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  <c r="AH127" s="141"/>
      <c r="AI127" s="141"/>
      <c r="AJ127" s="141"/>
      <c r="AK127" s="141"/>
      <c r="AL127" s="141"/>
      <c r="AM127" s="141"/>
      <c r="AN127" s="141"/>
      <c r="AO127" s="141"/>
      <c r="AP127" s="141"/>
      <c r="AQ127" s="141"/>
      <c r="AR127" s="141"/>
      <c r="AS127" s="141"/>
      <c r="AT127" s="141"/>
      <c r="AU127" s="141"/>
      <c r="AV127" s="141"/>
      <c r="AW127" s="141"/>
      <c r="AX127" s="141"/>
      <c r="AY127" s="141"/>
      <c r="AZ127" s="141"/>
      <c r="BA127" s="141"/>
      <c r="BB127" s="141"/>
      <c r="BC127" s="141"/>
      <c r="BD127" s="141"/>
      <c r="BE127" s="141"/>
      <c r="BF127" s="141"/>
      <c r="BG127" s="141"/>
      <c r="BH127" s="141"/>
      <c r="BI127" s="141"/>
      <c r="BJ127" s="141"/>
      <c r="BK127" s="141"/>
      <c r="BL127" s="61">
        <f>SEKOR!BN120</f>
        <v>0</v>
      </c>
      <c r="BM127" s="61">
        <f>SEKOR!BO120</f>
        <v>0</v>
      </c>
      <c r="BN127" s="62" t="str">
        <f>SEKOR!BP120</f>
        <v/>
      </c>
      <c r="BO127" s="62" t="str">
        <f>SEKOR!BQ120</f>
        <v/>
      </c>
      <c r="BP127" s="63" t="str">
        <f>SEKOR!BT120</f>
        <v/>
      </c>
      <c r="BQ127" s="88"/>
      <c r="BR127" s="88"/>
    </row>
    <row r="128" spans="1:70" ht="15" customHeight="1" x14ac:dyDescent="0.25">
      <c r="A128" s="83" t="str">
        <f>IF(B128="","",COUNTA($B$10:$B128))</f>
        <v/>
      </c>
      <c r="B128" s="137"/>
      <c r="C128" s="138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  <c r="AH128" s="141"/>
      <c r="AI128" s="141"/>
      <c r="AJ128" s="141"/>
      <c r="AK128" s="141"/>
      <c r="AL128" s="141"/>
      <c r="AM128" s="141"/>
      <c r="AN128" s="141"/>
      <c r="AO128" s="141"/>
      <c r="AP128" s="141"/>
      <c r="AQ128" s="141"/>
      <c r="AR128" s="141"/>
      <c r="AS128" s="141"/>
      <c r="AT128" s="141"/>
      <c r="AU128" s="141"/>
      <c r="AV128" s="141"/>
      <c r="AW128" s="141"/>
      <c r="AX128" s="141"/>
      <c r="AY128" s="141"/>
      <c r="AZ128" s="141"/>
      <c r="BA128" s="141"/>
      <c r="BB128" s="141"/>
      <c r="BC128" s="141"/>
      <c r="BD128" s="141"/>
      <c r="BE128" s="141"/>
      <c r="BF128" s="141"/>
      <c r="BG128" s="141"/>
      <c r="BH128" s="141"/>
      <c r="BI128" s="141"/>
      <c r="BJ128" s="141"/>
      <c r="BK128" s="141"/>
      <c r="BL128" s="61">
        <f>SEKOR!BN121</f>
        <v>0</v>
      </c>
      <c r="BM128" s="61">
        <f>SEKOR!BO121</f>
        <v>0</v>
      </c>
      <c r="BN128" s="62" t="str">
        <f>SEKOR!BP121</f>
        <v/>
      </c>
      <c r="BO128" s="62" t="str">
        <f>SEKOR!BQ121</f>
        <v/>
      </c>
      <c r="BP128" s="63" t="str">
        <f>SEKOR!BT121</f>
        <v/>
      </c>
      <c r="BQ128" s="88"/>
      <c r="BR128" s="88"/>
    </row>
    <row r="129" spans="1:70" ht="15" customHeight="1" x14ac:dyDescent="0.25">
      <c r="A129" s="83" t="str">
        <f>IF(B129="","",COUNTA($B$10:$B129))</f>
        <v/>
      </c>
      <c r="B129" s="137"/>
      <c r="C129" s="138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  <c r="AH129" s="141"/>
      <c r="AI129" s="141"/>
      <c r="AJ129" s="141"/>
      <c r="AK129" s="141"/>
      <c r="AL129" s="141"/>
      <c r="AM129" s="141"/>
      <c r="AN129" s="141"/>
      <c r="AO129" s="141"/>
      <c r="AP129" s="141"/>
      <c r="AQ129" s="141"/>
      <c r="AR129" s="141"/>
      <c r="AS129" s="141"/>
      <c r="AT129" s="141"/>
      <c r="AU129" s="141"/>
      <c r="AV129" s="141"/>
      <c r="AW129" s="141"/>
      <c r="AX129" s="141"/>
      <c r="AY129" s="141"/>
      <c r="AZ129" s="141"/>
      <c r="BA129" s="141"/>
      <c r="BB129" s="141"/>
      <c r="BC129" s="141"/>
      <c r="BD129" s="141"/>
      <c r="BE129" s="141"/>
      <c r="BF129" s="141"/>
      <c r="BG129" s="141"/>
      <c r="BH129" s="141"/>
      <c r="BI129" s="141"/>
      <c r="BJ129" s="141"/>
      <c r="BK129" s="141"/>
      <c r="BL129" s="61">
        <f>SEKOR!BN122</f>
        <v>0</v>
      </c>
      <c r="BM129" s="61">
        <f>SEKOR!BO122</f>
        <v>0</v>
      </c>
      <c r="BN129" s="62" t="str">
        <f>SEKOR!BP122</f>
        <v/>
      </c>
      <c r="BO129" s="62" t="str">
        <f>SEKOR!BQ122</f>
        <v/>
      </c>
      <c r="BP129" s="63" t="str">
        <f>SEKOR!BT122</f>
        <v/>
      </c>
      <c r="BQ129" s="88"/>
      <c r="BR129" s="88"/>
    </row>
    <row r="130" spans="1:70" ht="15" customHeight="1" x14ac:dyDescent="0.25">
      <c r="A130" s="83" t="str">
        <f>IF(B130="","",COUNTA($B$10:$B130))</f>
        <v/>
      </c>
      <c r="B130" s="137"/>
      <c r="C130" s="138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  <c r="AH130" s="141"/>
      <c r="AI130" s="141"/>
      <c r="AJ130" s="141"/>
      <c r="AK130" s="141"/>
      <c r="AL130" s="141"/>
      <c r="AM130" s="141"/>
      <c r="AN130" s="141"/>
      <c r="AO130" s="141"/>
      <c r="AP130" s="141"/>
      <c r="AQ130" s="141"/>
      <c r="AR130" s="141"/>
      <c r="AS130" s="141"/>
      <c r="AT130" s="141"/>
      <c r="AU130" s="141"/>
      <c r="AV130" s="141"/>
      <c r="AW130" s="141"/>
      <c r="AX130" s="141"/>
      <c r="AY130" s="141"/>
      <c r="AZ130" s="141"/>
      <c r="BA130" s="141"/>
      <c r="BB130" s="141"/>
      <c r="BC130" s="141"/>
      <c r="BD130" s="141"/>
      <c r="BE130" s="141"/>
      <c r="BF130" s="141"/>
      <c r="BG130" s="141"/>
      <c r="BH130" s="141"/>
      <c r="BI130" s="141"/>
      <c r="BJ130" s="141"/>
      <c r="BK130" s="141"/>
      <c r="BL130" s="61">
        <f>SEKOR!BN123</f>
        <v>0</v>
      </c>
      <c r="BM130" s="61">
        <f>SEKOR!BO123</f>
        <v>0</v>
      </c>
      <c r="BN130" s="62" t="str">
        <f>SEKOR!BP123</f>
        <v/>
      </c>
      <c r="BO130" s="62" t="str">
        <f>SEKOR!BQ123</f>
        <v/>
      </c>
      <c r="BP130" s="63" t="str">
        <f>SEKOR!BT123</f>
        <v/>
      </c>
      <c r="BQ130" s="88"/>
      <c r="BR130" s="88"/>
    </row>
    <row r="131" spans="1:70" ht="15" customHeight="1" x14ac:dyDescent="0.25">
      <c r="A131" s="83" t="str">
        <f>IF(B131="","",COUNTA($B$10:$B131))</f>
        <v/>
      </c>
      <c r="B131" s="137"/>
      <c r="C131" s="138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  <c r="AH131" s="141"/>
      <c r="AI131" s="141"/>
      <c r="AJ131" s="141"/>
      <c r="AK131" s="141"/>
      <c r="AL131" s="141"/>
      <c r="AM131" s="141"/>
      <c r="AN131" s="141"/>
      <c r="AO131" s="141"/>
      <c r="AP131" s="141"/>
      <c r="AQ131" s="141"/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  <c r="BJ131" s="141"/>
      <c r="BK131" s="141"/>
      <c r="BL131" s="61">
        <f>SEKOR!BN124</f>
        <v>0</v>
      </c>
      <c r="BM131" s="61">
        <f>SEKOR!BO124</f>
        <v>0</v>
      </c>
      <c r="BN131" s="62" t="str">
        <f>SEKOR!BP124</f>
        <v/>
      </c>
      <c r="BO131" s="62" t="str">
        <f>SEKOR!BQ124</f>
        <v/>
      </c>
      <c r="BP131" s="63" t="str">
        <f>SEKOR!BT124</f>
        <v/>
      </c>
      <c r="BQ131" s="88"/>
      <c r="BR131" s="88"/>
    </row>
    <row r="132" spans="1:70" ht="15" customHeight="1" x14ac:dyDescent="0.25">
      <c r="A132" s="83" t="str">
        <f>IF(B132="","",COUNTA($B$10:$B132))</f>
        <v/>
      </c>
      <c r="B132" s="137"/>
      <c r="C132" s="138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  <c r="AH132" s="141"/>
      <c r="AI132" s="141"/>
      <c r="AJ132" s="141"/>
      <c r="AK132" s="141"/>
      <c r="AL132" s="141"/>
      <c r="AM132" s="141"/>
      <c r="AN132" s="141"/>
      <c r="AO132" s="141"/>
      <c r="AP132" s="141"/>
      <c r="AQ132" s="141"/>
      <c r="AR132" s="141"/>
      <c r="AS132" s="141"/>
      <c r="AT132" s="141"/>
      <c r="AU132" s="141"/>
      <c r="AV132" s="141"/>
      <c r="AW132" s="141"/>
      <c r="AX132" s="141"/>
      <c r="AY132" s="141"/>
      <c r="AZ132" s="141"/>
      <c r="BA132" s="141"/>
      <c r="BB132" s="141"/>
      <c r="BC132" s="141"/>
      <c r="BD132" s="141"/>
      <c r="BE132" s="141"/>
      <c r="BF132" s="141"/>
      <c r="BG132" s="141"/>
      <c r="BH132" s="141"/>
      <c r="BI132" s="141"/>
      <c r="BJ132" s="141"/>
      <c r="BK132" s="141"/>
      <c r="BL132" s="61">
        <f>SEKOR!BN125</f>
        <v>0</v>
      </c>
      <c r="BM132" s="61">
        <f>SEKOR!BO125</f>
        <v>0</v>
      </c>
      <c r="BN132" s="62" t="str">
        <f>SEKOR!BP125</f>
        <v/>
      </c>
      <c r="BO132" s="62" t="str">
        <f>SEKOR!BQ125</f>
        <v/>
      </c>
      <c r="BP132" s="63" t="str">
        <f>SEKOR!BT125</f>
        <v/>
      </c>
      <c r="BQ132" s="88"/>
      <c r="BR132" s="88"/>
    </row>
    <row r="133" spans="1:70" ht="15" customHeight="1" x14ac:dyDescent="0.25">
      <c r="A133" s="83" t="str">
        <f>IF(B133="","",COUNTA($B$10:$B133))</f>
        <v/>
      </c>
      <c r="B133" s="137"/>
      <c r="C133" s="138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  <c r="AH133" s="141"/>
      <c r="AI133" s="141"/>
      <c r="AJ133" s="141"/>
      <c r="AK133" s="141"/>
      <c r="AL133" s="141"/>
      <c r="AM133" s="141"/>
      <c r="AN133" s="141"/>
      <c r="AO133" s="141"/>
      <c r="AP133" s="141"/>
      <c r="AQ133" s="141"/>
      <c r="AR133" s="141"/>
      <c r="AS133" s="141"/>
      <c r="AT133" s="141"/>
      <c r="AU133" s="141"/>
      <c r="AV133" s="141"/>
      <c r="AW133" s="141"/>
      <c r="AX133" s="141"/>
      <c r="AY133" s="141"/>
      <c r="AZ133" s="141"/>
      <c r="BA133" s="141"/>
      <c r="BB133" s="141"/>
      <c r="BC133" s="141"/>
      <c r="BD133" s="141"/>
      <c r="BE133" s="141"/>
      <c r="BF133" s="141"/>
      <c r="BG133" s="141"/>
      <c r="BH133" s="141"/>
      <c r="BI133" s="141"/>
      <c r="BJ133" s="141"/>
      <c r="BK133" s="141"/>
      <c r="BL133" s="61">
        <f>SEKOR!BN126</f>
        <v>0</v>
      </c>
      <c r="BM133" s="61">
        <f>SEKOR!BO126</f>
        <v>0</v>
      </c>
      <c r="BN133" s="62" t="str">
        <f>SEKOR!BP126</f>
        <v/>
      </c>
      <c r="BO133" s="62" t="str">
        <f>SEKOR!BQ126</f>
        <v/>
      </c>
      <c r="BP133" s="63" t="str">
        <f>SEKOR!BT126</f>
        <v/>
      </c>
      <c r="BQ133" s="88"/>
      <c r="BR133" s="88"/>
    </row>
    <row r="134" spans="1:70" ht="15" customHeight="1" x14ac:dyDescent="0.25">
      <c r="A134" s="83" t="str">
        <f>IF(B134="","",COUNTA($B$10:$B134))</f>
        <v/>
      </c>
      <c r="B134" s="137"/>
      <c r="C134" s="138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  <c r="AH134" s="141"/>
      <c r="AI134" s="141"/>
      <c r="AJ134" s="141"/>
      <c r="AK134" s="141"/>
      <c r="AL134" s="141"/>
      <c r="AM134" s="141"/>
      <c r="AN134" s="141"/>
      <c r="AO134" s="141"/>
      <c r="AP134" s="141"/>
      <c r="AQ134" s="141"/>
      <c r="AR134" s="141"/>
      <c r="AS134" s="141"/>
      <c r="AT134" s="141"/>
      <c r="AU134" s="141"/>
      <c r="AV134" s="141"/>
      <c r="AW134" s="141"/>
      <c r="AX134" s="141"/>
      <c r="AY134" s="141"/>
      <c r="AZ134" s="141"/>
      <c r="BA134" s="141"/>
      <c r="BB134" s="141"/>
      <c r="BC134" s="141"/>
      <c r="BD134" s="141"/>
      <c r="BE134" s="141"/>
      <c r="BF134" s="141"/>
      <c r="BG134" s="141"/>
      <c r="BH134" s="141"/>
      <c r="BI134" s="141"/>
      <c r="BJ134" s="141"/>
      <c r="BK134" s="141"/>
      <c r="BL134" s="61">
        <f>SEKOR!BN127</f>
        <v>0</v>
      </c>
      <c r="BM134" s="61">
        <f>SEKOR!BO127</f>
        <v>0</v>
      </c>
      <c r="BN134" s="62" t="str">
        <f>SEKOR!BP127</f>
        <v/>
      </c>
      <c r="BO134" s="62" t="str">
        <f>SEKOR!BQ127</f>
        <v/>
      </c>
      <c r="BP134" s="63" t="str">
        <f>SEKOR!BT127</f>
        <v/>
      </c>
      <c r="BQ134" s="88"/>
      <c r="BR134" s="88"/>
    </row>
    <row r="135" spans="1:70" ht="15" customHeight="1" x14ac:dyDescent="0.25">
      <c r="A135" s="83" t="str">
        <f>IF(B135="","",COUNTA($B$10:$B135))</f>
        <v/>
      </c>
      <c r="B135" s="137"/>
      <c r="C135" s="138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  <c r="AH135" s="141"/>
      <c r="AI135" s="141"/>
      <c r="AJ135" s="141"/>
      <c r="AK135" s="141"/>
      <c r="AL135" s="141"/>
      <c r="AM135" s="141"/>
      <c r="AN135" s="141"/>
      <c r="AO135" s="141"/>
      <c r="AP135" s="141"/>
      <c r="AQ135" s="141"/>
      <c r="AR135" s="141"/>
      <c r="AS135" s="141"/>
      <c r="AT135" s="141"/>
      <c r="AU135" s="141"/>
      <c r="AV135" s="141"/>
      <c r="AW135" s="141"/>
      <c r="AX135" s="141"/>
      <c r="AY135" s="141"/>
      <c r="AZ135" s="141"/>
      <c r="BA135" s="141"/>
      <c r="BB135" s="141"/>
      <c r="BC135" s="141"/>
      <c r="BD135" s="141"/>
      <c r="BE135" s="141"/>
      <c r="BF135" s="141"/>
      <c r="BG135" s="141"/>
      <c r="BH135" s="141"/>
      <c r="BI135" s="141"/>
      <c r="BJ135" s="141"/>
      <c r="BK135" s="141"/>
      <c r="BL135" s="61">
        <f>SEKOR!BN128</f>
        <v>0</v>
      </c>
      <c r="BM135" s="61">
        <f>SEKOR!BO128</f>
        <v>0</v>
      </c>
      <c r="BN135" s="62" t="str">
        <f>SEKOR!BP128</f>
        <v/>
      </c>
      <c r="BO135" s="62" t="str">
        <f>SEKOR!BQ128</f>
        <v/>
      </c>
      <c r="BP135" s="63" t="str">
        <f>SEKOR!BT128</f>
        <v/>
      </c>
      <c r="BQ135" s="88"/>
      <c r="BR135" s="88"/>
    </row>
    <row r="136" spans="1:70" ht="15" customHeight="1" x14ac:dyDescent="0.25">
      <c r="A136" s="83" t="str">
        <f>IF(B136="","",COUNTA($B$10:$B136))</f>
        <v/>
      </c>
      <c r="B136" s="137"/>
      <c r="C136" s="138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  <c r="AH136" s="141"/>
      <c r="AI136" s="141"/>
      <c r="AJ136" s="141"/>
      <c r="AK136" s="141"/>
      <c r="AL136" s="141"/>
      <c r="AM136" s="141"/>
      <c r="AN136" s="141"/>
      <c r="AO136" s="141"/>
      <c r="AP136" s="141"/>
      <c r="AQ136" s="141"/>
      <c r="AR136" s="141"/>
      <c r="AS136" s="141"/>
      <c r="AT136" s="141"/>
      <c r="AU136" s="141"/>
      <c r="AV136" s="141"/>
      <c r="AW136" s="141"/>
      <c r="AX136" s="141"/>
      <c r="AY136" s="141"/>
      <c r="AZ136" s="141"/>
      <c r="BA136" s="141"/>
      <c r="BB136" s="141"/>
      <c r="BC136" s="141"/>
      <c r="BD136" s="141"/>
      <c r="BE136" s="141"/>
      <c r="BF136" s="141"/>
      <c r="BG136" s="141"/>
      <c r="BH136" s="141"/>
      <c r="BI136" s="141"/>
      <c r="BJ136" s="141"/>
      <c r="BK136" s="141"/>
      <c r="BL136" s="61">
        <f>SEKOR!BN129</f>
        <v>0</v>
      </c>
      <c r="BM136" s="61">
        <f>SEKOR!BO129</f>
        <v>0</v>
      </c>
      <c r="BN136" s="62" t="str">
        <f>SEKOR!BP129</f>
        <v/>
      </c>
      <c r="BO136" s="62" t="str">
        <f>SEKOR!BQ129</f>
        <v/>
      </c>
      <c r="BP136" s="63" t="str">
        <f>SEKOR!BT129</f>
        <v/>
      </c>
      <c r="BQ136" s="88"/>
      <c r="BR136" s="88"/>
    </row>
    <row r="137" spans="1:70" ht="15" customHeight="1" x14ac:dyDescent="0.25">
      <c r="A137" s="83" t="str">
        <f>IF(B137="","",COUNTA($B$10:$B137))</f>
        <v/>
      </c>
      <c r="B137" s="137"/>
      <c r="C137" s="138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  <c r="AH137" s="141"/>
      <c r="AI137" s="141"/>
      <c r="AJ137" s="141"/>
      <c r="AK137" s="141"/>
      <c r="AL137" s="141"/>
      <c r="AM137" s="141"/>
      <c r="AN137" s="141"/>
      <c r="AO137" s="141"/>
      <c r="AP137" s="141"/>
      <c r="AQ137" s="141"/>
      <c r="AR137" s="141"/>
      <c r="AS137" s="141"/>
      <c r="AT137" s="141"/>
      <c r="AU137" s="141"/>
      <c r="AV137" s="141"/>
      <c r="AW137" s="141"/>
      <c r="AX137" s="141"/>
      <c r="AY137" s="141"/>
      <c r="AZ137" s="141"/>
      <c r="BA137" s="141"/>
      <c r="BB137" s="141"/>
      <c r="BC137" s="141"/>
      <c r="BD137" s="141"/>
      <c r="BE137" s="141"/>
      <c r="BF137" s="141"/>
      <c r="BG137" s="141"/>
      <c r="BH137" s="141"/>
      <c r="BI137" s="141"/>
      <c r="BJ137" s="141"/>
      <c r="BK137" s="141"/>
      <c r="BL137" s="61">
        <f>SEKOR!BN130</f>
        <v>0</v>
      </c>
      <c r="BM137" s="61">
        <f>SEKOR!BO130</f>
        <v>0</v>
      </c>
      <c r="BN137" s="62" t="str">
        <f>SEKOR!BP130</f>
        <v/>
      </c>
      <c r="BO137" s="62" t="str">
        <f>SEKOR!BQ130</f>
        <v/>
      </c>
      <c r="BP137" s="63" t="str">
        <f>SEKOR!BT130</f>
        <v/>
      </c>
      <c r="BQ137" s="88"/>
      <c r="BR137" s="88"/>
    </row>
    <row r="138" spans="1:70" ht="15" customHeight="1" x14ac:dyDescent="0.25">
      <c r="A138" s="83" t="str">
        <f>IF(B138="","",COUNTA($B$10:$B138))</f>
        <v/>
      </c>
      <c r="B138" s="137"/>
      <c r="C138" s="138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  <c r="AH138" s="141"/>
      <c r="AI138" s="141"/>
      <c r="AJ138" s="141"/>
      <c r="AK138" s="141"/>
      <c r="AL138" s="141"/>
      <c r="AM138" s="141"/>
      <c r="AN138" s="141"/>
      <c r="AO138" s="141"/>
      <c r="AP138" s="141"/>
      <c r="AQ138" s="141"/>
      <c r="AR138" s="141"/>
      <c r="AS138" s="141"/>
      <c r="AT138" s="141"/>
      <c r="AU138" s="141"/>
      <c r="AV138" s="141"/>
      <c r="AW138" s="141"/>
      <c r="AX138" s="141"/>
      <c r="AY138" s="141"/>
      <c r="AZ138" s="141"/>
      <c r="BA138" s="141"/>
      <c r="BB138" s="141"/>
      <c r="BC138" s="141"/>
      <c r="BD138" s="141"/>
      <c r="BE138" s="141"/>
      <c r="BF138" s="141"/>
      <c r="BG138" s="141"/>
      <c r="BH138" s="141"/>
      <c r="BI138" s="141"/>
      <c r="BJ138" s="141"/>
      <c r="BK138" s="141"/>
      <c r="BL138" s="61">
        <f>SEKOR!BN131</f>
        <v>0</v>
      </c>
      <c r="BM138" s="61">
        <f>SEKOR!BO131</f>
        <v>0</v>
      </c>
      <c r="BN138" s="62" t="str">
        <f>SEKOR!BP131</f>
        <v/>
      </c>
      <c r="BO138" s="62" t="str">
        <f>SEKOR!BQ131</f>
        <v/>
      </c>
      <c r="BP138" s="63" t="str">
        <f>SEKOR!BT131</f>
        <v/>
      </c>
      <c r="BQ138" s="88"/>
      <c r="BR138" s="88"/>
    </row>
    <row r="139" spans="1:70" ht="15" customHeight="1" x14ac:dyDescent="0.25">
      <c r="A139" s="83" t="str">
        <f>IF(B139="","",COUNTA($B$10:$B139))</f>
        <v/>
      </c>
      <c r="B139" s="137"/>
      <c r="C139" s="138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  <c r="AH139" s="141"/>
      <c r="AI139" s="141"/>
      <c r="AJ139" s="141"/>
      <c r="AK139" s="141"/>
      <c r="AL139" s="141"/>
      <c r="AM139" s="141"/>
      <c r="AN139" s="141"/>
      <c r="AO139" s="141"/>
      <c r="AP139" s="141"/>
      <c r="AQ139" s="141"/>
      <c r="AR139" s="141"/>
      <c r="AS139" s="141"/>
      <c r="AT139" s="141"/>
      <c r="AU139" s="141"/>
      <c r="AV139" s="141"/>
      <c r="AW139" s="141"/>
      <c r="AX139" s="141"/>
      <c r="AY139" s="141"/>
      <c r="AZ139" s="141"/>
      <c r="BA139" s="141"/>
      <c r="BB139" s="141"/>
      <c r="BC139" s="141"/>
      <c r="BD139" s="141"/>
      <c r="BE139" s="141"/>
      <c r="BF139" s="141"/>
      <c r="BG139" s="141"/>
      <c r="BH139" s="141"/>
      <c r="BI139" s="141"/>
      <c r="BJ139" s="141"/>
      <c r="BK139" s="141"/>
      <c r="BL139" s="61">
        <f>SEKOR!BN132</f>
        <v>0</v>
      </c>
      <c r="BM139" s="61">
        <f>SEKOR!BO132</f>
        <v>0</v>
      </c>
      <c r="BN139" s="62" t="str">
        <f>SEKOR!BP132</f>
        <v/>
      </c>
      <c r="BO139" s="62" t="str">
        <f>SEKOR!BQ132</f>
        <v/>
      </c>
      <c r="BP139" s="63" t="str">
        <f>SEKOR!BT132</f>
        <v/>
      </c>
      <c r="BQ139" s="88"/>
      <c r="BR139" s="88"/>
    </row>
    <row r="140" spans="1:70" ht="15" customHeight="1" x14ac:dyDescent="0.25">
      <c r="A140" s="83" t="str">
        <f>IF(B140="","",COUNTA($B$10:$B140))</f>
        <v/>
      </c>
      <c r="B140" s="137"/>
      <c r="C140" s="138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  <c r="AH140" s="141"/>
      <c r="AI140" s="141"/>
      <c r="AJ140" s="141"/>
      <c r="AK140" s="141"/>
      <c r="AL140" s="141"/>
      <c r="AM140" s="141"/>
      <c r="AN140" s="141"/>
      <c r="AO140" s="141"/>
      <c r="AP140" s="141"/>
      <c r="AQ140" s="141"/>
      <c r="AR140" s="141"/>
      <c r="AS140" s="141"/>
      <c r="AT140" s="141"/>
      <c r="AU140" s="141"/>
      <c r="AV140" s="141"/>
      <c r="AW140" s="141"/>
      <c r="AX140" s="141"/>
      <c r="AY140" s="141"/>
      <c r="AZ140" s="141"/>
      <c r="BA140" s="141"/>
      <c r="BB140" s="141"/>
      <c r="BC140" s="141"/>
      <c r="BD140" s="141"/>
      <c r="BE140" s="141"/>
      <c r="BF140" s="141"/>
      <c r="BG140" s="141"/>
      <c r="BH140" s="141"/>
      <c r="BI140" s="141"/>
      <c r="BJ140" s="141"/>
      <c r="BK140" s="141"/>
      <c r="BL140" s="61">
        <f>SEKOR!BN133</f>
        <v>0</v>
      </c>
      <c r="BM140" s="61">
        <f>SEKOR!BO133</f>
        <v>0</v>
      </c>
      <c r="BN140" s="62" t="str">
        <f>SEKOR!BP133</f>
        <v/>
      </c>
      <c r="BO140" s="62" t="str">
        <f>SEKOR!BQ133</f>
        <v/>
      </c>
      <c r="BP140" s="63" t="str">
        <f>SEKOR!BT133</f>
        <v/>
      </c>
      <c r="BQ140" s="88"/>
      <c r="BR140" s="88"/>
    </row>
    <row r="141" spans="1:70" ht="15" customHeight="1" x14ac:dyDescent="0.25">
      <c r="A141" s="83" t="str">
        <f>IF(B141="","",COUNTA($B$10:$B141))</f>
        <v/>
      </c>
      <c r="B141" s="137"/>
      <c r="C141" s="138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  <c r="AH141" s="141"/>
      <c r="AI141" s="141"/>
      <c r="AJ141" s="141"/>
      <c r="AK141" s="141"/>
      <c r="AL141" s="141"/>
      <c r="AM141" s="141"/>
      <c r="AN141" s="141"/>
      <c r="AO141" s="141"/>
      <c r="AP141" s="141"/>
      <c r="AQ141" s="141"/>
      <c r="AR141" s="141"/>
      <c r="AS141" s="141"/>
      <c r="AT141" s="141"/>
      <c r="AU141" s="141"/>
      <c r="AV141" s="141"/>
      <c r="AW141" s="141"/>
      <c r="AX141" s="141"/>
      <c r="AY141" s="141"/>
      <c r="AZ141" s="141"/>
      <c r="BA141" s="141"/>
      <c r="BB141" s="141"/>
      <c r="BC141" s="141"/>
      <c r="BD141" s="141"/>
      <c r="BE141" s="141"/>
      <c r="BF141" s="141"/>
      <c r="BG141" s="141"/>
      <c r="BH141" s="141"/>
      <c r="BI141" s="141"/>
      <c r="BJ141" s="141"/>
      <c r="BK141" s="141"/>
      <c r="BL141" s="61">
        <f>SEKOR!BN134</f>
        <v>0</v>
      </c>
      <c r="BM141" s="61">
        <f>SEKOR!BO134</f>
        <v>0</v>
      </c>
      <c r="BN141" s="62" t="str">
        <f>SEKOR!BP134</f>
        <v/>
      </c>
      <c r="BO141" s="62" t="str">
        <f>SEKOR!BQ134</f>
        <v/>
      </c>
      <c r="BP141" s="63" t="str">
        <f>SEKOR!BT134</f>
        <v/>
      </c>
      <c r="BQ141" s="88"/>
      <c r="BR141" s="88"/>
    </row>
    <row r="142" spans="1:70" ht="15" customHeight="1" x14ac:dyDescent="0.25">
      <c r="A142" s="83" t="str">
        <f>IF(B142="","",COUNTA($B$10:$B142))</f>
        <v/>
      </c>
      <c r="B142" s="137"/>
      <c r="C142" s="138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  <c r="AH142" s="141"/>
      <c r="AI142" s="141"/>
      <c r="AJ142" s="141"/>
      <c r="AK142" s="141"/>
      <c r="AL142" s="141"/>
      <c r="AM142" s="141"/>
      <c r="AN142" s="141"/>
      <c r="AO142" s="141"/>
      <c r="AP142" s="141"/>
      <c r="AQ142" s="141"/>
      <c r="AR142" s="141"/>
      <c r="AS142" s="141"/>
      <c r="AT142" s="141"/>
      <c r="AU142" s="141"/>
      <c r="AV142" s="141"/>
      <c r="AW142" s="141"/>
      <c r="AX142" s="141"/>
      <c r="AY142" s="141"/>
      <c r="AZ142" s="141"/>
      <c r="BA142" s="141"/>
      <c r="BB142" s="141"/>
      <c r="BC142" s="141"/>
      <c r="BD142" s="141"/>
      <c r="BE142" s="141"/>
      <c r="BF142" s="141"/>
      <c r="BG142" s="141"/>
      <c r="BH142" s="141"/>
      <c r="BI142" s="141"/>
      <c r="BJ142" s="141"/>
      <c r="BK142" s="141"/>
      <c r="BL142" s="61">
        <f>SEKOR!BN135</f>
        <v>0</v>
      </c>
      <c r="BM142" s="61">
        <f>SEKOR!BO135</f>
        <v>0</v>
      </c>
      <c r="BN142" s="62" t="str">
        <f>SEKOR!BP135</f>
        <v/>
      </c>
      <c r="BO142" s="62" t="str">
        <f>SEKOR!BQ135</f>
        <v/>
      </c>
      <c r="BP142" s="63" t="str">
        <f>SEKOR!BT135</f>
        <v/>
      </c>
      <c r="BQ142" s="88"/>
      <c r="BR142" s="88"/>
    </row>
    <row r="143" spans="1:70" ht="15" customHeight="1" x14ac:dyDescent="0.25">
      <c r="A143" s="83" t="str">
        <f>IF(B143="","",COUNTA($B$10:$B143))</f>
        <v/>
      </c>
      <c r="B143" s="137"/>
      <c r="C143" s="138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  <c r="AH143" s="141"/>
      <c r="AI143" s="141"/>
      <c r="AJ143" s="141"/>
      <c r="AK143" s="141"/>
      <c r="AL143" s="141"/>
      <c r="AM143" s="141"/>
      <c r="AN143" s="141"/>
      <c r="AO143" s="141"/>
      <c r="AP143" s="141"/>
      <c r="AQ143" s="141"/>
      <c r="AR143" s="141"/>
      <c r="AS143" s="141"/>
      <c r="AT143" s="141"/>
      <c r="AU143" s="141"/>
      <c r="AV143" s="141"/>
      <c r="AW143" s="141"/>
      <c r="AX143" s="141"/>
      <c r="AY143" s="141"/>
      <c r="AZ143" s="141"/>
      <c r="BA143" s="141"/>
      <c r="BB143" s="141"/>
      <c r="BC143" s="141"/>
      <c r="BD143" s="141"/>
      <c r="BE143" s="141"/>
      <c r="BF143" s="141"/>
      <c r="BG143" s="141"/>
      <c r="BH143" s="141"/>
      <c r="BI143" s="141"/>
      <c r="BJ143" s="141"/>
      <c r="BK143" s="141"/>
      <c r="BL143" s="61">
        <f>SEKOR!BN136</f>
        <v>0</v>
      </c>
      <c r="BM143" s="61">
        <f>SEKOR!BO136</f>
        <v>0</v>
      </c>
      <c r="BN143" s="62" t="str">
        <f>SEKOR!BP136</f>
        <v/>
      </c>
      <c r="BO143" s="62" t="str">
        <f>SEKOR!BQ136</f>
        <v/>
      </c>
      <c r="BP143" s="63" t="str">
        <f>SEKOR!BT136</f>
        <v/>
      </c>
      <c r="BQ143" s="88"/>
      <c r="BR143" s="88"/>
    </row>
    <row r="144" spans="1:70" ht="15" customHeight="1" x14ac:dyDescent="0.25">
      <c r="A144" s="83" t="str">
        <f>IF(B144="","",COUNTA($B$10:$B144))</f>
        <v/>
      </c>
      <c r="B144" s="137"/>
      <c r="C144" s="138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  <c r="AH144" s="141"/>
      <c r="AI144" s="141"/>
      <c r="AJ144" s="141"/>
      <c r="AK144" s="141"/>
      <c r="AL144" s="141"/>
      <c r="AM144" s="141"/>
      <c r="AN144" s="141"/>
      <c r="AO144" s="141"/>
      <c r="AP144" s="141"/>
      <c r="AQ144" s="141"/>
      <c r="AR144" s="141"/>
      <c r="AS144" s="141"/>
      <c r="AT144" s="141"/>
      <c r="AU144" s="141"/>
      <c r="AV144" s="141"/>
      <c r="AW144" s="141"/>
      <c r="AX144" s="141"/>
      <c r="AY144" s="141"/>
      <c r="AZ144" s="141"/>
      <c r="BA144" s="141"/>
      <c r="BB144" s="141"/>
      <c r="BC144" s="141"/>
      <c r="BD144" s="141"/>
      <c r="BE144" s="141"/>
      <c r="BF144" s="141"/>
      <c r="BG144" s="141"/>
      <c r="BH144" s="141"/>
      <c r="BI144" s="141"/>
      <c r="BJ144" s="141"/>
      <c r="BK144" s="141"/>
      <c r="BL144" s="61">
        <f>SEKOR!BN137</f>
        <v>0</v>
      </c>
      <c r="BM144" s="61">
        <f>SEKOR!BO137</f>
        <v>0</v>
      </c>
      <c r="BN144" s="62" t="str">
        <f>SEKOR!BP137</f>
        <v/>
      </c>
      <c r="BO144" s="62" t="str">
        <f>SEKOR!BQ137</f>
        <v/>
      </c>
      <c r="BP144" s="63" t="str">
        <f>SEKOR!BT137</f>
        <v/>
      </c>
      <c r="BQ144" s="88"/>
      <c r="BR144" s="88"/>
    </row>
    <row r="145" spans="1:70" ht="15" customHeight="1" x14ac:dyDescent="0.25">
      <c r="A145" s="83" t="str">
        <f>IF(B145="","",COUNTA($B$10:$B145))</f>
        <v/>
      </c>
      <c r="B145" s="137"/>
      <c r="C145" s="138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  <c r="AH145" s="141"/>
      <c r="AI145" s="141"/>
      <c r="AJ145" s="141"/>
      <c r="AK145" s="141"/>
      <c r="AL145" s="141"/>
      <c r="AM145" s="141"/>
      <c r="AN145" s="141"/>
      <c r="AO145" s="141"/>
      <c r="AP145" s="141"/>
      <c r="AQ145" s="141"/>
      <c r="AR145" s="141"/>
      <c r="AS145" s="141"/>
      <c r="AT145" s="141"/>
      <c r="AU145" s="141"/>
      <c r="AV145" s="141"/>
      <c r="AW145" s="141"/>
      <c r="AX145" s="141"/>
      <c r="AY145" s="141"/>
      <c r="AZ145" s="141"/>
      <c r="BA145" s="141"/>
      <c r="BB145" s="141"/>
      <c r="BC145" s="141"/>
      <c r="BD145" s="141"/>
      <c r="BE145" s="141"/>
      <c r="BF145" s="141"/>
      <c r="BG145" s="141"/>
      <c r="BH145" s="141"/>
      <c r="BI145" s="141"/>
      <c r="BJ145" s="141"/>
      <c r="BK145" s="141"/>
      <c r="BL145" s="61">
        <f>SEKOR!BN138</f>
        <v>0</v>
      </c>
      <c r="BM145" s="61">
        <f>SEKOR!BO138</f>
        <v>0</v>
      </c>
      <c r="BN145" s="62" t="str">
        <f>SEKOR!BP138</f>
        <v/>
      </c>
      <c r="BO145" s="62" t="str">
        <f>SEKOR!BQ138</f>
        <v/>
      </c>
      <c r="BP145" s="63" t="str">
        <f>SEKOR!BT138</f>
        <v/>
      </c>
      <c r="BQ145" s="88"/>
      <c r="BR145" s="88"/>
    </row>
    <row r="146" spans="1:70" ht="15" customHeight="1" x14ac:dyDescent="0.25">
      <c r="A146" s="83" t="str">
        <f>IF(B146="","",COUNTA($B$10:$B146))</f>
        <v/>
      </c>
      <c r="B146" s="137"/>
      <c r="C146" s="138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  <c r="AH146" s="141"/>
      <c r="AI146" s="141"/>
      <c r="AJ146" s="141"/>
      <c r="AK146" s="141"/>
      <c r="AL146" s="141"/>
      <c r="AM146" s="141"/>
      <c r="AN146" s="141"/>
      <c r="AO146" s="141"/>
      <c r="AP146" s="141"/>
      <c r="AQ146" s="141"/>
      <c r="AR146" s="141"/>
      <c r="AS146" s="141"/>
      <c r="AT146" s="141"/>
      <c r="AU146" s="141"/>
      <c r="AV146" s="141"/>
      <c r="AW146" s="141"/>
      <c r="AX146" s="141"/>
      <c r="AY146" s="141"/>
      <c r="AZ146" s="141"/>
      <c r="BA146" s="141"/>
      <c r="BB146" s="141"/>
      <c r="BC146" s="141"/>
      <c r="BD146" s="141"/>
      <c r="BE146" s="141"/>
      <c r="BF146" s="141"/>
      <c r="BG146" s="141"/>
      <c r="BH146" s="141"/>
      <c r="BI146" s="141"/>
      <c r="BJ146" s="141"/>
      <c r="BK146" s="141"/>
      <c r="BL146" s="61">
        <f>SEKOR!BN139</f>
        <v>0</v>
      </c>
      <c r="BM146" s="61">
        <f>SEKOR!BO139</f>
        <v>0</v>
      </c>
      <c r="BN146" s="62" t="str">
        <f>SEKOR!BP139</f>
        <v/>
      </c>
      <c r="BO146" s="62" t="str">
        <f>SEKOR!BQ139</f>
        <v/>
      </c>
      <c r="BP146" s="63" t="str">
        <f>SEKOR!BT139</f>
        <v/>
      </c>
      <c r="BQ146" s="88"/>
      <c r="BR146" s="88"/>
    </row>
    <row r="147" spans="1:70" ht="15" customHeight="1" x14ac:dyDescent="0.25">
      <c r="A147" s="83" t="str">
        <f>IF(B147="","",COUNTA($B$10:$B147))</f>
        <v/>
      </c>
      <c r="B147" s="137"/>
      <c r="C147" s="138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  <c r="AH147" s="141"/>
      <c r="AI147" s="141"/>
      <c r="AJ147" s="141"/>
      <c r="AK147" s="141"/>
      <c r="AL147" s="141"/>
      <c r="AM147" s="141"/>
      <c r="AN147" s="141"/>
      <c r="AO147" s="141"/>
      <c r="AP147" s="141"/>
      <c r="AQ147" s="141"/>
      <c r="AR147" s="141"/>
      <c r="AS147" s="141"/>
      <c r="AT147" s="141"/>
      <c r="AU147" s="141"/>
      <c r="AV147" s="141"/>
      <c r="AW147" s="141"/>
      <c r="AX147" s="141"/>
      <c r="AY147" s="141"/>
      <c r="AZ147" s="141"/>
      <c r="BA147" s="141"/>
      <c r="BB147" s="141"/>
      <c r="BC147" s="141"/>
      <c r="BD147" s="141"/>
      <c r="BE147" s="141"/>
      <c r="BF147" s="141"/>
      <c r="BG147" s="141"/>
      <c r="BH147" s="141"/>
      <c r="BI147" s="141"/>
      <c r="BJ147" s="141"/>
      <c r="BK147" s="141"/>
      <c r="BL147" s="61">
        <f>SEKOR!BN140</f>
        <v>0</v>
      </c>
      <c r="BM147" s="61">
        <f>SEKOR!BO140</f>
        <v>0</v>
      </c>
      <c r="BN147" s="62" t="str">
        <f>SEKOR!BP140</f>
        <v/>
      </c>
      <c r="BO147" s="62" t="str">
        <f>SEKOR!BQ140</f>
        <v/>
      </c>
      <c r="BP147" s="63" t="str">
        <f>SEKOR!BT140</f>
        <v/>
      </c>
      <c r="BQ147" s="88"/>
      <c r="BR147" s="88"/>
    </row>
    <row r="148" spans="1:70" ht="15" customHeight="1" x14ac:dyDescent="0.25">
      <c r="A148" s="83" t="str">
        <f>IF(B148="","",COUNTA($B$10:$B148))</f>
        <v/>
      </c>
      <c r="B148" s="137"/>
      <c r="C148" s="138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  <c r="AH148" s="141"/>
      <c r="AI148" s="141"/>
      <c r="AJ148" s="141"/>
      <c r="AK148" s="141"/>
      <c r="AL148" s="141"/>
      <c r="AM148" s="141"/>
      <c r="AN148" s="141"/>
      <c r="AO148" s="141"/>
      <c r="AP148" s="141"/>
      <c r="AQ148" s="141"/>
      <c r="AR148" s="141"/>
      <c r="AS148" s="141"/>
      <c r="AT148" s="141"/>
      <c r="AU148" s="141"/>
      <c r="AV148" s="141"/>
      <c r="AW148" s="141"/>
      <c r="AX148" s="141"/>
      <c r="AY148" s="141"/>
      <c r="AZ148" s="141"/>
      <c r="BA148" s="141"/>
      <c r="BB148" s="141"/>
      <c r="BC148" s="141"/>
      <c r="BD148" s="141"/>
      <c r="BE148" s="141"/>
      <c r="BF148" s="141"/>
      <c r="BG148" s="141"/>
      <c r="BH148" s="141"/>
      <c r="BI148" s="141"/>
      <c r="BJ148" s="141"/>
      <c r="BK148" s="141"/>
      <c r="BL148" s="61">
        <f>SEKOR!BN141</f>
        <v>0</v>
      </c>
      <c r="BM148" s="61">
        <f>SEKOR!BO141</f>
        <v>0</v>
      </c>
      <c r="BN148" s="62" t="str">
        <f>SEKOR!BP141</f>
        <v/>
      </c>
      <c r="BO148" s="62" t="str">
        <f>SEKOR!BQ141</f>
        <v/>
      </c>
      <c r="BP148" s="63" t="str">
        <f>SEKOR!BT141</f>
        <v/>
      </c>
      <c r="BQ148" s="88"/>
      <c r="BR148" s="88"/>
    </row>
    <row r="149" spans="1:70" ht="15" customHeight="1" x14ac:dyDescent="0.25">
      <c r="A149" s="83" t="str">
        <f>IF(B149="","",COUNTA($B$10:$B149))</f>
        <v/>
      </c>
      <c r="B149" s="137"/>
      <c r="C149" s="138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  <c r="AH149" s="141"/>
      <c r="AI149" s="141"/>
      <c r="AJ149" s="141"/>
      <c r="AK149" s="141"/>
      <c r="AL149" s="141"/>
      <c r="AM149" s="141"/>
      <c r="AN149" s="141"/>
      <c r="AO149" s="141"/>
      <c r="AP149" s="141"/>
      <c r="AQ149" s="141"/>
      <c r="AR149" s="141"/>
      <c r="AS149" s="141"/>
      <c r="AT149" s="141"/>
      <c r="AU149" s="141"/>
      <c r="AV149" s="141"/>
      <c r="AW149" s="141"/>
      <c r="AX149" s="141"/>
      <c r="AY149" s="141"/>
      <c r="AZ149" s="141"/>
      <c r="BA149" s="141"/>
      <c r="BB149" s="141"/>
      <c r="BC149" s="141"/>
      <c r="BD149" s="141"/>
      <c r="BE149" s="141"/>
      <c r="BF149" s="141"/>
      <c r="BG149" s="141"/>
      <c r="BH149" s="141"/>
      <c r="BI149" s="141"/>
      <c r="BJ149" s="141"/>
      <c r="BK149" s="141"/>
      <c r="BL149" s="61">
        <f>SEKOR!BN142</f>
        <v>0</v>
      </c>
      <c r="BM149" s="61">
        <f>SEKOR!BO142</f>
        <v>0</v>
      </c>
      <c r="BN149" s="62" t="str">
        <f>SEKOR!BP142</f>
        <v/>
      </c>
      <c r="BO149" s="62" t="str">
        <f>SEKOR!BQ142</f>
        <v/>
      </c>
      <c r="BP149" s="63" t="str">
        <f>SEKOR!BT142</f>
        <v/>
      </c>
      <c r="BQ149" s="88"/>
      <c r="BR149" s="88"/>
    </row>
    <row r="150" spans="1:70" ht="15" customHeight="1" x14ac:dyDescent="0.25">
      <c r="A150" s="83" t="str">
        <f>IF(B150="","",COUNTA($B$10:$B150))</f>
        <v/>
      </c>
      <c r="B150" s="137"/>
      <c r="C150" s="138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  <c r="AH150" s="141"/>
      <c r="AI150" s="141"/>
      <c r="AJ150" s="141"/>
      <c r="AK150" s="141"/>
      <c r="AL150" s="141"/>
      <c r="AM150" s="141"/>
      <c r="AN150" s="141"/>
      <c r="AO150" s="141"/>
      <c r="AP150" s="141"/>
      <c r="AQ150" s="141"/>
      <c r="AR150" s="141"/>
      <c r="AS150" s="141"/>
      <c r="AT150" s="141"/>
      <c r="AU150" s="141"/>
      <c r="AV150" s="141"/>
      <c r="AW150" s="141"/>
      <c r="AX150" s="141"/>
      <c r="AY150" s="141"/>
      <c r="AZ150" s="141"/>
      <c r="BA150" s="141"/>
      <c r="BB150" s="141"/>
      <c r="BC150" s="141"/>
      <c r="BD150" s="141"/>
      <c r="BE150" s="141"/>
      <c r="BF150" s="141"/>
      <c r="BG150" s="141"/>
      <c r="BH150" s="141"/>
      <c r="BI150" s="141"/>
      <c r="BJ150" s="141"/>
      <c r="BK150" s="141"/>
      <c r="BL150" s="61">
        <f>SEKOR!BN143</f>
        <v>0</v>
      </c>
      <c r="BM150" s="61">
        <f>SEKOR!BO143</f>
        <v>0</v>
      </c>
      <c r="BN150" s="62" t="str">
        <f>SEKOR!BP143</f>
        <v/>
      </c>
      <c r="BO150" s="62" t="str">
        <f>SEKOR!BQ143</f>
        <v/>
      </c>
      <c r="BP150" s="63" t="str">
        <f>SEKOR!BT143</f>
        <v/>
      </c>
      <c r="BQ150" s="88"/>
      <c r="BR150" s="88"/>
    </row>
    <row r="151" spans="1:70" ht="15" customHeight="1" x14ac:dyDescent="0.25">
      <c r="A151" s="83" t="str">
        <f>IF(B151="","",COUNTA($B$10:$B151))</f>
        <v/>
      </c>
      <c r="B151" s="137"/>
      <c r="C151" s="138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  <c r="AH151" s="141"/>
      <c r="AI151" s="141"/>
      <c r="AJ151" s="141"/>
      <c r="AK151" s="141"/>
      <c r="AL151" s="141"/>
      <c r="AM151" s="141"/>
      <c r="AN151" s="141"/>
      <c r="AO151" s="141"/>
      <c r="AP151" s="141"/>
      <c r="AQ151" s="141"/>
      <c r="AR151" s="141"/>
      <c r="AS151" s="141"/>
      <c r="AT151" s="141"/>
      <c r="AU151" s="141"/>
      <c r="AV151" s="141"/>
      <c r="AW151" s="141"/>
      <c r="AX151" s="141"/>
      <c r="AY151" s="141"/>
      <c r="AZ151" s="141"/>
      <c r="BA151" s="141"/>
      <c r="BB151" s="141"/>
      <c r="BC151" s="141"/>
      <c r="BD151" s="141"/>
      <c r="BE151" s="141"/>
      <c r="BF151" s="141"/>
      <c r="BG151" s="141"/>
      <c r="BH151" s="141"/>
      <c r="BI151" s="141"/>
      <c r="BJ151" s="141"/>
      <c r="BK151" s="141"/>
      <c r="BL151" s="61">
        <f>SEKOR!BN144</f>
        <v>0</v>
      </c>
      <c r="BM151" s="61">
        <f>SEKOR!BO144</f>
        <v>0</v>
      </c>
      <c r="BN151" s="62" t="str">
        <f>SEKOR!BP144</f>
        <v/>
      </c>
      <c r="BO151" s="62" t="str">
        <f>SEKOR!BQ144</f>
        <v/>
      </c>
      <c r="BP151" s="63" t="str">
        <f>SEKOR!BT144</f>
        <v/>
      </c>
      <c r="BQ151" s="88"/>
      <c r="BR151" s="88"/>
    </row>
    <row r="152" spans="1:70" ht="15" customHeight="1" x14ac:dyDescent="0.25">
      <c r="A152" s="83" t="str">
        <f>IF(B152="","",COUNTA($B$10:$B152))</f>
        <v/>
      </c>
      <c r="B152" s="137"/>
      <c r="C152" s="138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  <c r="AH152" s="141"/>
      <c r="AI152" s="141"/>
      <c r="AJ152" s="141"/>
      <c r="AK152" s="141"/>
      <c r="AL152" s="141"/>
      <c r="AM152" s="141"/>
      <c r="AN152" s="141"/>
      <c r="AO152" s="141"/>
      <c r="AP152" s="141"/>
      <c r="AQ152" s="141"/>
      <c r="AR152" s="141"/>
      <c r="AS152" s="141"/>
      <c r="AT152" s="141"/>
      <c r="AU152" s="141"/>
      <c r="AV152" s="141"/>
      <c r="AW152" s="141"/>
      <c r="AX152" s="141"/>
      <c r="AY152" s="141"/>
      <c r="AZ152" s="141"/>
      <c r="BA152" s="141"/>
      <c r="BB152" s="141"/>
      <c r="BC152" s="141"/>
      <c r="BD152" s="141"/>
      <c r="BE152" s="141"/>
      <c r="BF152" s="141"/>
      <c r="BG152" s="141"/>
      <c r="BH152" s="141"/>
      <c r="BI152" s="141"/>
      <c r="BJ152" s="141"/>
      <c r="BK152" s="141"/>
      <c r="BL152" s="61">
        <f>SEKOR!BN145</f>
        <v>0</v>
      </c>
      <c r="BM152" s="61">
        <f>SEKOR!BO145</f>
        <v>0</v>
      </c>
      <c r="BN152" s="62" t="str">
        <f>SEKOR!BP145</f>
        <v/>
      </c>
      <c r="BO152" s="62" t="str">
        <f>SEKOR!BQ145</f>
        <v/>
      </c>
      <c r="BP152" s="63" t="str">
        <f>SEKOR!BT145</f>
        <v/>
      </c>
      <c r="BQ152" s="88"/>
      <c r="BR152" s="88"/>
    </row>
    <row r="153" spans="1:70" ht="15" customHeight="1" x14ac:dyDescent="0.25">
      <c r="A153" s="83" t="str">
        <f>IF(B153="","",COUNTA($B$10:$B153))</f>
        <v/>
      </c>
      <c r="B153" s="137"/>
      <c r="C153" s="138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  <c r="AH153" s="141"/>
      <c r="AI153" s="141"/>
      <c r="AJ153" s="141"/>
      <c r="AK153" s="141"/>
      <c r="AL153" s="141"/>
      <c r="AM153" s="141"/>
      <c r="AN153" s="141"/>
      <c r="AO153" s="141"/>
      <c r="AP153" s="141"/>
      <c r="AQ153" s="141"/>
      <c r="AR153" s="141"/>
      <c r="AS153" s="141"/>
      <c r="AT153" s="141"/>
      <c r="AU153" s="141"/>
      <c r="AV153" s="141"/>
      <c r="AW153" s="141"/>
      <c r="AX153" s="141"/>
      <c r="AY153" s="141"/>
      <c r="AZ153" s="141"/>
      <c r="BA153" s="141"/>
      <c r="BB153" s="141"/>
      <c r="BC153" s="141"/>
      <c r="BD153" s="141"/>
      <c r="BE153" s="141"/>
      <c r="BF153" s="141"/>
      <c r="BG153" s="141"/>
      <c r="BH153" s="141"/>
      <c r="BI153" s="141"/>
      <c r="BJ153" s="141"/>
      <c r="BK153" s="141"/>
      <c r="BL153" s="61">
        <f>SEKOR!BN146</f>
        <v>0</v>
      </c>
      <c r="BM153" s="61">
        <f>SEKOR!BO146</f>
        <v>0</v>
      </c>
      <c r="BN153" s="62" t="str">
        <f>SEKOR!BP146</f>
        <v/>
      </c>
      <c r="BO153" s="62" t="str">
        <f>SEKOR!BQ146</f>
        <v/>
      </c>
      <c r="BP153" s="63" t="str">
        <f>SEKOR!BT146</f>
        <v/>
      </c>
      <c r="BQ153" s="88"/>
      <c r="BR153" s="88"/>
    </row>
    <row r="154" spans="1:70" ht="15" customHeight="1" x14ac:dyDescent="0.25">
      <c r="A154" s="83" t="str">
        <f>IF(B154="","",COUNTA($B$10:$B154))</f>
        <v/>
      </c>
      <c r="B154" s="137"/>
      <c r="C154" s="138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  <c r="AH154" s="141"/>
      <c r="AI154" s="141"/>
      <c r="AJ154" s="141"/>
      <c r="AK154" s="141"/>
      <c r="AL154" s="141"/>
      <c r="AM154" s="141"/>
      <c r="AN154" s="141"/>
      <c r="AO154" s="141"/>
      <c r="AP154" s="141"/>
      <c r="AQ154" s="141"/>
      <c r="AR154" s="141"/>
      <c r="AS154" s="141"/>
      <c r="AT154" s="141"/>
      <c r="AU154" s="141"/>
      <c r="AV154" s="141"/>
      <c r="AW154" s="141"/>
      <c r="AX154" s="141"/>
      <c r="AY154" s="141"/>
      <c r="AZ154" s="141"/>
      <c r="BA154" s="141"/>
      <c r="BB154" s="141"/>
      <c r="BC154" s="141"/>
      <c r="BD154" s="141"/>
      <c r="BE154" s="141"/>
      <c r="BF154" s="141"/>
      <c r="BG154" s="141"/>
      <c r="BH154" s="141"/>
      <c r="BI154" s="141"/>
      <c r="BJ154" s="141"/>
      <c r="BK154" s="141"/>
      <c r="BL154" s="61">
        <f>SEKOR!BN147</f>
        <v>0</v>
      </c>
      <c r="BM154" s="61">
        <f>SEKOR!BO147</f>
        <v>0</v>
      </c>
      <c r="BN154" s="62" t="str">
        <f>SEKOR!BP147</f>
        <v/>
      </c>
      <c r="BO154" s="62" t="str">
        <f>SEKOR!BQ147</f>
        <v/>
      </c>
      <c r="BP154" s="63" t="str">
        <f>SEKOR!BT147</f>
        <v/>
      </c>
      <c r="BQ154" s="88"/>
      <c r="BR154" s="88"/>
    </row>
    <row r="155" spans="1:70" ht="15" customHeight="1" x14ac:dyDescent="0.25">
      <c r="A155" s="83" t="str">
        <f>IF(B155="","",COUNTA($B$10:$B155))</f>
        <v/>
      </c>
      <c r="B155" s="137"/>
      <c r="C155" s="138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  <c r="AH155" s="141"/>
      <c r="AI155" s="141"/>
      <c r="AJ155" s="141"/>
      <c r="AK155" s="141"/>
      <c r="AL155" s="141"/>
      <c r="AM155" s="141"/>
      <c r="AN155" s="141"/>
      <c r="AO155" s="141"/>
      <c r="AP155" s="141"/>
      <c r="AQ155" s="141"/>
      <c r="AR155" s="141"/>
      <c r="AS155" s="141"/>
      <c r="AT155" s="141"/>
      <c r="AU155" s="141"/>
      <c r="AV155" s="141"/>
      <c r="AW155" s="141"/>
      <c r="AX155" s="141"/>
      <c r="AY155" s="141"/>
      <c r="AZ155" s="141"/>
      <c r="BA155" s="141"/>
      <c r="BB155" s="141"/>
      <c r="BC155" s="141"/>
      <c r="BD155" s="141"/>
      <c r="BE155" s="141"/>
      <c r="BF155" s="141"/>
      <c r="BG155" s="141"/>
      <c r="BH155" s="141"/>
      <c r="BI155" s="141"/>
      <c r="BJ155" s="141"/>
      <c r="BK155" s="141"/>
      <c r="BL155" s="61">
        <f>SEKOR!BN148</f>
        <v>0</v>
      </c>
      <c r="BM155" s="61">
        <f>SEKOR!BO148</f>
        <v>0</v>
      </c>
      <c r="BN155" s="62" t="str">
        <f>SEKOR!BP148</f>
        <v/>
      </c>
      <c r="BO155" s="62" t="str">
        <f>SEKOR!BQ148</f>
        <v/>
      </c>
      <c r="BP155" s="63" t="str">
        <f>SEKOR!BT148</f>
        <v/>
      </c>
      <c r="BQ155" s="88"/>
      <c r="BR155" s="88"/>
    </row>
    <row r="156" spans="1:70" ht="15" customHeight="1" x14ac:dyDescent="0.25">
      <c r="A156" s="83" t="str">
        <f>IF(B156="","",COUNTA($B$10:$B156))</f>
        <v/>
      </c>
      <c r="B156" s="137"/>
      <c r="C156" s="138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  <c r="AH156" s="141"/>
      <c r="AI156" s="141"/>
      <c r="AJ156" s="141"/>
      <c r="AK156" s="141"/>
      <c r="AL156" s="141"/>
      <c r="AM156" s="141"/>
      <c r="AN156" s="141"/>
      <c r="AO156" s="141"/>
      <c r="AP156" s="141"/>
      <c r="AQ156" s="141"/>
      <c r="AR156" s="141"/>
      <c r="AS156" s="141"/>
      <c r="AT156" s="141"/>
      <c r="AU156" s="141"/>
      <c r="AV156" s="141"/>
      <c r="AW156" s="141"/>
      <c r="AX156" s="141"/>
      <c r="AY156" s="141"/>
      <c r="AZ156" s="141"/>
      <c r="BA156" s="141"/>
      <c r="BB156" s="141"/>
      <c r="BC156" s="141"/>
      <c r="BD156" s="141"/>
      <c r="BE156" s="141"/>
      <c r="BF156" s="141"/>
      <c r="BG156" s="141"/>
      <c r="BH156" s="141"/>
      <c r="BI156" s="141"/>
      <c r="BJ156" s="141"/>
      <c r="BK156" s="141"/>
      <c r="BL156" s="61">
        <f>SEKOR!BN149</f>
        <v>0</v>
      </c>
      <c r="BM156" s="61">
        <f>SEKOR!BO149</f>
        <v>0</v>
      </c>
      <c r="BN156" s="62" t="str">
        <f>SEKOR!BP149</f>
        <v/>
      </c>
      <c r="BO156" s="62" t="str">
        <f>SEKOR!BQ149</f>
        <v/>
      </c>
      <c r="BP156" s="63" t="str">
        <f>SEKOR!BT149</f>
        <v/>
      </c>
      <c r="BQ156" s="88"/>
      <c r="BR156" s="88"/>
    </row>
    <row r="157" spans="1:70" ht="15" customHeight="1" x14ac:dyDescent="0.25">
      <c r="A157" s="83" t="str">
        <f>IF(B157="","",COUNTA($B$10:$B157))</f>
        <v/>
      </c>
      <c r="B157" s="137"/>
      <c r="C157" s="138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  <c r="AH157" s="141"/>
      <c r="AI157" s="141"/>
      <c r="AJ157" s="141"/>
      <c r="AK157" s="141"/>
      <c r="AL157" s="141"/>
      <c r="AM157" s="141"/>
      <c r="AN157" s="141"/>
      <c r="AO157" s="141"/>
      <c r="AP157" s="141"/>
      <c r="AQ157" s="141"/>
      <c r="AR157" s="141"/>
      <c r="AS157" s="141"/>
      <c r="AT157" s="141"/>
      <c r="AU157" s="141"/>
      <c r="AV157" s="141"/>
      <c r="AW157" s="141"/>
      <c r="AX157" s="141"/>
      <c r="AY157" s="141"/>
      <c r="AZ157" s="141"/>
      <c r="BA157" s="141"/>
      <c r="BB157" s="141"/>
      <c r="BC157" s="141"/>
      <c r="BD157" s="141"/>
      <c r="BE157" s="141"/>
      <c r="BF157" s="141"/>
      <c r="BG157" s="141"/>
      <c r="BH157" s="141"/>
      <c r="BI157" s="141"/>
      <c r="BJ157" s="141"/>
      <c r="BK157" s="141"/>
      <c r="BL157" s="61">
        <f>SEKOR!BN150</f>
        <v>0</v>
      </c>
      <c r="BM157" s="61">
        <f>SEKOR!BO150</f>
        <v>0</v>
      </c>
      <c r="BN157" s="62" t="str">
        <f>SEKOR!BP150</f>
        <v/>
      </c>
      <c r="BO157" s="62" t="str">
        <f>SEKOR!BQ150</f>
        <v/>
      </c>
      <c r="BP157" s="63" t="str">
        <f>SEKOR!BT150</f>
        <v/>
      </c>
      <c r="BQ157" s="88"/>
      <c r="BR157" s="88"/>
    </row>
    <row r="158" spans="1:70" ht="15" customHeight="1" x14ac:dyDescent="0.25">
      <c r="A158" s="83" t="str">
        <f>IF(B158="","",COUNTA($B$10:$B158))</f>
        <v/>
      </c>
      <c r="B158" s="137"/>
      <c r="C158" s="138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  <c r="AH158" s="141"/>
      <c r="AI158" s="141"/>
      <c r="AJ158" s="141"/>
      <c r="AK158" s="141"/>
      <c r="AL158" s="141"/>
      <c r="AM158" s="141"/>
      <c r="AN158" s="141"/>
      <c r="AO158" s="141"/>
      <c r="AP158" s="141"/>
      <c r="AQ158" s="141"/>
      <c r="AR158" s="141"/>
      <c r="AS158" s="141"/>
      <c r="AT158" s="141"/>
      <c r="AU158" s="141"/>
      <c r="AV158" s="141"/>
      <c r="AW158" s="141"/>
      <c r="AX158" s="141"/>
      <c r="AY158" s="141"/>
      <c r="AZ158" s="141"/>
      <c r="BA158" s="141"/>
      <c r="BB158" s="141"/>
      <c r="BC158" s="141"/>
      <c r="BD158" s="141"/>
      <c r="BE158" s="141"/>
      <c r="BF158" s="141"/>
      <c r="BG158" s="141"/>
      <c r="BH158" s="141"/>
      <c r="BI158" s="141"/>
      <c r="BJ158" s="141"/>
      <c r="BK158" s="141"/>
      <c r="BL158" s="61">
        <f>SEKOR!BN151</f>
        <v>0</v>
      </c>
      <c r="BM158" s="61">
        <f>SEKOR!BO151</f>
        <v>0</v>
      </c>
      <c r="BN158" s="62" t="str">
        <f>SEKOR!BP151</f>
        <v/>
      </c>
      <c r="BO158" s="62" t="str">
        <f>SEKOR!BQ151</f>
        <v/>
      </c>
      <c r="BP158" s="63" t="str">
        <f>SEKOR!BT151</f>
        <v/>
      </c>
      <c r="BQ158" s="88"/>
      <c r="BR158" s="88"/>
    </row>
    <row r="159" spans="1:70" ht="15" customHeight="1" x14ac:dyDescent="0.25">
      <c r="A159" s="83" t="str">
        <f>IF(B159="","",COUNTA($B$10:$B159))</f>
        <v/>
      </c>
      <c r="B159" s="137"/>
      <c r="C159" s="138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  <c r="AH159" s="141"/>
      <c r="AI159" s="141"/>
      <c r="AJ159" s="141"/>
      <c r="AK159" s="141"/>
      <c r="AL159" s="141"/>
      <c r="AM159" s="141"/>
      <c r="AN159" s="141"/>
      <c r="AO159" s="141"/>
      <c r="AP159" s="141"/>
      <c r="AQ159" s="141"/>
      <c r="AR159" s="141"/>
      <c r="AS159" s="141"/>
      <c r="AT159" s="141"/>
      <c r="AU159" s="141"/>
      <c r="AV159" s="141"/>
      <c r="AW159" s="141"/>
      <c r="AX159" s="141"/>
      <c r="AY159" s="141"/>
      <c r="AZ159" s="141"/>
      <c r="BA159" s="141"/>
      <c r="BB159" s="141"/>
      <c r="BC159" s="141"/>
      <c r="BD159" s="141"/>
      <c r="BE159" s="141"/>
      <c r="BF159" s="141"/>
      <c r="BG159" s="141"/>
      <c r="BH159" s="141"/>
      <c r="BI159" s="141"/>
      <c r="BJ159" s="141"/>
      <c r="BK159" s="141"/>
      <c r="BL159" s="61">
        <f>SEKOR!BN152</f>
        <v>0</v>
      </c>
      <c r="BM159" s="61">
        <f>SEKOR!BO152</f>
        <v>0</v>
      </c>
      <c r="BN159" s="62" t="str">
        <f>SEKOR!BP152</f>
        <v/>
      </c>
      <c r="BO159" s="62" t="str">
        <f>SEKOR!BQ152</f>
        <v/>
      </c>
      <c r="BP159" s="63" t="str">
        <f>SEKOR!BT152</f>
        <v/>
      </c>
      <c r="BQ159" s="88"/>
      <c r="BR159" s="88"/>
    </row>
    <row r="160" spans="1:70" ht="15" customHeight="1" x14ac:dyDescent="0.25">
      <c r="A160" s="83" t="str">
        <f>IF(B160="","",COUNTA($B$10:$B160))</f>
        <v/>
      </c>
      <c r="B160" s="137"/>
      <c r="C160" s="138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  <c r="AH160" s="141"/>
      <c r="AI160" s="141"/>
      <c r="AJ160" s="141"/>
      <c r="AK160" s="141"/>
      <c r="AL160" s="141"/>
      <c r="AM160" s="141"/>
      <c r="AN160" s="141"/>
      <c r="AO160" s="141"/>
      <c r="AP160" s="141"/>
      <c r="AQ160" s="141"/>
      <c r="AR160" s="141"/>
      <c r="AS160" s="141"/>
      <c r="AT160" s="141"/>
      <c r="AU160" s="141"/>
      <c r="AV160" s="141"/>
      <c r="AW160" s="141"/>
      <c r="AX160" s="141"/>
      <c r="AY160" s="141"/>
      <c r="AZ160" s="141"/>
      <c r="BA160" s="141"/>
      <c r="BB160" s="141"/>
      <c r="BC160" s="141"/>
      <c r="BD160" s="141"/>
      <c r="BE160" s="141"/>
      <c r="BF160" s="141"/>
      <c r="BG160" s="141"/>
      <c r="BH160" s="141"/>
      <c r="BI160" s="141"/>
      <c r="BJ160" s="141"/>
      <c r="BK160" s="141"/>
      <c r="BL160" s="61">
        <f>SEKOR!BN153</f>
        <v>0</v>
      </c>
      <c r="BM160" s="61">
        <f>SEKOR!BO153</f>
        <v>0</v>
      </c>
      <c r="BN160" s="62" t="str">
        <f>SEKOR!BP153</f>
        <v/>
      </c>
      <c r="BO160" s="62" t="str">
        <f>SEKOR!BQ153</f>
        <v/>
      </c>
      <c r="BP160" s="63" t="str">
        <f>SEKOR!BT153</f>
        <v/>
      </c>
      <c r="BQ160" s="88"/>
      <c r="BR160" s="88"/>
    </row>
    <row r="161" spans="1:70" ht="15" customHeight="1" x14ac:dyDescent="0.25">
      <c r="A161" s="83" t="str">
        <f>IF(B161="","",COUNTA($B$10:$B161))</f>
        <v/>
      </c>
      <c r="B161" s="137"/>
      <c r="C161" s="138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  <c r="AH161" s="141"/>
      <c r="AI161" s="141"/>
      <c r="AJ161" s="141"/>
      <c r="AK161" s="141"/>
      <c r="AL161" s="141"/>
      <c r="AM161" s="141"/>
      <c r="AN161" s="141"/>
      <c r="AO161" s="141"/>
      <c r="AP161" s="141"/>
      <c r="AQ161" s="141"/>
      <c r="AR161" s="141"/>
      <c r="AS161" s="141"/>
      <c r="AT161" s="141"/>
      <c r="AU161" s="141"/>
      <c r="AV161" s="141"/>
      <c r="AW161" s="141"/>
      <c r="AX161" s="141"/>
      <c r="AY161" s="141"/>
      <c r="AZ161" s="141"/>
      <c r="BA161" s="141"/>
      <c r="BB161" s="141"/>
      <c r="BC161" s="141"/>
      <c r="BD161" s="141"/>
      <c r="BE161" s="141"/>
      <c r="BF161" s="141"/>
      <c r="BG161" s="141"/>
      <c r="BH161" s="141"/>
      <c r="BI161" s="141"/>
      <c r="BJ161" s="141"/>
      <c r="BK161" s="141"/>
      <c r="BL161" s="61">
        <f>SEKOR!BN154</f>
        <v>0</v>
      </c>
      <c r="BM161" s="61">
        <f>SEKOR!BO154</f>
        <v>0</v>
      </c>
      <c r="BN161" s="62" t="str">
        <f>SEKOR!BP154</f>
        <v/>
      </c>
      <c r="BO161" s="62" t="str">
        <f>SEKOR!BQ154</f>
        <v/>
      </c>
      <c r="BP161" s="63" t="str">
        <f>SEKOR!BT154</f>
        <v/>
      </c>
      <c r="BQ161" s="88"/>
      <c r="BR161" s="88"/>
    </row>
    <row r="162" spans="1:70" ht="15" customHeight="1" x14ac:dyDescent="0.25">
      <c r="A162" s="83" t="str">
        <f>IF(B162="","",COUNTA($B$10:$B162))</f>
        <v/>
      </c>
      <c r="B162" s="137"/>
      <c r="C162" s="138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  <c r="AH162" s="141"/>
      <c r="AI162" s="141"/>
      <c r="AJ162" s="141"/>
      <c r="AK162" s="141"/>
      <c r="AL162" s="141"/>
      <c r="AM162" s="141"/>
      <c r="AN162" s="141"/>
      <c r="AO162" s="141"/>
      <c r="AP162" s="141"/>
      <c r="AQ162" s="141"/>
      <c r="AR162" s="141"/>
      <c r="AS162" s="141"/>
      <c r="AT162" s="141"/>
      <c r="AU162" s="141"/>
      <c r="AV162" s="141"/>
      <c r="AW162" s="141"/>
      <c r="AX162" s="141"/>
      <c r="AY162" s="141"/>
      <c r="AZ162" s="141"/>
      <c r="BA162" s="141"/>
      <c r="BB162" s="141"/>
      <c r="BC162" s="141"/>
      <c r="BD162" s="141"/>
      <c r="BE162" s="141"/>
      <c r="BF162" s="141"/>
      <c r="BG162" s="141"/>
      <c r="BH162" s="141"/>
      <c r="BI162" s="141"/>
      <c r="BJ162" s="141"/>
      <c r="BK162" s="141"/>
      <c r="BL162" s="61">
        <f>SEKOR!BN155</f>
        <v>0</v>
      </c>
      <c r="BM162" s="61">
        <f>SEKOR!BO155</f>
        <v>0</v>
      </c>
      <c r="BN162" s="62" t="str">
        <f>SEKOR!BP155</f>
        <v/>
      </c>
      <c r="BO162" s="62" t="str">
        <f>SEKOR!BQ155</f>
        <v/>
      </c>
      <c r="BP162" s="63" t="str">
        <f>SEKOR!BT155</f>
        <v/>
      </c>
      <c r="BQ162" s="88"/>
      <c r="BR162" s="88"/>
    </row>
    <row r="163" spans="1:70" ht="15" customHeight="1" x14ac:dyDescent="0.25">
      <c r="A163" s="83" t="str">
        <f>IF(B163="","",COUNTA($B$10:$B163))</f>
        <v/>
      </c>
      <c r="B163" s="137"/>
      <c r="C163" s="138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  <c r="AH163" s="141"/>
      <c r="AI163" s="141"/>
      <c r="AJ163" s="141"/>
      <c r="AK163" s="141"/>
      <c r="AL163" s="141"/>
      <c r="AM163" s="141"/>
      <c r="AN163" s="141"/>
      <c r="AO163" s="141"/>
      <c r="AP163" s="141"/>
      <c r="AQ163" s="141"/>
      <c r="AR163" s="141"/>
      <c r="AS163" s="141"/>
      <c r="AT163" s="141"/>
      <c r="AU163" s="141"/>
      <c r="AV163" s="141"/>
      <c r="AW163" s="141"/>
      <c r="AX163" s="141"/>
      <c r="AY163" s="141"/>
      <c r="AZ163" s="141"/>
      <c r="BA163" s="141"/>
      <c r="BB163" s="141"/>
      <c r="BC163" s="141"/>
      <c r="BD163" s="141"/>
      <c r="BE163" s="141"/>
      <c r="BF163" s="141"/>
      <c r="BG163" s="141"/>
      <c r="BH163" s="141"/>
      <c r="BI163" s="141"/>
      <c r="BJ163" s="141"/>
      <c r="BK163" s="141"/>
      <c r="BL163" s="61">
        <f>SEKOR!BN156</f>
        <v>0</v>
      </c>
      <c r="BM163" s="61">
        <f>SEKOR!BO156</f>
        <v>0</v>
      </c>
      <c r="BN163" s="62" t="str">
        <f>SEKOR!BP156</f>
        <v/>
      </c>
      <c r="BO163" s="62" t="str">
        <f>SEKOR!BQ156</f>
        <v/>
      </c>
      <c r="BP163" s="63" t="str">
        <f>SEKOR!BT156</f>
        <v/>
      </c>
      <c r="BQ163" s="88"/>
      <c r="BR163" s="88"/>
    </row>
    <row r="164" spans="1:70" ht="15" customHeight="1" x14ac:dyDescent="0.25">
      <c r="A164" s="83" t="str">
        <f>IF(B164="","",COUNTA($B$10:$B164))</f>
        <v/>
      </c>
      <c r="B164" s="137"/>
      <c r="C164" s="138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  <c r="AH164" s="141"/>
      <c r="AI164" s="141"/>
      <c r="AJ164" s="141"/>
      <c r="AK164" s="141"/>
      <c r="AL164" s="141"/>
      <c r="AM164" s="141"/>
      <c r="AN164" s="141"/>
      <c r="AO164" s="141"/>
      <c r="AP164" s="141"/>
      <c r="AQ164" s="141"/>
      <c r="AR164" s="141"/>
      <c r="AS164" s="141"/>
      <c r="AT164" s="141"/>
      <c r="AU164" s="141"/>
      <c r="AV164" s="141"/>
      <c r="AW164" s="141"/>
      <c r="AX164" s="141"/>
      <c r="AY164" s="141"/>
      <c r="AZ164" s="141"/>
      <c r="BA164" s="141"/>
      <c r="BB164" s="141"/>
      <c r="BC164" s="141"/>
      <c r="BD164" s="141"/>
      <c r="BE164" s="141"/>
      <c r="BF164" s="141"/>
      <c r="BG164" s="141"/>
      <c r="BH164" s="141"/>
      <c r="BI164" s="141"/>
      <c r="BJ164" s="141"/>
      <c r="BK164" s="141"/>
      <c r="BL164" s="61">
        <f>SEKOR!BN157</f>
        <v>0</v>
      </c>
      <c r="BM164" s="61">
        <f>SEKOR!BO157</f>
        <v>0</v>
      </c>
      <c r="BN164" s="62" t="str">
        <f>SEKOR!BP157</f>
        <v/>
      </c>
      <c r="BO164" s="62" t="str">
        <f>SEKOR!BQ157</f>
        <v/>
      </c>
      <c r="BP164" s="63" t="str">
        <f>SEKOR!BT157</f>
        <v/>
      </c>
      <c r="BQ164" s="88"/>
      <c r="BR164" s="88"/>
    </row>
    <row r="165" spans="1:70" ht="15" customHeight="1" x14ac:dyDescent="0.25">
      <c r="A165" s="83" t="str">
        <f>IF(B165="","",COUNTA($B$10:$B165))</f>
        <v/>
      </c>
      <c r="B165" s="137"/>
      <c r="C165" s="138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  <c r="AH165" s="141"/>
      <c r="AI165" s="141"/>
      <c r="AJ165" s="141"/>
      <c r="AK165" s="141"/>
      <c r="AL165" s="141"/>
      <c r="AM165" s="141"/>
      <c r="AN165" s="141"/>
      <c r="AO165" s="141"/>
      <c r="AP165" s="141"/>
      <c r="AQ165" s="141"/>
      <c r="AR165" s="141"/>
      <c r="AS165" s="141"/>
      <c r="AT165" s="141"/>
      <c r="AU165" s="141"/>
      <c r="AV165" s="141"/>
      <c r="AW165" s="141"/>
      <c r="AX165" s="141"/>
      <c r="AY165" s="141"/>
      <c r="AZ165" s="141"/>
      <c r="BA165" s="141"/>
      <c r="BB165" s="141"/>
      <c r="BC165" s="141"/>
      <c r="BD165" s="141"/>
      <c r="BE165" s="141"/>
      <c r="BF165" s="141"/>
      <c r="BG165" s="141"/>
      <c r="BH165" s="141"/>
      <c r="BI165" s="141"/>
      <c r="BJ165" s="141"/>
      <c r="BK165" s="141"/>
      <c r="BL165" s="61">
        <f>SEKOR!BN158</f>
        <v>0</v>
      </c>
      <c r="BM165" s="61">
        <f>SEKOR!BO158</f>
        <v>0</v>
      </c>
      <c r="BN165" s="62" t="str">
        <f>SEKOR!BP158</f>
        <v/>
      </c>
      <c r="BO165" s="62" t="str">
        <f>SEKOR!BQ158</f>
        <v/>
      </c>
      <c r="BP165" s="63" t="str">
        <f>SEKOR!BT158</f>
        <v/>
      </c>
      <c r="BQ165" s="88"/>
      <c r="BR165" s="88"/>
    </row>
    <row r="166" spans="1:70" ht="15" customHeight="1" x14ac:dyDescent="0.25">
      <c r="A166" s="83" t="str">
        <f>IF(B166="","",COUNTA($B$10:$B166))</f>
        <v/>
      </c>
      <c r="B166" s="137"/>
      <c r="C166" s="138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  <c r="AH166" s="141"/>
      <c r="AI166" s="141"/>
      <c r="AJ166" s="141"/>
      <c r="AK166" s="141"/>
      <c r="AL166" s="141"/>
      <c r="AM166" s="141"/>
      <c r="AN166" s="141"/>
      <c r="AO166" s="141"/>
      <c r="AP166" s="141"/>
      <c r="AQ166" s="141"/>
      <c r="AR166" s="141"/>
      <c r="AS166" s="141"/>
      <c r="AT166" s="141"/>
      <c r="AU166" s="141"/>
      <c r="AV166" s="141"/>
      <c r="AW166" s="141"/>
      <c r="AX166" s="141"/>
      <c r="AY166" s="141"/>
      <c r="AZ166" s="141"/>
      <c r="BA166" s="141"/>
      <c r="BB166" s="141"/>
      <c r="BC166" s="141"/>
      <c r="BD166" s="141"/>
      <c r="BE166" s="141"/>
      <c r="BF166" s="141"/>
      <c r="BG166" s="141"/>
      <c r="BH166" s="141"/>
      <c r="BI166" s="141"/>
      <c r="BJ166" s="141"/>
      <c r="BK166" s="141"/>
      <c r="BL166" s="61">
        <f>SEKOR!BN159</f>
        <v>0</v>
      </c>
      <c r="BM166" s="61">
        <f>SEKOR!BO159</f>
        <v>0</v>
      </c>
      <c r="BN166" s="62" t="str">
        <f>SEKOR!BP159</f>
        <v/>
      </c>
      <c r="BO166" s="62" t="str">
        <f>SEKOR!BQ159</f>
        <v/>
      </c>
      <c r="BP166" s="63" t="str">
        <f>SEKOR!BT159</f>
        <v/>
      </c>
      <c r="BQ166" s="88"/>
      <c r="BR166" s="88"/>
    </row>
    <row r="167" spans="1:70" ht="15" customHeight="1" x14ac:dyDescent="0.25">
      <c r="A167" s="83" t="str">
        <f>IF(B167="","",COUNTA($B$10:$B167))</f>
        <v/>
      </c>
      <c r="B167" s="137"/>
      <c r="C167" s="138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  <c r="AH167" s="141"/>
      <c r="AI167" s="141"/>
      <c r="AJ167" s="141"/>
      <c r="AK167" s="141"/>
      <c r="AL167" s="141"/>
      <c r="AM167" s="141"/>
      <c r="AN167" s="141"/>
      <c r="AO167" s="141"/>
      <c r="AP167" s="141"/>
      <c r="AQ167" s="141"/>
      <c r="AR167" s="141"/>
      <c r="AS167" s="141"/>
      <c r="AT167" s="141"/>
      <c r="AU167" s="141"/>
      <c r="AV167" s="141"/>
      <c r="AW167" s="141"/>
      <c r="AX167" s="141"/>
      <c r="AY167" s="141"/>
      <c r="AZ167" s="141"/>
      <c r="BA167" s="141"/>
      <c r="BB167" s="141"/>
      <c r="BC167" s="141"/>
      <c r="BD167" s="141"/>
      <c r="BE167" s="141"/>
      <c r="BF167" s="141"/>
      <c r="BG167" s="141"/>
      <c r="BH167" s="141"/>
      <c r="BI167" s="141"/>
      <c r="BJ167" s="141"/>
      <c r="BK167" s="141"/>
      <c r="BL167" s="61">
        <f>SEKOR!BN160</f>
        <v>0</v>
      </c>
      <c r="BM167" s="61">
        <f>SEKOR!BO160</f>
        <v>0</v>
      </c>
      <c r="BN167" s="62" t="str">
        <f>SEKOR!BP160</f>
        <v/>
      </c>
      <c r="BO167" s="62" t="str">
        <f>SEKOR!BQ160</f>
        <v/>
      </c>
      <c r="BP167" s="63" t="str">
        <f>SEKOR!BT160</f>
        <v/>
      </c>
      <c r="BQ167" s="88"/>
      <c r="BR167" s="88"/>
    </row>
    <row r="168" spans="1:70" ht="15" customHeight="1" x14ac:dyDescent="0.25">
      <c r="A168" s="83" t="str">
        <f>IF(B168="","",COUNTA($B$10:$B168))</f>
        <v/>
      </c>
      <c r="B168" s="137"/>
      <c r="C168" s="138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  <c r="AH168" s="141"/>
      <c r="AI168" s="141"/>
      <c r="AJ168" s="141"/>
      <c r="AK168" s="141"/>
      <c r="AL168" s="141"/>
      <c r="AM168" s="141"/>
      <c r="AN168" s="141"/>
      <c r="AO168" s="141"/>
      <c r="AP168" s="141"/>
      <c r="AQ168" s="141"/>
      <c r="AR168" s="141"/>
      <c r="AS168" s="141"/>
      <c r="AT168" s="141"/>
      <c r="AU168" s="141"/>
      <c r="AV168" s="141"/>
      <c r="AW168" s="141"/>
      <c r="AX168" s="141"/>
      <c r="AY168" s="141"/>
      <c r="AZ168" s="141"/>
      <c r="BA168" s="141"/>
      <c r="BB168" s="141"/>
      <c r="BC168" s="141"/>
      <c r="BD168" s="141"/>
      <c r="BE168" s="141"/>
      <c r="BF168" s="141"/>
      <c r="BG168" s="141"/>
      <c r="BH168" s="141"/>
      <c r="BI168" s="141"/>
      <c r="BJ168" s="141"/>
      <c r="BK168" s="141"/>
      <c r="BL168" s="61">
        <f>SEKOR!BN161</f>
        <v>0</v>
      </c>
      <c r="BM168" s="61">
        <f>SEKOR!BO161</f>
        <v>0</v>
      </c>
      <c r="BN168" s="62" t="str">
        <f>SEKOR!BP161</f>
        <v/>
      </c>
      <c r="BO168" s="62" t="str">
        <f>SEKOR!BQ161</f>
        <v/>
      </c>
      <c r="BP168" s="63" t="str">
        <f>SEKOR!BT161</f>
        <v/>
      </c>
      <c r="BQ168" s="88"/>
      <c r="BR168" s="88"/>
    </row>
    <row r="169" spans="1:70" ht="15" customHeight="1" x14ac:dyDescent="0.25">
      <c r="A169" s="83" t="str">
        <f>IF(B169="","",COUNTA($B$10:$B169))</f>
        <v/>
      </c>
      <c r="B169" s="137"/>
      <c r="C169" s="138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  <c r="AH169" s="141"/>
      <c r="AI169" s="141"/>
      <c r="AJ169" s="141"/>
      <c r="AK169" s="141"/>
      <c r="AL169" s="141"/>
      <c r="AM169" s="141"/>
      <c r="AN169" s="141"/>
      <c r="AO169" s="141"/>
      <c r="AP169" s="141"/>
      <c r="AQ169" s="141"/>
      <c r="AR169" s="141"/>
      <c r="AS169" s="141"/>
      <c r="AT169" s="141"/>
      <c r="AU169" s="141"/>
      <c r="AV169" s="141"/>
      <c r="AW169" s="141"/>
      <c r="AX169" s="141"/>
      <c r="AY169" s="141"/>
      <c r="AZ169" s="141"/>
      <c r="BA169" s="141"/>
      <c r="BB169" s="141"/>
      <c r="BC169" s="141"/>
      <c r="BD169" s="141"/>
      <c r="BE169" s="141"/>
      <c r="BF169" s="141"/>
      <c r="BG169" s="141"/>
      <c r="BH169" s="141"/>
      <c r="BI169" s="141"/>
      <c r="BJ169" s="141"/>
      <c r="BK169" s="141"/>
      <c r="BL169" s="61">
        <f>SEKOR!BN162</f>
        <v>0</v>
      </c>
      <c r="BM169" s="61">
        <f>SEKOR!BO162</f>
        <v>0</v>
      </c>
      <c r="BN169" s="62" t="str">
        <f>SEKOR!BP162</f>
        <v/>
      </c>
      <c r="BO169" s="62" t="str">
        <f>SEKOR!BQ162</f>
        <v/>
      </c>
      <c r="BP169" s="63" t="str">
        <f>SEKOR!BT162</f>
        <v/>
      </c>
      <c r="BQ169" s="88"/>
      <c r="BR169" s="88"/>
    </row>
    <row r="170" spans="1:70" ht="15" customHeight="1" x14ac:dyDescent="0.25">
      <c r="A170" s="83" t="str">
        <f>IF(B170="","",COUNTA($B$10:$B170))</f>
        <v/>
      </c>
      <c r="B170" s="137"/>
      <c r="C170" s="138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  <c r="AH170" s="141"/>
      <c r="AI170" s="141"/>
      <c r="AJ170" s="141"/>
      <c r="AK170" s="141"/>
      <c r="AL170" s="141"/>
      <c r="AM170" s="141"/>
      <c r="AN170" s="141"/>
      <c r="AO170" s="141"/>
      <c r="AP170" s="141"/>
      <c r="AQ170" s="141"/>
      <c r="AR170" s="141"/>
      <c r="AS170" s="141"/>
      <c r="AT170" s="141"/>
      <c r="AU170" s="141"/>
      <c r="AV170" s="141"/>
      <c r="AW170" s="141"/>
      <c r="AX170" s="141"/>
      <c r="AY170" s="141"/>
      <c r="AZ170" s="141"/>
      <c r="BA170" s="141"/>
      <c r="BB170" s="141"/>
      <c r="BC170" s="141"/>
      <c r="BD170" s="141"/>
      <c r="BE170" s="141"/>
      <c r="BF170" s="141"/>
      <c r="BG170" s="141"/>
      <c r="BH170" s="141"/>
      <c r="BI170" s="141"/>
      <c r="BJ170" s="141"/>
      <c r="BK170" s="141"/>
      <c r="BL170" s="61">
        <f>SEKOR!BN163</f>
        <v>0</v>
      </c>
      <c r="BM170" s="61">
        <f>SEKOR!BO163</f>
        <v>0</v>
      </c>
      <c r="BN170" s="62" t="str">
        <f>SEKOR!BP163</f>
        <v/>
      </c>
      <c r="BO170" s="62" t="str">
        <f>SEKOR!BQ163</f>
        <v/>
      </c>
      <c r="BP170" s="63" t="str">
        <f>SEKOR!BT163</f>
        <v/>
      </c>
      <c r="BQ170" s="88"/>
      <c r="BR170" s="88"/>
    </row>
    <row r="171" spans="1:70" ht="15" customHeight="1" x14ac:dyDescent="0.25">
      <c r="A171" s="83" t="str">
        <f>IF(B171="","",COUNTA($B$10:$B171))</f>
        <v/>
      </c>
      <c r="B171" s="137"/>
      <c r="C171" s="138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  <c r="AH171" s="141"/>
      <c r="AI171" s="141"/>
      <c r="AJ171" s="141"/>
      <c r="AK171" s="141"/>
      <c r="AL171" s="141"/>
      <c r="AM171" s="141"/>
      <c r="AN171" s="141"/>
      <c r="AO171" s="141"/>
      <c r="AP171" s="141"/>
      <c r="AQ171" s="141"/>
      <c r="AR171" s="141"/>
      <c r="AS171" s="141"/>
      <c r="AT171" s="141"/>
      <c r="AU171" s="141"/>
      <c r="AV171" s="141"/>
      <c r="AW171" s="141"/>
      <c r="AX171" s="141"/>
      <c r="AY171" s="141"/>
      <c r="AZ171" s="141"/>
      <c r="BA171" s="141"/>
      <c r="BB171" s="141"/>
      <c r="BC171" s="141"/>
      <c r="BD171" s="141"/>
      <c r="BE171" s="141"/>
      <c r="BF171" s="141"/>
      <c r="BG171" s="141"/>
      <c r="BH171" s="141"/>
      <c r="BI171" s="141"/>
      <c r="BJ171" s="141"/>
      <c r="BK171" s="141"/>
      <c r="BL171" s="61">
        <f>SEKOR!BN164</f>
        <v>0</v>
      </c>
      <c r="BM171" s="61">
        <f>SEKOR!BO164</f>
        <v>0</v>
      </c>
      <c r="BN171" s="62" t="str">
        <f>SEKOR!BP164</f>
        <v/>
      </c>
      <c r="BO171" s="62" t="str">
        <f>SEKOR!BQ164</f>
        <v/>
      </c>
      <c r="BP171" s="63" t="str">
        <f>SEKOR!BT164</f>
        <v/>
      </c>
      <c r="BQ171" s="88"/>
      <c r="BR171" s="88"/>
    </row>
    <row r="172" spans="1:70" ht="15" customHeight="1" x14ac:dyDescent="0.25">
      <c r="A172" s="83" t="str">
        <f>IF(B172="","",COUNTA($B$10:$B172))</f>
        <v/>
      </c>
      <c r="B172" s="137"/>
      <c r="C172" s="138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  <c r="AH172" s="141"/>
      <c r="AI172" s="141"/>
      <c r="AJ172" s="141"/>
      <c r="AK172" s="141"/>
      <c r="AL172" s="141"/>
      <c r="AM172" s="141"/>
      <c r="AN172" s="141"/>
      <c r="AO172" s="141"/>
      <c r="AP172" s="141"/>
      <c r="AQ172" s="141"/>
      <c r="AR172" s="141"/>
      <c r="AS172" s="141"/>
      <c r="AT172" s="141"/>
      <c r="AU172" s="141"/>
      <c r="AV172" s="141"/>
      <c r="AW172" s="141"/>
      <c r="AX172" s="141"/>
      <c r="AY172" s="141"/>
      <c r="AZ172" s="141"/>
      <c r="BA172" s="141"/>
      <c r="BB172" s="141"/>
      <c r="BC172" s="141"/>
      <c r="BD172" s="141"/>
      <c r="BE172" s="141"/>
      <c r="BF172" s="141"/>
      <c r="BG172" s="141"/>
      <c r="BH172" s="141"/>
      <c r="BI172" s="141"/>
      <c r="BJ172" s="141"/>
      <c r="BK172" s="141"/>
      <c r="BL172" s="61">
        <f>SEKOR!BN165</f>
        <v>0</v>
      </c>
      <c r="BM172" s="61">
        <f>SEKOR!BO165</f>
        <v>0</v>
      </c>
      <c r="BN172" s="62" t="str">
        <f>SEKOR!BP165</f>
        <v/>
      </c>
      <c r="BO172" s="62" t="str">
        <f>SEKOR!BQ165</f>
        <v/>
      </c>
      <c r="BP172" s="63" t="str">
        <f>SEKOR!BT165</f>
        <v/>
      </c>
      <c r="BQ172" s="88"/>
      <c r="BR172" s="88"/>
    </row>
    <row r="173" spans="1:70" ht="15" customHeight="1" x14ac:dyDescent="0.25">
      <c r="A173" s="83" t="str">
        <f>IF(B173="","",COUNTA($B$10:$B173))</f>
        <v/>
      </c>
      <c r="B173" s="137"/>
      <c r="C173" s="138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  <c r="AH173" s="141"/>
      <c r="AI173" s="141"/>
      <c r="AJ173" s="141"/>
      <c r="AK173" s="141"/>
      <c r="AL173" s="141"/>
      <c r="AM173" s="141"/>
      <c r="AN173" s="141"/>
      <c r="AO173" s="141"/>
      <c r="AP173" s="141"/>
      <c r="AQ173" s="141"/>
      <c r="AR173" s="141"/>
      <c r="AS173" s="141"/>
      <c r="AT173" s="141"/>
      <c r="AU173" s="141"/>
      <c r="AV173" s="141"/>
      <c r="AW173" s="141"/>
      <c r="AX173" s="141"/>
      <c r="AY173" s="141"/>
      <c r="AZ173" s="141"/>
      <c r="BA173" s="141"/>
      <c r="BB173" s="141"/>
      <c r="BC173" s="141"/>
      <c r="BD173" s="141"/>
      <c r="BE173" s="141"/>
      <c r="BF173" s="141"/>
      <c r="BG173" s="141"/>
      <c r="BH173" s="141"/>
      <c r="BI173" s="141"/>
      <c r="BJ173" s="141"/>
      <c r="BK173" s="141"/>
      <c r="BL173" s="61">
        <f>SEKOR!BN166</f>
        <v>0</v>
      </c>
      <c r="BM173" s="61">
        <f>SEKOR!BO166</f>
        <v>0</v>
      </c>
      <c r="BN173" s="62" t="str">
        <f>SEKOR!BP166</f>
        <v/>
      </c>
      <c r="BO173" s="62" t="str">
        <f>SEKOR!BQ166</f>
        <v/>
      </c>
      <c r="BP173" s="63" t="str">
        <f>SEKOR!BT166</f>
        <v/>
      </c>
      <c r="BQ173" s="88"/>
      <c r="BR173" s="88"/>
    </row>
    <row r="174" spans="1:70" ht="15" customHeight="1" x14ac:dyDescent="0.25">
      <c r="A174" s="83" t="str">
        <f>IF(B174="","",COUNTA($B$10:$B174))</f>
        <v/>
      </c>
      <c r="B174" s="137"/>
      <c r="C174" s="138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  <c r="AH174" s="141"/>
      <c r="AI174" s="141"/>
      <c r="AJ174" s="141"/>
      <c r="AK174" s="141"/>
      <c r="AL174" s="141"/>
      <c r="AM174" s="141"/>
      <c r="AN174" s="141"/>
      <c r="AO174" s="141"/>
      <c r="AP174" s="141"/>
      <c r="AQ174" s="141"/>
      <c r="AR174" s="141"/>
      <c r="AS174" s="141"/>
      <c r="AT174" s="141"/>
      <c r="AU174" s="141"/>
      <c r="AV174" s="141"/>
      <c r="AW174" s="141"/>
      <c r="AX174" s="141"/>
      <c r="AY174" s="141"/>
      <c r="AZ174" s="141"/>
      <c r="BA174" s="141"/>
      <c r="BB174" s="141"/>
      <c r="BC174" s="141"/>
      <c r="BD174" s="141"/>
      <c r="BE174" s="141"/>
      <c r="BF174" s="141"/>
      <c r="BG174" s="141"/>
      <c r="BH174" s="141"/>
      <c r="BI174" s="141"/>
      <c r="BJ174" s="141"/>
      <c r="BK174" s="141"/>
      <c r="BL174" s="61">
        <f>SEKOR!BN167</f>
        <v>0</v>
      </c>
      <c r="BM174" s="61">
        <f>SEKOR!BO167</f>
        <v>0</v>
      </c>
      <c r="BN174" s="62" t="str">
        <f>SEKOR!BP167</f>
        <v/>
      </c>
      <c r="BO174" s="62" t="str">
        <f>SEKOR!BQ167</f>
        <v/>
      </c>
      <c r="BP174" s="63" t="str">
        <f>SEKOR!BT167</f>
        <v/>
      </c>
      <c r="BQ174" s="88"/>
      <c r="BR174" s="88"/>
    </row>
    <row r="175" spans="1:70" ht="15" customHeight="1" x14ac:dyDescent="0.25">
      <c r="A175" s="83" t="str">
        <f>IF(B175="","",COUNTA($B$10:$B175))</f>
        <v/>
      </c>
      <c r="B175" s="137"/>
      <c r="C175" s="138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  <c r="AH175" s="141"/>
      <c r="AI175" s="141"/>
      <c r="AJ175" s="141"/>
      <c r="AK175" s="141"/>
      <c r="AL175" s="141"/>
      <c r="AM175" s="141"/>
      <c r="AN175" s="141"/>
      <c r="AO175" s="141"/>
      <c r="AP175" s="141"/>
      <c r="AQ175" s="141"/>
      <c r="AR175" s="141"/>
      <c r="AS175" s="141"/>
      <c r="AT175" s="141"/>
      <c r="AU175" s="141"/>
      <c r="AV175" s="141"/>
      <c r="AW175" s="141"/>
      <c r="AX175" s="141"/>
      <c r="AY175" s="141"/>
      <c r="AZ175" s="141"/>
      <c r="BA175" s="141"/>
      <c r="BB175" s="141"/>
      <c r="BC175" s="141"/>
      <c r="BD175" s="141"/>
      <c r="BE175" s="141"/>
      <c r="BF175" s="141"/>
      <c r="BG175" s="141"/>
      <c r="BH175" s="141"/>
      <c r="BI175" s="141"/>
      <c r="BJ175" s="141"/>
      <c r="BK175" s="141"/>
      <c r="BL175" s="61">
        <f>SEKOR!BN168</f>
        <v>0</v>
      </c>
      <c r="BM175" s="61">
        <f>SEKOR!BO168</f>
        <v>0</v>
      </c>
      <c r="BN175" s="62" t="str">
        <f>SEKOR!BP168</f>
        <v/>
      </c>
      <c r="BO175" s="62" t="str">
        <f>SEKOR!BQ168</f>
        <v/>
      </c>
      <c r="BP175" s="63" t="str">
        <f>SEKOR!BT168</f>
        <v/>
      </c>
      <c r="BQ175" s="88"/>
      <c r="BR175" s="88"/>
    </row>
    <row r="176" spans="1:70" ht="15" customHeight="1" x14ac:dyDescent="0.25">
      <c r="A176" s="83" t="str">
        <f>IF(B176="","",COUNTA($B$10:$B176))</f>
        <v/>
      </c>
      <c r="B176" s="137"/>
      <c r="C176" s="138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  <c r="AH176" s="141"/>
      <c r="AI176" s="141"/>
      <c r="AJ176" s="141"/>
      <c r="AK176" s="141"/>
      <c r="AL176" s="141"/>
      <c r="AM176" s="141"/>
      <c r="AN176" s="141"/>
      <c r="AO176" s="141"/>
      <c r="AP176" s="141"/>
      <c r="AQ176" s="141"/>
      <c r="AR176" s="141"/>
      <c r="AS176" s="141"/>
      <c r="AT176" s="141"/>
      <c r="AU176" s="141"/>
      <c r="AV176" s="141"/>
      <c r="AW176" s="141"/>
      <c r="AX176" s="141"/>
      <c r="AY176" s="141"/>
      <c r="AZ176" s="141"/>
      <c r="BA176" s="141"/>
      <c r="BB176" s="141"/>
      <c r="BC176" s="141"/>
      <c r="BD176" s="141"/>
      <c r="BE176" s="141"/>
      <c r="BF176" s="141"/>
      <c r="BG176" s="141"/>
      <c r="BH176" s="141"/>
      <c r="BI176" s="141"/>
      <c r="BJ176" s="141"/>
      <c r="BK176" s="141"/>
      <c r="BL176" s="61">
        <f>SEKOR!BN169</f>
        <v>0</v>
      </c>
      <c r="BM176" s="61">
        <f>SEKOR!BO169</f>
        <v>0</v>
      </c>
      <c r="BN176" s="62" t="str">
        <f>SEKOR!BP169</f>
        <v/>
      </c>
      <c r="BO176" s="62" t="str">
        <f>SEKOR!BQ169</f>
        <v/>
      </c>
      <c r="BP176" s="63" t="str">
        <f>SEKOR!BT169</f>
        <v/>
      </c>
      <c r="BQ176" s="88"/>
      <c r="BR176" s="88"/>
    </row>
    <row r="177" spans="1:70" ht="15" customHeight="1" x14ac:dyDescent="0.25">
      <c r="A177" s="83" t="str">
        <f>IF(B177="","",COUNTA($B$10:$B177))</f>
        <v/>
      </c>
      <c r="B177" s="137"/>
      <c r="C177" s="138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  <c r="AH177" s="141"/>
      <c r="AI177" s="141"/>
      <c r="AJ177" s="141"/>
      <c r="AK177" s="141"/>
      <c r="AL177" s="141"/>
      <c r="AM177" s="141"/>
      <c r="AN177" s="141"/>
      <c r="AO177" s="141"/>
      <c r="AP177" s="141"/>
      <c r="AQ177" s="141"/>
      <c r="AR177" s="141"/>
      <c r="AS177" s="141"/>
      <c r="AT177" s="141"/>
      <c r="AU177" s="141"/>
      <c r="AV177" s="141"/>
      <c r="AW177" s="141"/>
      <c r="AX177" s="141"/>
      <c r="AY177" s="141"/>
      <c r="AZ177" s="141"/>
      <c r="BA177" s="141"/>
      <c r="BB177" s="141"/>
      <c r="BC177" s="141"/>
      <c r="BD177" s="141"/>
      <c r="BE177" s="141"/>
      <c r="BF177" s="141"/>
      <c r="BG177" s="141"/>
      <c r="BH177" s="141"/>
      <c r="BI177" s="141"/>
      <c r="BJ177" s="141"/>
      <c r="BK177" s="141"/>
      <c r="BL177" s="61">
        <f>SEKOR!BN170</f>
        <v>0</v>
      </c>
      <c r="BM177" s="61">
        <f>SEKOR!BO170</f>
        <v>0</v>
      </c>
      <c r="BN177" s="62" t="str">
        <f>SEKOR!BP170</f>
        <v/>
      </c>
      <c r="BO177" s="62" t="str">
        <f>SEKOR!BQ170</f>
        <v/>
      </c>
      <c r="BP177" s="63" t="str">
        <f>SEKOR!BT170</f>
        <v/>
      </c>
      <c r="BQ177" s="88"/>
      <c r="BR177" s="88"/>
    </row>
    <row r="178" spans="1:70" ht="15" customHeight="1" x14ac:dyDescent="0.25">
      <c r="A178" s="83" t="str">
        <f>IF(B178="","",COUNTA($B$10:$B178))</f>
        <v/>
      </c>
      <c r="B178" s="137"/>
      <c r="C178" s="138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  <c r="AH178" s="141"/>
      <c r="AI178" s="141"/>
      <c r="AJ178" s="141"/>
      <c r="AK178" s="141"/>
      <c r="AL178" s="141"/>
      <c r="AM178" s="141"/>
      <c r="AN178" s="141"/>
      <c r="AO178" s="141"/>
      <c r="AP178" s="141"/>
      <c r="AQ178" s="141"/>
      <c r="AR178" s="141"/>
      <c r="AS178" s="141"/>
      <c r="AT178" s="141"/>
      <c r="AU178" s="141"/>
      <c r="AV178" s="141"/>
      <c r="AW178" s="141"/>
      <c r="AX178" s="141"/>
      <c r="AY178" s="141"/>
      <c r="AZ178" s="141"/>
      <c r="BA178" s="141"/>
      <c r="BB178" s="141"/>
      <c r="BC178" s="141"/>
      <c r="BD178" s="141"/>
      <c r="BE178" s="141"/>
      <c r="BF178" s="141"/>
      <c r="BG178" s="141"/>
      <c r="BH178" s="141"/>
      <c r="BI178" s="141"/>
      <c r="BJ178" s="141"/>
      <c r="BK178" s="141"/>
      <c r="BL178" s="61">
        <f>SEKOR!BN171</f>
        <v>0</v>
      </c>
      <c r="BM178" s="61">
        <f>SEKOR!BO171</f>
        <v>0</v>
      </c>
      <c r="BN178" s="62" t="str">
        <f>SEKOR!BP171</f>
        <v/>
      </c>
      <c r="BO178" s="62" t="str">
        <f>SEKOR!BQ171</f>
        <v/>
      </c>
      <c r="BP178" s="63" t="str">
        <f>SEKOR!BT171</f>
        <v/>
      </c>
      <c r="BQ178" s="88"/>
      <c r="BR178" s="88"/>
    </row>
    <row r="179" spans="1:70" ht="15" customHeight="1" x14ac:dyDescent="0.25">
      <c r="A179" s="83" t="str">
        <f>IF(B179="","",COUNTA($B$10:$B179))</f>
        <v/>
      </c>
      <c r="B179" s="137"/>
      <c r="C179" s="138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  <c r="AH179" s="141"/>
      <c r="AI179" s="141"/>
      <c r="AJ179" s="141"/>
      <c r="AK179" s="141"/>
      <c r="AL179" s="141"/>
      <c r="AM179" s="141"/>
      <c r="AN179" s="141"/>
      <c r="AO179" s="141"/>
      <c r="AP179" s="141"/>
      <c r="AQ179" s="141"/>
      <c r="AR179" s="141"/>
      <c r="AS179" s="141"/>
      <c r="AT179" s="141"/>
      <c r="AU179" s="141"/>
      <c r="AV179" s="141"/>
      <c r="AW179" s="141"/>
      <c r="AX179" s="141"/>
      <c r="AY179" s="141"/>
      <c r="AZ179" s="141"/>
      <c r="BA179" s="141"/>
      <c r="BB179" s="141"/>
      <c r="BC179" s="141"/>
      <c r="BD179" s="141"/>
      <c r="BE179" s="141"/>
      <c r="BF179" s="141"/>
      <c r="BG179" s="141"/>
      <c r="BH179" s="141"/>
      <c r="BI179" s="141"/>
      <c r="BJ179" s="141"/>
      <c r="BK179" s="141"/>
      <c r="BL179" s="61">
        <f>SEKOR!BN172</f>
        <v>0</v>
      </c>
      <c r="BM179" s="61">
        <f>SEKOR!BO172</f>
        <v>0</v>
      </c>
      <c r="BN179" s="62" t="str">
        <f>SEKOR!BP172</f>
        <v/>
      </c>
      <c r="BO179" s="62" t="str">
        <f>SEKOR!BQ172</f>
        <v/>
      </c>
      <c r="BP179" s="63" t="str">
        <f>SEKOR!BT172</f>
        <v/>
      </c>
      <c r="BQ179" s="88"/>
      <c r="BR179" s="88"/>
    </row>
    <row r="180" spans="1:70" ht="15" customHeight="1" x14ac:dyDescent="0.25">
      <c r="A180" s="83" t="str">
        <f>IF(B180="","",COUNTA($B$10:$B180))</f>
        <v/>
      </c>
      <c r="B180" s="137"/>
      <c r="C180" s="138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  <c r="AH180" s="141"/>
      <c r="AI180" s="141"/>
      <c r="AJ180" s="141"/>
      <c r="AK180" s="141"/>
      <c r="AL180" s="141"/>
      <c r="AM180" s="141"/>
      <c r="AN180" s="141"/>
      <c r="AO180" s="141"/>
      <c r="AP180" s="141"/>
      <c r="AQ180" s="141"/>
      <c r="AR180" s="141"/>
      <c r="AS180" s="141"/>
      <c r="AT180" s="141"/>
      <c r="AU180" s="141"/>
      <c r="AV180" s="141"/>
      <c r="AW180" s="141"/>
      <c r="AX180" s="141"/>
      <c r="AY180" s="141"/>
      <c r="AZ180" s="141"/>
      <c r="BA180" s="141"/>
      <c r="BB180" s="141"/>
      <c r="BC180" s="141"/>
      <c r="BD180" s="141"/>
      <c r="BE180" s="141"/>
      <c r="BF180" s="141"/>
      <c r="BG180" s="141"/>
      <c r="BH180" s="141"/>
      <c r="BI180" s="141"/>
      <c r="BJ180" s="141"/>
      <c r="BK180" s="141"/>
      <c r="BL180" s="61">
        <f>SEKOR!BN173</f>
        <v>0</v>
      </c>
      <c r="BM180" s="61">
        <f>SEKOR!BO173</f>
        <v>0</v>
      </c>
      <c r="BN180" s="62" t="str">
        <f>SEKOR!BP173</f>
        <v/>
      </c>
      <c r="BO180" s="62" t="str">
        <f>SEKOR!BQ173</f>
        <v/>
      </c>
      <c r="BP180" s="63" t="str">
        <f>SEKOR!BT173</f>
        <v/>
      </c>
      <c r="BQ180" s="88"/>
      <c r="BR180" s="88"/>
    </row>
    <row r="181" spans="1:70" ht="15" customHeight="1" x14ac:dyDescent="0.25">
      <c r="A181" s="83" t="str">
        <f>IF(B181="","",COUNTA($B$10:$B181))</f>
        <v/>
      </c>
      <c r="B181" s="137"/>
      <c r="C181" s="138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  <c r="AH181" s="141"/>
      <c r="AI181" s="141"/>
      <c r="AJ181" s="141"/>
      <c r="AK181" s="141"/>
      <c r="AL181" s="141"/>
      <c r="AM181" s="141"/>
      <c r="AN181" s="141"/>
      <c r="AO181" s="141"/>
      <c r="AP181" s="141"/>
      <c r="AQ181" s="141"/>
      <c r="AR181" s="141"/>
      <c r="AS181" s="141"/>
      <c r="AT181" s="141"/>
      <c r="AU181" s="141"/>
      <c r="AV181" s="141"/>
      <c r="AW181" s="141"/>
      <c r="AX181" s="141"/>
      <c r="AY181" s="141"/>
      <c r="AZ181" s="141"/>
      <c r="BA181" s="141"/>
      <c r="BB181" s="141"/>
      <c r="BC181" s="141"/>
      <c r="BD181" s="141"/>
      <c r="BE181" s="141"/>
      <c r="BF181" s="141"/>
      <c r="BG181" s="141"/>
      <c r="BH181" s="141"/>
      <c r="BI181" s="141"/>
      <c r="BJ181" s="141"/>
      <c r="BK181" s="141"/>
      <c r="BL181" s="61">
        <f>SEKOR!BN174</f>
        <v>0</v>
      </c>
      <c r="BM181" s="61">
        <f>SEKOR!BO174</f>
        <v>0</v>
      </c>
      <c r="BN181" s="62" t="str">
        <f>SEKOR!BP174</f>
        <v/>
      </c>
      <c r="BO181" s="62" t="str">
        <f>SEKOR!BQ174</f>
        <v/>
      </c>
      <c r="BP181" s="63" t="str">
        <f>SEKOR!BT174</f>
        <v/>
      </c>
      <c r="BQ181" s="88"/>
      <c r="BR181" s="88"/>
    </row>
    <row r="182" spans="1:70" ht="15" customHeight="1" x14ac:dyDescent="0.25">
      <c r="A182" s="83" t="str">
        <f>IF(B182="","",COUNTA($B$10:$B182))</f>
        <v/>
      </c>
      <c r="B182" s="137"/>
      <c r="C182" s="138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  <c r="AH182" s="141"/>
      <c r="AI182" s="141"/>
      <c r="AJ182" s="141"/>
      <c r="AK182" s="141"/>
      <c r="AL182" s="141"/>
      <c r="AM182" s="141"/>
      <c r="AN182" s="141"/>
      <c r="AO182" s="141"/>
      <c r="AP182" s="141"/>
      <c r="AQ182" s="141"/>
      <c r="AR182" s="141"/>
      <c r="AS182" s="141"/>
      <c r="AT182" s="141"/>
      <c r="AU182" s="141"/>
      <c r="AV182" s="141"/>
      <c r="AW182" s="141"/>
      <c r="AX182" s="141"/>
      <c r="AY182" s="141"/>
      <c r="AZ182" s="141"/>
      <c r="BA182" s="141"/>
      <c r="BB182" s="141"/>
      <c r="BC182" s="141"/>
      <c r="BD182" s="141"/>
      <c r="BE182" s="141"/>
      <c r="BF182" s="141"/>
      <c r="BG182" s="141"/>
      <c r="BH182" s="141"/>
      <c r="BI182" s="141"/>
      <c r="BJ182" s="141"/>
      <c r="BK182" s="141"/>
      <c r="BL182" s="61">
        <f>SEKOR!BN175</f>
        <v>0</v>
      </c>
      <c r="BM182" s="61">
        <f>SEKOR!BO175</f>
        <v>0</v>
      </c>
      <c r="BN182" s="62" t="str">
        <f>SEKOR!BP175</f>
        <v/>
      </c>
      <c r="BO182" s="62" t="str">
        <f>SEKOR!BQ175</f>
        <v/>
      </c>
      <c r="BP182" s="63" t="str">
        <f>SEKOR!BT175</f>
        <v/>
      </c>
      <c r="BQ182" s="88"/>
      <c r="BR182" s="88"/>
    </row>
    <row r="183" spans="1:70" ht="15" customHeight="1" x14ac:dyDescent="0.25">
      <c r="A183" s="83" t="str">
        <f>IF(B183="","",COUNTA($B$10:$B183))</f>
        <v/>
      </c>
      <c r="B183" s="137"/>
      <c r="C183" s="138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  <c r="AH183" s="141"/>
      <c r="AI183" s="141"/>
      <c r="AJ183" s="141"/>
      <c r="AK183" s="141"/>
      <c r="AL183" s="141"/>
      <c r="AM183" s="141"/>
      <c r="AN183" s="141"/>
      <c r="AO183" s="141"/>
      <c r="AP183" s="141"/>
      <c r="AQ183" s="141"/>
      <c r="AR183" s="141"/>
      <c r="AS183" s="141"/>
      <c r="AT183" s="141"/>
      <c r="AU183" s="141"/>
      <c r="AV183" s="141"/>
      <c r="AW183" s="141"/>
      <c r="AX183" s="141"/>
      <c r="AY183" s="141"/>
      <c r="AZ183" s="141"/>
      <c r="BA183" s="141"/>
      <c r="BB183" s="141"/>
      <c r="BC183" s="141"/>
      <c r="BD183" s="141"/>
      <c r="BE183" s="141"/>
      <c r="BF183" s="141"/>
      <c r="BG183" s="141"/>
      <c r="BH183" s="141"/>
      <c r="BI183" s="141"/>
      <c r="BJ183" s="141"/>
      <c r="BK183" s="141"/>
      <c r="BL183" s="61">
        <f>SEKOR!BN176</f>
        <v>0</v>
      </c>
      <c r="BM183" s="61">
        <f>SEKOR!BO176</f>
        <v>0</v>
      </c>
      <c r="BN183" s="62" t="str">
        <f>SEKOR!BP176</f>
        <v/>
      </c>
      <c r="BO183" s="62" t="str">
        <f>SEKOR!BQ176</f>
        <v/>
      </c>
      <c r="BP183" s="63" t="str">
        <f>SEKOR!BT176</f>
        <v/>
      </c>
      <c r="BQ183" s="88"/>
      <c r="BR183" s="88"/>
    </row>
    <row r="184" spans="1:70" ht="15" customHeight="1" x14ac:dyDescent="0.25">
      <c r="A184" s="83" t="str">
        <f>IF(B184="","",COUNTA($B$10:$B184))</f>
        <v/>
      </c>
      <c r="B184" s="137"/>
      <c r="C184" s="138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  <c r="AH184" s="141"/>
      <c r="AI184" s="141"/>
      <c r="AJ184" s="141"/>
      <c r="AK184" s="141"/>
      <c r="AL184" s="141"/>
      <c r="AM184" s="141"/>
      <c r="AN184" s="141"/>
      <c r="AO184" s="141"/>
      <c r="AP184" s="141"/>
      <c r="AQ184" s="141"/>
      <c r="AR184" s="141"/>
      <c r="AS184" s="141"/>
      <c r="AT184" s="141"/>
      <c r="AU184" s="141"/>
      <c r="AV184" s="141"/>
      <c r="AW184" s="141"/>
      <c r="AX184" s="141"/>
      <c r="AY184" s="141"/>
      <c r="AZ184" s="141"/>
      <c r="BA184" s="141"/>
      <c r="BB184" s="141"/>
      <c r="BC184" s="141"/>
      <c r="BD184" s="141"/>
      <c r="BE184" s="141"/>
      <c r="BF184" s="141"/>
      <c r="BG184" s="141"/>
      <c r="BH184" s="141"/>
      <c r="BI184" s="141"/>
      <c r="BJ184" s="141"/>
      <c r="BK184" s="141"/>
      <c r="BL184" s="61">
        <f>SEKOR!BN177</f>
        <v>0</v>
      </c>
      <c r="BM184" s="61">
        <f>SEKOR!BO177</f>
        <v>0</v>
      </c>
      <c r="BN184" s="62" t="str">
        <f>SEKOR!BP177</f>
        <v/>
      </c>
      <c r="BO184" s="62" t="str">
        <f>SEKOR!BQ177</f>
        <v/>
      </c>
      <c r="BP184" s="63" t="str">
        <f>SEKOR!BT177</f>
        <v/>
      </c>
      <c r="BQ184" s="88"/>
      <c r="BR184" s="88"/>
    </row>
    <row r="185" spans="1:70" ht="15" customHeight="1" x14ac:dyDescent="0.25">
      <c r="A185" s="83" t="str">
        <f>IF(B185="","",COUNTA($B$10:$B185))</f>
        <v/>
      </c>
      <c r="B185" s="137"/>
      <c r="C185" s="138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  <c r="AH185" s="141"/>
      <c r="AI185" s="141"/>
      <c r="AJ185" s="141"/>
      <c r="AK185" s="141"/>
      <c r="AL185" s="141"/>
      <c r="AM185" s="141"/>
      <c r="AN185" s="141"/>
      <c r="AO185" s="141"/>
      <c r="AP185" s="141"/>
      <c r="AQ185" s="141"/>
      <c r="AR185" s="141"/>
      <c r="AS185" s="141"/>
      <c r="AT185" s="141"/>
      <c r="AU185" s="141"/>
      <c r="AV185" s="141"/>
      <c r="AW185" s="141"/>
      <c r="AX185" s="141"/>
      <c r="AY185" s="141"/>
      <c r="AZ185" s="141"/>
      <c r="BA185" s="141"/>
      <c r="BB185" s="141"/>
      <c r="BC185" s="141"/>
      <c r="BD185" s="141"/>
      <c r="BE185" s="141"/>
      <c r="BF185" s="141"/>
      <c r="BG185" s="141"/>
      <c r="BH185" s="141"/>
      <c r="BI185" s="141"/>
      <c r="BJ185" s="141"/>
      <c r="BK185" s="141"/>
      <c r="BL185" s="61">
        <f>SEKOR!BN178</f>
        <v>0</v>
      </c>
      <c r="BM185" s="61">
        <f>SEKOR!BO178</f>
        <v>0</v>
      </c>
      <c r="BN185" s="62" t="str">
        <f>SEKOR!BP178</f>
        <v/>
      </c>
      <c r="BO185" s="62" t="str">
        <f>SEKOR!BQ178</f>
        <v/>
      </c>
      <c r="BP185" s="63" t="str">
        <f>SEKOR!BT178</f>
        <v/>
      </c>
      <c r="BQ185" s="88"/>
      <c r="BR185" s="88"/>
    </row>
    <row r="186" spans="1:70" ht="15" customHeight="1" x14ac:dyDescent="0.25">
      <c r="A186" s="83" t="str">
        <f>IF(B186="","",COUNTA($B$10:$B186))</f>
        <v/>
      </c>
      <c r="B186" s="137"/>
      <c r="C186" s="138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  <c r="AH186" s="141"/>
      <c r="AI186" s="141"/>
      <c r="AJ186" s="141"/>
      <c r="AK186" s="141"/>
      <c r="AL186" s="141"/>
      <c r="AM186" s="141"/>
      <c r="AN186" s="141"/>
      <c r="AO186" s="141"/>
      <c r="AP186" s="141"/>
      <c r="AQ186" s="141"/>
      <c r="AR186" s="141"/>
      <c r="AS186" s="141"/>
      <c r="AT186" s="141"/>
      <c r="AU186" s="141"/>
      <c r="AV186" s="141"/>
      <c r="AW186" s="141"/>
      <c r="AX186" s="141"/>
      <c r="AY186" s="141"/>
      <c r="AZ186" s="141"/>
      <c r="BA186" s="141"/>
      <c r="BB186" s="141"/>
      <c r="BC186" s="141"/>
      <c r="BD186" s="141"/>
      <c r="BE186" s="141"/>
      <c r="BF186" s="141"/>
      <c r="BG186" s="141"/>
      <c r="BH186" s="141"/>
      <c r="BI186" s="141"/>
      <c r="BJ186" s="141"/>
      <c r="BK186" s="141"/>
      <c r="BL186" s="61">
        <f>SEKOR!BN179</f>
        <v>0</v>
      </c>
      <c r="BM186" s="61">
        <f>SEKOR!BO179</f>
        <v>0</v>
      </c>
      <c r="BN186" s="62" t="str">
        <f>SEKOR!BP179</f>
        <v/>
      </c>
      <c r="BO186" s="62" t="str">
        <f>SEKOR!BQ179</f>
        <v/>
      </c>
      <c r="BP186" s="63" t="str">
        <f>SEKOR!BT179</f>
        <v/>
      </c>
      <c r="BQ186" s="88"/>
      <c r="BR186" s="88"/>
    </row>
    <row r="187" spans="1:70" ht="15" customHeight="1" x14ac:dyDescent="0.25">
      <c r="A187" s="83" t="str">
        <f>IF(B187="","",COUNTA($B$10:$B187))</f>
        <v/>
      </c>
      <c r="B187" s="137"/>
      <c r="C187" s="138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  <c r="AH187" s="141"/>
      <c r="AI187" s="141"/>
      <c r="AJ187" s="141"/>
      <c r="AK187" s="141"/>
      <c r="AL187" s="141"/>
      <c r="AM187" s="141"/>
      <c r="AN187" s="141"/>
      <c r="AO187" s="141"/>
      <c r="AP187" s="141"/>
      <c r="AQ187" s="141"/>
      <c r="AR187" s="141"/>
      <c r="AS187" s="141"/>
      <c r="AT187" s="141"/>
      <c r="AU187" s="141"/>
      <c r="AV187" s="141"/>
      <c r="AW187" s="141"/>
      <c r="AX187" s="141"/>
      <c r="AY187" s="141"/>
      <c r="AZ187" s="141"/>
      <c r="BA187" s="141"/>
      <c r="BB187" s="141"/>
      <c r="BC187" s="141"/>
      <c r="BD187" s="141"/>
      <c r="BE187" s="141"/>
      <c r="BF187" s="141"/>
      <c r="BG187" s="141"/>
      <c r="BH187" s="141"/>
      <c r="BI187" s="141"/>
      <c r="BJ187" s="141"/>
      <c r="BK187" s="141"/>
      <c r="BL187" s="61">
        <f>SEKOR!BN180</f>
        <v>0</v>
      </c>
      <c r="BM187" s="61">
        <f>SEKOR!BO180</f>
        <v>0</v>
      </c>
      <c r="BN187" s="62" t="str">
        <f>SEKOR!BP180</f>
        <v/>
      </c>
      <c r="BO187" s="62" t="str">
        <f>SEKOR!BQ180</f>
        <v/>
      </c>
      <c r="BP187" s="63" t="str">
        <f>SEKOR!BT180</f>
        <v/>
      </c>
      <c r="BQ187" s="88"/>
      <c r="BR187" s="88"/>
    </row>
    <row r="188" spans="1:70" ht="15" customHeight="1" x14ac:dyDescent="0.25">
      <c r="A188" s="83" t="str">
        <f>IF(B188="","",COUNTA($B$10:$B188))</f>
        <v/>
      </c>
      <c r="B188" s="137"/>
      <c r="C188" s="138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  <c r="AH188" s="141"/>
      <c r="AI188" s="141"/>
      <c r="AJ188" s="141"/>
      <c r="AK188" s="141"/>
      <c r="AL188" s="141"/>
      <c r="AM188" s="141"/>
      <c r="AN188" s="141"/>
      <c r="AO188" s="141"/>
      <c r="AP188" s="141"/>
      <c r="AQ188" s="141"/>
      <c r="AR188" s="141"/>
      <c r="AS188" s="141"/>
      <c r="AT188" s="141"/>
      <c r="AU188" s="141"/>
      <c r="AV188" s="141"/>
      <c r="AW188" s="141"/>
      <c r="AX188" s="141"/>
      <c r="AY188" s="141"/>
      <c r="AZ188" s="141"/>
      <c r="BA188" s="141"/>
      <c r="BB188" s="141"/>
      <c r="BC188" s="141"/>
      <c r="BD188" s="141"/>
      <c r="BE188" s="141"/>
      <c r="BF188" s="141"/>
      <c r="BG188" s="141"/>
      <c r="BH188" s="141"/>
      <c r="BI188" s="141"/>
      <c r="BJ188" s="141"/>
      <c r="BK188" s="141"/>
      <c r="BL188" s="61">
        <f>SEKOR!BN181</f>
        <v>0</v>
      </c>
      <c r="BM188" s="61">
        <f>SEKOR!BO181</f>
        <v>0</v>
      </c>
      <c r="BN188" s="62" t="str">
        <f>SEKOR!BP181</f>
        <v/>
      </c>
      <c r="BO188" s="62" t="str">
        <f>SEKOR!BQ181</f>
        <v/>
      </c>
      <c r="BP188" s="63" t="str">
        <f>SEKOR!BT181</f>
        <v/>
      </c>
      <c r="BQ188" s="88"/>
      <c r="BR188" s="88"/>
    </row>
    <row r="189" spans="1:70" ht="15" customHeight="1" x14ac:dyDescent="0.25">
      <c r="A189" s="83" t="str">
        <f>IF(B189="","",COUNTA($B$10:$B189))</f>
        <v/>
      </c>
      <c r="B189" s="137"/>
      <c r="C189" s="138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  <c r="AH189" s="141"/>
      <c r="AI189" s="141"/>
      <c r="AJ189" s="141"/>
      <c r="AK189" s="141"/>
      <c r="AL189" s="141"/>
      <c r="AM189" s="141"/>
      <c r="AN189" s="141"/>
      <c r="AO189" s="141"/>
      <c r="AP189" s="141"/>
      <c r="AQ189" s="141"/>
      <c r="AR189" s="141"/>
      <c r="AS189" s="141"/>
      <c r="AT189" s="141"/>
      <c r="AU189" s="141"/>
      <c r="AV189" s="141"/>
      <c r="AW189" s="141"/>
      <c r="AX189" s="141"/>
      <c r="AY189" s="141"/>
      <c r="AZ189" s="141"/>
      <c r="BA189" s="141"/>
      <c r="BB189" s="141"/>
      <c r="BC189" s="141"/>
      <c r="BD189" s="141"/>
      <c r="BE189" s="141"/>
      <c r="BF189" s="141"/>
      <c r="BG189" s="141"/>
      <c r="BH189" s="141"/>
      <c r="BI189" s="141"/>
      <c r="BJ189" s="141"/>
      <c r="BK189" s="141"/>
      <c r="BL189" s="61">
        <f>SEKOR!BN182</f>
        <v>0</v>
      </c>
      <c r="BM189" s="61">
        <f>SEKOR!BO182</f>
        <v>0</v>
      </c>
      <c r="BN189" s="62" t="str">
        <f>SEKOR!BP182</f>
        <v/>
      </c>
      <c r="BO189" s="62" t="str">
        <f>SEKOR!BQ182</f>
        <v/>
      </c>
      <c r="BP189" s="63" t="str">
        <f>SEKOR!BT182</f>
        <v/>
      </c>
      <c r="BQ189" s="88"/>
      <c r="BR189" s="88"/>
    </row>
    <row r="190" spans="1:70" ht="15" customHeight="1" x14ac:dyDescent="0.25">
      <c r="A190" s="83" t="str">
        <f>IF(B190="","",COUNTA($B$10:$B190))</f>
        <v/>
      </c>
      <c r="B190" s="137"/>
      <c r="C190" s="138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  <c r="AH190" s="141"/>
      <c r="AI190" s="141"/>
      <c r="AJ190" s="141"/>
      <c r="AK190" s="141"/>
      <c r="AL190" s="141"/>
      <c r="AM190" s="141"/>
      <c r="AN190" s="141"/>
      <c r="AO190" s="141"/>
      <c r="AP190" s="141"/>
      <c r="AQ190" s="141"/>
      <c r="AR190" s="141"/>
      <c r="AS190" s="141"/>
      <c r="AT190" s="141"/>
      <c r="AU190" s="141"/>
      <c r="AV190" s="141"/>
      <c r="AW190" s="141"/>
      <c r="AX190" s="141"/>
      <c r="AY190" s="141"/>
      <c r="AZ190" s="141"/>
      <c r="BA190" s="141"/>
      <c r="BB190" s="141"/>
      <c r="BC190" s="141"/>
      <c r="BD190" s="141"/>
      <c r="BE190" s="141"/>
      <c r="BF190" s="141"/>
      <c r="BG190" s="141"/>
      <c r="BH190" s="141"/>
      <c r="BI190" s="141"/>
      <c r="BJ190" s="141"/>
      <c r="BK190" s="141"/>
      <c r="BL190" s="61">
        <f>SEKOR!BN183</f>
        <v>0</v>
      </c>
      <c r="BM190" s="61">
        <f>SEKOR!BO183</f>
        <v>0</v>
      </c>
      <c r="BN190" s="62" t="str">
        <f>SEKOR!BP183</f>
        <v/>
      </c>
      <c r="BO190" s="62" t="str">
        <f>SEKOR!BQ183</f>
        <v/>
      </c>
      <c r="BP190" s="63" t="str">
        <f>SEKOR!BT183</f>
        <v/>
      </c>
      <c r="BQ190" s="88"/>
      <c r="BR190" s="88"/>
    </row>
    <row r="191" spans="1:70" ht="15" customHeight="1" x14ac:dyDescent="0.25">
      <c r="A191" s="83" t="str">
        <f>IF(B191="","",COUNTA($B$10:$B191))</f>
        <v/>
      </c>
      <c r="B191" s="137"/>
      <c r="C191" s="138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  <c r="AH191" s="141"/>
      <c r="AI191" s="141"/>
      <c r="AJ191" s="141"/>
      <c r="AK191" s="141"/>
      <c r="AL191" s="141"/>
      <c r="AM191" s="141"/>
      <c r="AN191" s="141"/>
      <c r="AO191" s="141"/>
      <c r="AP191" s="141"/>
      <c r="AQ191" s="141"/>
      <c r="AR191" s="141"/>
      <c r="AS191" s="141"/>
      <c r="AT191" s="141"/>
      <c r="AU191" s="141"/>
      <c r="AV191" s="141"/>
      <c r="AW191" s="141"/>
      <c r="AX191" s="141"/>
      <c r="AY191" s="141"/>
      <c r="AZ191" s="141"/>
      <c r="BA191" s="141"/>
      <c r="BB191" s="141"/>
      <c r="BC191" s="141"/>
      <c r="BD191" s="141"/>
      <c r="BE191" s="141"/>
      <c r="BF191" s="141"/>
      <c r="BG191" s="141"/>
      <c r="BH191" s="141"/>
      <c r="BI191" s="141"/>
      <c r="BJ191" s="141"/>
      <c r="BK191" s="141"/>
      <c r="BL191" s="61">
        <f>SEKOR!BN184</f>
        <v>0</v>
      </c>
      <c r="BM191" s="61">
        <f>SEKOR!BO184</f>
        <v>0</v>
      </c>
      <c r="BN191" s="62" t="str">
        <f>SEKOR!BP184</f>
        <v/>
      </c>
      <c r="BO191" s="62" t="str">
        <f>SEKOR!BQ184</f>
        <v/>
      </c>
      <c r="BP191" s="63" t="str">
        <f>SEKOR!BT184</f>
        <v/>
      </c>
      <c r="BQ191" s="88"/>
      <c r="BR191" s="88"/>
    </row>
    <row r="192" spans="1:70" ht="15" customHeight="1" x14ac:dyDescent="0.25">
      <c r="A192" s="83" t="str">
        <f>IF(B192="","",COUNTA($B$10:$B192))</f>
        <v/>
      </c>
      <c r="B192" s="137"/>
      <c r="C192" s="138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  <c r="AH192" s="141"/>
      <c r="AI192" s="141"/>
      <c r="AJ192" s="141"/>
      <c r="AK192" s="141"/>
      <c r="AL192" s="141"/>
      <c r="AM192" s="141"/>
      <c r="AN192" s="141"/>
      <c r="AO192" s="141"/>
      <c r="AP192" s="141"/>
      <c r="AQ192" s="141"/>
      <c r="AR192" s="141"/>
      <c r="AS192" s="141"/>
      <c r="AT192" s="141"/>
      <c r="AU192" s="141"/>
      <c r="AV192" s="141"/>
      <c r="AW192" s="141"/>
      <c r="AX192" s="141"/>
      <c r="AY192" s="141"/>
      <c r="AZ192" s="141"/>
      <c r="BA192" s="141"/>
      <c r="BB192" s="141"/>
      <c r="BC192" s="141"/>
      <c r="BD192" s="141"/>
      <c r="BE192" s="141"/>
      <c r="BF192" s="141"/>
      <c r="BG192" s="141"/>
      <c r="BH192" s="141"/>
      <c r="BI192" s="141"/>
      <c r="BJ192" s="141"/>
      <c r="BK192" s="141"/>
      <c r="BL192" s="61">
        <f>SEKOR!BN185</f>
        <v>0</v>
      </c>
      <c r="BM192" s="61">
        <f>SEKOR!BO185</f>
        <v>0</v>
      </c>
      <c r="BN192" s="62" t="str">
        <f>SEKOR!BP185</f>
        <v/>
      </c>
      <c r="BO192" s="62" t="str">
        <f>SEKOR!BQ185</f>
        <v/>
      </c>
      <c r="BP192" s="63" t="str">
        <f>SEKOR!BT185</f>
        <v/>
      </c>
      <c r="BQ192" s="88"/>
      <c r="BR192" s="88"/>
    </row>
    <row r="193" spans="1:70" ht="15" customHeight="1" x14ac:dyDescent="0.25">
      <c r="A193" s="83" t="str">
        <f>IF(B193="","",COUNTA($B$10:$B193))</f>
        <v/>
      </c>
      <c r="B193" s="137"/>
      <c r="C193" s="138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  <c r="AH193" s="141"/>
      <c r="AI193" s="141"/>
      <c r="AJ193" s="141"/>
      <c r="AK193" s="141"/>
      <c r="AL193" s="141"/>
      <c r="AM193" s="141"/>
      <c r="AN193" s="141"/>
      <c r="AO193" s="141"/>
      <c r="AP193" s="141"/>
      <c r="AQ193" s="141"/>
      <c r="AR193" s="141"/>
      <c r="AS193" s="141"/>
      <c r="AT193" s="141"/>
      <c r="AU193" s="141"/>
      <c r="AV193" s="141"/>
      <c r="AW193" s="141"/>
      <c r="AX193" s="141"/>
      <c r="AY193" s="141"/>
      <c r="AZ193" s="141"/>
      <c r="BA193" s="141"/>
      <c r="BB193" s="141"/>
      <c r="BC193" s="141"/>
      <c r="BD193" s="141"/>
      <c r="BE193" s="141"/>
      <c r="BF193" s="141"/>
      <c r="BG193" s="141"/>
      <c r="BH193" s="141"/>
      <c r="BI193" s="141"/>
      <c r="BJ193" s="141"/>
      <c r="BK193" s="141"/>
      <c r="BL193" s="61">
        <f>SEKOR!BN186</f>
        <v>0</v>
      </c>
      <c r="BM193" s="61">
        <f>SEKOR!BO186</f>
        <v>0</v>
      </c>
      <c r="BN193" s="62" t="str">
        <f>SEKOR!BP186</f>
        <v/>
      </c>
      <c r="BO193" s="62" t="str">
        <f>SEKOR!BQ186</f>
        <v/>
      </c>
      <c r="BP193" s="63" t="str">
        <f>SEKOR!BT186</f>
        <v/>
      </c>
      <c r="BQ193" s="88"/>
      <c r="BR193" s="88"/>
    </row>
    <row r="194" spans="1:70" ht="15" customHeight="1" x14ac:dyDescent="0.25">
      <c r="A194" s="83" t="str">
        <f>IF(B194="","",COUNTA($B$10:$B194))</f>
        <v/>
      </c>
      <c r="B194" s="137"/>
      <c r="C194" s="138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  <c r="AH194" s="141"/>
      <c r="AI194" s="141"/>
      <c r="AJ194" s="141"/>
      <c r="AK194" s="141"/>
      <c r="AL194" s="141"/>
      <c r="AM194" s="141"/>
      <c r="AN194" s="141"/>
      <c r="AO194" s="141"/>
      <c r="AP194" s="141"/>
      <c r="AQ194" s="141"/>
      <c r="AR194" s="141"/>
      <c r="AS194" s="141"/>
      <c r="AT194" s="141"/>
      <c r="AU194" s="141"/>
      <c r="AV194" s="141"/>
      <c r="AW194" s="141"/>
      <c r="AX194" s="141"/>
      <c r="AY194" s="141"/>
      <c r="AZ194" s="141"/>
      <c r="BA194" s="141"/>
      <c r="BB194" s="141"/>
      <c r="BC194" s="141"/>
      <c r="BD194" s="141"/>
      <c r="BE194" s="141"/>
      <c r="BF194" s="141"/>
      <c r="BG194" s="141"/>
      <c r="BH194" s="141"/>
      <c r="BI194" s="141"/>
      <c r="BJ194" s="141"/>
      <c r="BK194" s="141"/>
      <c r="BL194" s="61">
        <f>SEKOR!BN187</f>
        <v>0</v>
      </c>
      <c r="BM194" s="61">
        <f>SEKOR!BO187</f>
        <v>0</v>
      </c>
      <c r="BN194" s="62" t="str">
        <f>SEKOR!BP187</f>
        <v/>
      </c>
      <c r="BO194" s="62" t="str">
        <f>SEKOR!BQ187</f>
        <v/>
      </c>
      <c r="BP194" s="63" t="str">
        <f>SEKOR!BT187</f>
        <v/>
      </c>
      <c r="BQ194" s="88"/>
      <c r="BR194" s="88"/>
    </row>
    <row r="195" spans="1:70" ht="15" customHeight="1" x14ac:dyDescent="0.25">
      <c r="A195" s="83" t="str">
        <f>IF(B195="","",COUNTA($B$10:$B195))</f>
        <v/>
      </c>
      <c r="B195" s="60"/>
      <c r="C195" s="64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  <c r="AH195" s="141"/>
      <c r="AI195" s="141"/>
      <c r="AJ195" s="141"/>
      <c r="AK195" s="141"/>
      <c r="AL195" s="141"/>
      <c r="AM195" s="141"/>
      <c r="AN195" s="141"/>
      <c r="AO195" s="141"/>
      <c r="AP195" s="141"/>
      <c r="AQ195" s="141"/>
      <c r="AR195" s="141"/>
      <c r="AS195" s="141"/>
      <c r="AT195" s="141"/>
      <c r="AU195" s="141"/>
      <c r="AV195" s="141"/>
      <c r="AW195" s="141"/>
      <c r="AX195" s="141"/>
      <c r="AY195" s="141"/>
      <c r="AZ195" s="141"/>
      <c r="BA195" s="141"/>
      <c r="BB195" s="141"/>
      <c r="BC195" s="141"/>
      <c r="BD195" s="141"/>
      <c r="BE195" s="141"/>
      <c r="BF195" s="141"/>
      <c r="BG195" s="141"/>
      <c r="BH195" s="141"/>
      <c r="BI195" s="141"/>
      <c r="BJ195" s="141"/>
      <c r="BK195" s="141"/>
      <c r="BL195" s="61">
        <f>SEKOR!BN188</f>
        <v>0</v>
      </c>
      <c r="BM195" s="61">
        <f>SEKOR!BO188</f>
        <v>0</v>
      </c>
      <c r="BN195" s="62" t="str">
        <f>SEKOR!BP188</f>
        <v/>
      </c>
      <c r="BO195" s="62" t="str">
        <f>SEKOR!BQ188</f>
        <v/>
      </c>
      <c r="BP195" s="63" t="str">
        <f>SEKOR!BT188</f>
        <v/>
      </c>
      <c r="BQ195" s="88"/>
      <c r="BR195" s="88"/>
    </row>
    <row r="196" spans="1:70" ht="15" customHeight="1" x14ac:dyDescent="0.25">
      <c r="A196" s="83" t="str">
        <f>IF(B196="","",COUNTA($B$10:$B196))</f>
        <v/>
      </c>
      <c r="B196" s="60"/>
      <c r="C196" s="64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  <c r="AH196" s="141"/>
      <c r="AI196" s="141"/>
      <c r="AJ196" s="141"/>
      <c r="AK196" s="141"/>
      <c r="AL196" s="141"/>
      <c r="AM196" s="141"/>
      <c r="AN196" s="141"/>
      <c r="AO196" s="141"/>
      <c r="AP196" s="141"/>
      <c r="AQ196" s="141"/>
      <c r="AR196" s="141"/>
      <c r="AS196" s="141"/>
      <c r="AT196" s="141"/>
      <c r="AU196" s="141"/>
      <c r="AV196" s="141"/>
      <c r="AW196" s="141"/>
      <c r="AX196" s="141"/>
      <c r="AY196" s="141"/>
      <c r="AZ196" s="141"/>
      <c r="BA196" s="141"/>
      <c r="BB196" s="141"/>
      <c r="BC196" s="141"/>
      <c r="BD196" s="141"/>
      <c r="BE196" s="141"/>
      <c r="BF196" s="141"/>
      <c r="BG196" s="141"/>
      <c r="BH196" s="141"/>
      <c r="BI196" s="141"/>
      <c r="BJ196" s="141"/>
      <c r="BK196" s="141"/>
      <c r="BL196" s="61">
        <f>SEKOR!BN189</f>
        <v>0</v>
      </c>
      <c r="BM196" s="61">
        <f>SEKOR!BO189</f>
        <v>0</v>
      </c>
      <c r="BN196" s="62" t="str">
        <f>SEKOR!BP189</f>
        <v/>
      </c>
      <c r="BO196" s="62" t="str">
        <f>SEKOR!BQ189</f>
        <v/>
      </c>
      <c r="BP196" s="63" t="str">
        <f>SEKOR!BT189</f>
        <v/>
      </c>
      <c r="BQ196" s="88"/>
      <c r="BR196" s="88"/>
    </row>
    <row r="197" spans="1:70" ht="15" customHeight="1" x14ac:dyDescent="0.25">
      <c r="A197" s="83" t="str">
        <f>IF(B197="","",COUNTA($B$10:$B197))</f>
        <v/>
      </c>
      <c r="B197" s="60"/>
      <c r="C197" s="64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  <c r="AH197" s="141"/>
      <c r="AI197" s="141"/>
      <c r="AJ197" s="141"/>
      <c r="AK197" s="141"/>
      <c r="AL197" s="141"/>
      <c r="AM197" s="141"/>
      <c r="AN197" s="141"/>
      <c r="AO197" s="141"/>
      <c r="AP197" s="141"/>
      <c r="AQ197" s="141"/>
      <c r="AR197" s="141"/>
      <c r="AS197" s="141"/>
      <c r="AT197" s="141"/>
      <c r="AU197" s="141"/>
      <c r="AV197" s="141"/>
      <c r="AW197" s="141"/>
      <c r="AX197" s="141"/>
      <c r="AY197" s="141"/>
      <c r="AZ197" s="141"/>
      <c r="BA197" s="141"/>
      <c r="BB197" s="141"/>
      <c r="BC197" s="141"/>
      <c r="BD197" s="141"/>
      <c r="BE197" s="141"/>
      <c r="BF197" s="141"/>
      <c r="BG197" s="141"/>
      <c r="BH197" s="141"/>
      <c r="BI197" s="141"/>
      <c r="BJ197" s="141"/>
      <c r="BK197" s="141"/>
      <c r="BL197" s="61">
        <f>SEKOR!BN190</f>
        <v>0</v>
      </c>
      <c r="BM197" s="61">
        <f>SEKOR!BO190</f>
        <v>0</v>
      </c>
      <c r="BN197" s="62" t="str">
        <f>SEKOR!BP190</f>
        <v/>
      </c>
      <c r="BO197" s="62" t="str">
        <f>SEKOR!BQ190</f>
        <v/>
      </c>
      <c r="BP197" s="63" t="str">
        <f>SEKOR!BT190</f>
        <v/>
      </c>
      <c r="BQ197" s="88"/>
      <c r="BR197" s="88"/>
    </row>
    <row r="198" spans="1:70" ht="15" customHeight="1" x14ac:dyDescent="0.25">
      <c r="A198" s="83" t="str">
        <f>IF(B198="","",COUNTA($B$10:$B198))</f>
        <v/>
      </c>
      <c r="B198" s="60"/>
      <c r="C198" s="64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  <c r="AH198" s="141"/>
      <c r="AI198" s="141"/>
      <c r="AJ198" s="141"/>
      <c r="AK198" s="141"/>
      <c r="AL198" s="141"/>
      <c r="AM198" s="141"/>
      <c r="AN198" s="141"/>
      <c r="AO198" s="141"/>
      <c r="AP198" s="141"/>
      <c r="AQ198" s="141"/>
      <c r="AR198" s="141"/>
      <c r="AS198" s="141"/>
      <c r="AT198" s="141"/>
      <c r="AU198" s="141"/>
      <c r="AV198" s="141"/>
      <c r="AW198" s="141"/>
      <c r="AX198" s="141"/>
      <c r="AY198" s="141"/>
      <c r="AZ198" s="141"/>
      <c r="BA198" s="141"/>
      <c r="BB198" s="141"/>
      <c r="BC198" s="141"/>
      <c r="BD198" s="141"/>
      <c r="BE198" s="141"/>
      <c r="BF198" s="141"/>
      <c r="BG198" s="141"/>
      <c r="BH198" s="141"/>
      <c r="BI198" s="141"/>
      <c r="BJ198" s="141"/>
      <c r="BK198" s="141"/>
      <c r="BL198" s="61">
        <f>SEKOR!BN191</f>
        <v>0</v>
      </c>
      <c r="BM198" s="61">
        <f>SEKOR!BO191</f>
        <v>0</v>
      </c>
      <c r="BN198" s="62" t="str">
        <f>SEKOR!BP191</f>
        <v/>
      </c>
      <c r="BO198" s="62" t="str">
        <f>SEKOR!BQ191</f>
        <v/>
      </c>
      <c r="BP198" s="63" t="str">
        <f>SEKOR!BT191</f>
        <v/>
      </c>
      <c r="BQ198" s="88"/>
      <c r="BR198" s="88"/>
    </row>
    <row r="199" spans="1:70" ht="15" customHeight="1" x14ac:dyDescent="0.25">
      <c r="A199" s="83" t="str">
        <f>IF(B199="","",COUNTA($B$10:$B199))</f>
        <v/>
      </c>
      <c r="B199" s="60"/>
      <c r="C199" s="64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  <c r="AH199" s="141"/>
      <c r="AI199" s="141"/>
      <c r="AJ199" s="141"/>
      <c r="AK199" s="141"/>
      <c r="AL199" s="141"/>
      <c r="AM199" s="141"/>
      <c r="AN199" s="141"/>
      <c r="AO199" s="141"/>
      <c r="AP199" s="141"/>
      <c r="AQ199" s="141"/>
      <c r="AR199" s="141"/>
      <c r="AS199" s="141"/>
      <c r="AT199" s="141"/>
      <c r="AU199" s="141"/>
      <c r="AV199" s="141"/>
      <c r="AW199" s="141"/>
      <c r="AX199" s="141"/>
      <c r="AY199" s="141"/>
      <c r="AZ199" s="141"/>
      <c r="BA199" s="141"/>
      <c r="BB199" s="141"/>
      <c r="BC199" s="141"/>
      <c r="BD199" s="141"/>
      <c r="BE199" s="141"/>
      <c r="BF199" s="141"/>
      <c r="BG199" s="141"/>
      <c r="BH199" s="141"/>
      <c r="BI199" s="141"/>
      <c r="BJ199" s="141"/>
      <c r="BK199" s="141"/>
      <c r="BL199" s="61">
        <f>SEKOR!BN192</f>
        <v>0</v>
      </c>
      <c r="BM199" s="61">
        <f>SEKOR!BO192</f>
        <v>0</v>
      </c>
      <c r="BN199" s="62" t="str">
        <f>SEKOR!BP192</f>
        <v/>
      </c>
      <c r="BO199" s="62" t="str">
        <f>SEKOR!BQ192</f>
        <v/>
      </c>
      <c r="BP199" s="63" t="str">
        <f>SEKOR!BT192</f>
        <v/>
      </c>
      <c r="BQ199" s="88"/>
      <c r="BR199" s="88"/>
    </row>
    <row r="200" spans="1:70" ht="15" customHeight="1" x14ac:dyDescent="0.25">
      <c r="A200" s="83" t="str">
        <f>IF(B200="","",COUNTA($B$10:$B200))</f>
        <v/>
      </c>
      <c r="B200" s="60"/>
      <c r="C200" s="64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  <c r="AH200" s="141"/>
      <c r="AI200" s="141"/>
      <c r="AJ200" s="141"/>
      <c r="AK200" s="141"/>
      <c r="AL200" s="141"/>
      <c r="AM200" s="141"/>
      <c r="AN200" s="141"/>
      <c r="AO200" s="141"/>
      <c r="AP200" s="141"/>
      <c r="AQ200" s="141"/>
      <c r="AR200" s="141"/>
      <c r="AS200" s="141"/>
      <c r="AT200" s="141"/>
      <c r="AU200" s="141"/>
      <c r="AV200" s="141"/>
      <c r="AW200" s="141"/>
      <c r="AX200" s="141"/>
      <c r="AY200" s="141"/>
      <c r="AZ200" s="141"/>
      <c r="BA200" s="141"/>
      <c r="BB200" s="141"/>
      <c r="BC200" s="141"/>
      <c r="BD200" s="141"/>
      <c r="BE200" s="141"/>
      <c r="BF200" s="141"/>
      <c r="BG200" s="141"/>
      <c r="BH200" s="141"/>
      <c r="BI200" s="141"/>
      <c r="BJ200" s="141"/>
      <c r="BK200" s="141"/>
      <c r="BL200" s="61">
        <f>SEKOR!BN193</f>
        <v>0</v>
      </c>
      <c r="BM200" s="61">
        <f>SEKOR!BO193</f>
        <v>0</v>
      </c>
      <c r="BN200" s="62" t="str">
        <f>SEKOR!BP193</f>
        <v/>
      </c>
      <c r="BO200" s="62" t="str">
        <f>SEKOR!BQ193</f>
        <v/>
      </c>
      <c r="BP200" s="63" t="str">
        <f>SEKOR!BT193</f>
        <v/>
      </c>
      <c r="BQ200" s="88"/>
      <c r="BR200" s="88"/>
    </row>
    <row r="201" spans="1:70" ht="15" customHeight="1" x14ac:dyDescent="0.25">
      <c r="A201" s="83" t="str">
        <f>IF(B201="","",COUNTA($B$10:$B201))</f>
        <v/>
      </c>
      <c r="B201" s="60"/>
      <c r="C201" s="64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  <c r="AH201" s="141"/>
      <c r="AI201" s="141"/>
      <c r="AJ201" s="141"/>
      <c r="AK201" s="141"/>
      <c r="AL201" s="141"/>
      <c r="AM201" s="141"/>
      <c r="AN201" s="141"/>
      <c r="AO201" s="141"/>
      <c r="AP201" s="141"/>
      <c r="AQ201" s="141"/>
      <c r="AR201" s="141"/>
      <c r="AS201" s="141"/>
      <c r="AT201" s="141"/>
      <c r="AU201" s="141"/>
      <c r="AV201" s="141"/>
      <c r="AW201" s="141"/>
      <c r="AX201" s="141"/>
      <c r="AY201" s="141"/>
      <c r="AZ201" s="141"/>
      <c r="BA201" s="141"/>
      <c r="BB201" s="141"/>
      <c r="BC201" s="141"/>
      <c r="BD201" s="141"/>
      <c r="BE201" s="141"/>
      <c r="BF201" s="141"/>
      <c r="BG201" s="141"/>
      <c r="BH201" s="141"/>
      <c r="BI201" s="141"/>
      <c r="BJ201" s="141"/>
      <c r="BK201" s="141"/>
      <c r="BL201" s="61">
        <f>SEKOR!BN194</f>
        <v>0</v>
      </c>
      <c r="BM201" s="61">
        <f>SEKOR!BO194</f>
        <v>0</v>
      </c>
      <c r="BN201" s="62" t="str">
        <f>SEKOR!BP194</f>
        <v/>
      </c>
      <c r="BO201" s="62" t="str">
        <f>SEKOR!BQ194</f>
        <v/>
      </c>
      <c r="BP201" s="63" t="str">
        <f>SEKOR!BT194</f>
        <v/>
      </c>
      <c r="BQ201" s="88"/>
      <c r="BR201" s="88"/>
    </row>
    <row r="202" spans="1:70" ht="15" customHeight="1" x14ac:dyDescent="0.25">
      <c r="A202" s="83" t="str">
        <f>IF(B202="","",COUNTA($B$10:$B202))</f>
        <v/>
      </c>
      <c r="B202" s="60"/>
      <c r="C202" s="64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  <c r="AH202" s="141"/>
      <c r="AI202" s="141"/>
      <c r="AJ202" s="141"/>
      <c r="AK202" s="141"/>
      <c r="AL202" s="141"/>
      <c r="AM202" s="141"/>
      <c r="AN202" s="141"/>
      <c r="AO202" s="141"/>
      <c r="AP202" s="141"/>
      <c r="AQ202" s="141"/>
      <c r="AR202" s="141"/>
      <c r="AS202" s="141"/>
      <c r="AT202" s="141"/>
      <c r="AU202" s="141"/>
      <c r="AV202" s="141"/>
      <c r="AW202" s="141"/>
      <c r="AX202" s="141"/>
      <c r="AY202" s="141"/>
      <c r="AZ202" s="141"/>
      <c r="BA202" s="141"/>
      <c r="BB202" s="141"/>
      <c r="BC202" s="141"/>
      <c r="BD202" s="141"/>
      <c r="BE202" s="141"/>
      <c r="BF202" s="141"/>
      <c r="BG202" s="141"/>
      <c r="BH202" s="141"/>
      <c r="BI202" s="141"/>
      <c r="BJ202" s="141"/>
      <c r="BK202" s="141"/>
      <c r="BL202" s="61">
        <f>SEKOR!BN195</f>
        <v>0</v>
      </c>
      <c r="BM202" s="61">
        <f>SEKOR!BO195</f>
        <v>0</v>
      </c>
      <c r="BN202" s="62" t="str">
        <f>SEKOR!BP195</f>
        <v/>
      </c>
      <c r="BO202" s="62" t="str">
        <f>SEKOR!BQ195</f>
        <v/>
      </c>
      <c r="BP202" s="63" t="str">
        <f>SEKOR!BT195</f>
        <v/>
      </c>
      <c r="BQ202" s="88"/>
      <c r="BR202" s="88"/>
    </row>
    <row r="203" spans="1:70" ht="15" customHeight="1" x14ac:dyDescent="0.25">
      <c r="A203" s="83" t="str">
        <f>IF(B203="","",COUNTA($B$10:$B203))</f>
        <v/>
      </c>
      <c r="B203" s="60"/>
      <c r="C203" s="64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  <c r="AH203" s="141"/>
      <c r="AI203" s="141"/>
      <c r="AJ203" s="141"/>
      <c r="AK203" s="141"/>
      <c r="AL203" s="141"/>
      <c r="AM203" s="141"/>
      <c r="AN203" s="141"/>
      <c r="AO203" s="141"/>
      <c r="AP203" s="141"/>
      <c r="AQ203" s="141"/>
      <c r="AR203" s="141"/>
      <c r="AS203" s="141"/>
      <c r="AT203" s="141"/>
      <c r="AU203" s="141"/>
      <c r="AV203" s="141"/>
      <c r="AW203" s="141"/>
      <c r="AX203" s="141"/>
      <c r="AY203" s="141"/>
      <c r="AZ203" s="141"/>
      <c r="BA203" s="141"/>
      <c r="BB203" s="141"/>
      <c r="BC203" s="141"/>
      <c r="BD203" s="141"/>
      <c r="BE203" s="141"/>
      <c r="BF203" s="141"/>
      <c r="BG203" s="141"/>
      <c r="BH203" s="141"/>
      <c r="BI203" s="141"/>
      <c r="BJ203" s="141"/>
      <c r="BK203" s="141"/>
      <c r="BL203" s="61">
        <f>SEKOR!BN196</f>
        <v>0</v>
      </c>
      <c r="BM203" s="61">
        <f>SEKOR!BO196</f>
        <v>0</v>
      </c>
      <c r="BN203" s="62" t="str">
        <f>SEKOR!BP196</f>
        <v/>
      </c>
      <c r="BO203" s="62" t="str">
        <f>SEKOR!BQ196</f>
        <v/>
      </c>
      <c r="BP203" s="63" t="str">
        <f>SEKOR!BT196</f>
        <v/>
      </c>
      <c r="BQ203" s="88"/>
      <c r="BR203" s="88"/>
    </row>
    <row r="204" spans="1:70" ht="15" customHeight="1" x14ac:dyDescent="0.25">
      <c r="A204" s="83" t="str">
        <f>IF(B204="","",COUNTA($B$10:$B204))</f>
        <v/>
      </c>
      <c r="B204" s="60"/>
      <c r="C204" s="64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  <c r="AH204" s="141"/>
      <c r="AI204" s="141"/>
      <c r="AJ204" s="141"/>
      <c r="AK204" s="141"/>
      <c r="AL204" s="141"/>
      <c r="AM204" s="141"/>
      <c r="AN204" s="141"/>
      <c r="AO204" s="141"/>
      <c r="AP204" s="141"/>
      <c r="AQ204" s="141"/>
      <c r="AR204" s="141"/>
      <c r="AS204" s="141"/>
      <c r="AT204" s="141"/>
      <c r="AU204" s="141"/>
      <c r="AV204" s="141"/>
      <c r="AW204" s="141"/>
      <c r="AX204" s="141"/>
      <c r="AY204" s="141"/>
      <c r="AZ204" s="141"/>
      <c r="BA204" s="141"/>
      <c r="BB204" s="141"/>
      <c r="BC204" s="141"/>
      <c r="BD204" s="141"/>
      <c r="BE204" s="141"/>
      <c r="BF204" s="141"/>
      <c r="BG204" s="141"/>
      <c r="BH204" s="141"/>
      <c r="BI204" s="141"/>
      <c r="BJ204" s="141"/>
      <c r="BK204" s="141"/>
      <c r="BL204" s="61">
        <f>SEKOR!BN197</f>
        <v>0</v>
      </c>
      <c r="BM204" s="61">
        <f>SEKOR!BO197</f>
        <v>0</v>
      </c>
      <c r="BN204" s="62" t="str">
        <f>SEKOR!BP197</f>
        <v/>
      </c>
      <c r="BO204" s="62" t="str">
        <f>SEKOR!BQ197</f>
        <v/>
      </c>
      <c r="BP204" s="63" t="str">
        <f>SEKOR!BT197</f>
        <v/>
      </c>
      <c r="BQ204" s="88"/>
      <c r="BR204" s="88"/>
    </row>
    <row r="205" spans="1:70" ht="15" customHeight="1" x14ac:dyDescent="0.25">
      <c r="A205" s="83" t="str">
        <f>IF(B205="","",COUNTA($B$10:$B205))</f>
        <v/>
      </c>
      <c r="B205" s="60"/>
      <c r="C205" s="64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  <c r="AH205" s="141"/>
      <c r="AI205" s="141"/>
      <c r="AJ205" s="141"/>
      <c r="AK205" s="141"/>
      <c r="AL205" s="141"/>
      <c r="AM205" s="141"/>
      <c r="AN205" s="141"/>
      <c r="AO205" s="141"/>
      <c r="AP205" s="141"/>
      <c r="AQ205" s="141"/>
      <c r="AR205" s="141"/>
      <c r="AS205" s="141"/>
      <c r="AT205" s="141"/>
      <c r="AU205" s="141"/>
      <c r="AV205" s="141"/>
      <c r="AW205" s="141"/>
      <c r="AX205" s="141"/>
      <c r="AY205" s="141"/>
      <c r="AZ205" s="141"/>
      <c r="BA205" s="141"/>
      <c r="BB205" s="141"/>
      <c r="BC205" s="141"/>
      <c r="BD205" s="141"/>
      <c r="BE205" s="141"/>
      <c r="BF205" s="141"/>
      <c r="BG205" s="141"/>
      <c r="BH205" s="141"/>
      <c r="BI205" s="141"/>
      <c r="BJ205" s="141"/>
      <c r="BK205" s="141"/>
      <c r="BL205" s="61">
        <f>SEKOR!BN198</f>
        <v>0</v>
      </c>
      <c r="BM205" s="61">
        <f>SEKOR!BO198</f>
        <v>0</v>
      </c>
      <c r="BN205" s="62" t="str">
        <f>SEKOR!BP198</f>
        <v/>
      </c>
      <c r="BO205" s="62" t="str">
        <f>SEKOR!BQ198</f>
        <v/>
      </c>
      <c r="BP205" s="63" t="str">
        <f>SEKOR!BT198</f>
        <v/>
      </c>
      <c r="BQ205" s="88"/>
      <c r="BR205" s="88"/>
    </row>
    <row r="206" spans="1:70" ht="15" customHeight="1" x14ac:dyDescent="0.25">
      <c r="A206" s="83" t="str">
        <f>IF(B206="","",COUNTA($B$10:$B206))</f>
        <v/>
      </c>
      <c r="B206" s="60"/>
      <c r="C206" s="64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  <c r="AH206" s="141"/>
      <c r="AI206" s="141"/>
      <c r="AJ206" s="141"/>
      <c r="AK206" s="141"/>
      <c r="AL206" s="141"/>
      <c r="AM206" s="141"/>
      <c r="AN206" s="141"/>
      <c r="AO206" s="141"/>
      <c r="AP206" s="141"/>
      <c r="AQ206" s="141"/>
      <c r="AR206" s="141"/>
      <c r="AS206" s="141"/>
      <c r="AT206" s="141"/>
      <c r="AU206" s="141"/>
      <c r="AV206" s="141"/>
      <c r="AW206" s="141"/>
      <c r="AX206" s="141"/>
      <c r="AY206" s="141"/>
      <c r="AZ206" s="141"/>
      <c r="BA206" s="141"/>
      <c r="BB206" s="141"/>
      <c r="BC206" s="141"/>
      <c r="BD206" s="141"/>
      <c r="BE206" s="141"/>
      <c r="BF206" s="141"/>
      <c r="BG206" s="141"/>
      <c r="BH206" s="141"/>
      <c r="BI206" s="141"/>
      <c r="BJ206" s="141"/>
      <c r="BK206" s="141"/>
      <c r="BL206" s="61">
        <f>SEKOR!BN199</f>
        <v>0</v>
      </c>
      <c r="BM206" s="61">
        <f>SEKOR!BO199</f>
        <v>0</v>
      </c>
      <c r="BN206" s="62" t="str">
        <f>SEKOR!BP199</f>
        <v/>
      </c>
      <c r="BO206" s="62" t="str">
        <f>SEKOR!BQ199</f>
        <v/>
      </c>
      <c r="BP206" s="63" t="str">
        <f>SEKOR!BT199</f>
        <v/>
      </c>
      <c r="BQ206" s="88"/>
      <c r="BR206" s="88"/>
    </row>
    <row r="207" spans="1:70" ht="15" customHeight="1" x14ac:dyDescent="0.25">
      <c r="A207" s="83" t="str">
        <f>IF(B207="","",COUNTA($B$10:$B207))</f>
        <v/>
      </c>
      <c r="B207" s="60"/>
      <c r="C207" s="64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  <c r="AH207" s="141"/>
      <c r="AI207" s="141"/>
      <c r="AJ207" s="141"/>
      <c r="AK207" s="141"/>
      <c r="AL207" s="141"/>
      <c r="AM207" s="141"/>
      <c r="AN207" s="141"/>
      <c r="AO207" s="141"/>
      <c r="AP207" s="141"/>
      <c r="AQ207" s="141"/>
      <c r="AR207" s="141"/>
      <c r="AS207" s="141"/>
      <c r="AT207" s="141"/>
      <c r="AU207" s="141"/>
      <c r="AV207" s="141"/>
      <c r="AW207" s="141"/>
      <c r="AX207" s="141"/>
      <c r="AY207" s="141"/>
      <c r="AZ207" s="141"/>
      <c r="BA207" s="141"/>
      <c r="BB207" s="141"/>
      <c r="BC207" s="141"/>
      <c r="BD207" s="141"/>
      <c r="BE207" s="141"/>
      <c r="BF207" s="141"/>
      <c r="BG207" s="141"/>
      <c r="BH207" s="141"/>
      <c r="BI207" s="141"/>
      <c r="BJ207" s="141"/>
      <c r="BK207" s="141"/>
      <c r="BL207" s="61">
        <f>SEKOR!BN200</f>
        <v>0</v>
      </c>
      <c r="BM207" s="61">
        <f>SEKOR!BO200</f>
        <v>0</v>
      </c>
      <c r="BN207" s="62" t="str">
        <f>SEKOR!BP200</f>
        <v/>
      </c>
      <c r="BO207" s="62" t="str">
        <f>SEKOR!BQ200</f>
        <v/>
      </c>
      <c r="BP207" s="63" t="str">
        <f>SEKOR!BT200</f>
        <v/>
      </c>
      <c r="BQ207" s="88"/>
      <c r="BR207" s="88"/>
    </row>
    <row r="208" spans="1:70" ht="15" customHeight="1" x14ac:dyDescent="0.25">
      <c r="A208" s="83" t="str">
        <f>IF(B208="","",COUNTA($B$10:$B208))</f>
        <v/>
      </c>
      <c r="B208" s="60"/>
      <c r="C208" s="64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  <c r="AH208" s="141"/>
      <c r="AI208" s="141"/>
      <c r="AJ208" s="141"/>
      <c r="AK208" s="141"/>
      <c r="AL208" s="141"/>
      <c r="AM208" s="141"/>
      <c r="AN208" s="141"/>
      <c r="AO208" s="141"/>
      <c r="AP208" s="141"/>
      <c r="AQ208" s="141"/>
      <c r="AR208" s="141"/>
      <c r="AS208" s="141"/>
      <c r="AT208" s="141"/>
      <c r="AU208" s="141"/>
      <c r="AV208" s="141"/>
      <c r="AW208" s="141"/>
      <c r="AX208" s="141"/>
      <c r="AY208" s="141"/>
      <c r="AZ208" s="141"/>
      <c r="BA208" s="141"/>
      <c r="BB208" s="141"/>
      <c r="BC208" s="141"/>
      <c r="BD208" s="141"/>
      <c r="BE208" s="141"/>
      <c r="BF208" s="141"/>
      <c r="BG208" s="141"/>
      <c r="BH208" s="141"/>
      <c r="BI208" s="141"/>
      <c r="BJ208" s="141"/>
      <c r="BK208" s="141"/>
      <c r="BL208" s="61">
        <f>SEKOR!BN201</f>
        <v>0</v>
      </c>
      <c r="BM208" s="61">
        <f>SEKOR!BO201</f>
        <v>0</v>
      </c>
      <c r="BN208" s="62" t="str">
        <f>SEKOR!BP201</f>
        <v/>
      </c>
      <c r="BO208" s="62" t="str">
        <f>SEKOR!BQ201</f>
        <v/>
      </c>
      <c r="BP208" s="63" t="str">
        <f>SEKOR!BT201</f>
        <v/>
      </c>
      <c r="BQ208" s="88"/>
      <c r="BR208" s="88"/>
    </row>
    <row r="209" spans="1:70" ht="15" customHeight="1" x14ac:dyDescent="0.25">
      <c r="A209" s="83" t="str">
        <f>IF(B209="","",COUNTA($B$10:$B209))</f>
        <v/>
      </c>
      <c r="B209" s="60"/>
      <c r="C209" s="64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  <c r="AH209" s="141"/>
      <c r="AI209" s="141"/>
      <c r="AJ209" s="141"/>
      <c r="AK209" s="141"/>
      <c r="AL209" s="141"/>
      <c r="AM209" s="141"/>
      <c r="AN209" s="141"/>
      <c r="AO209" s="141"/>
      <c r="AP209" s="141"/>
      <c r="AQ209" s="141"/>
      <c r="AR209" s="141"/>
      <c r="AS209" s="141"/>
      <c r="AT209" s="141"/>
      <c r="AU209" s="141"/>
      <c r="AV209" s="141"/>
      <c r="AW209" s="141"/>
      <c r="AX209" s="141"/>
      <c r="AY209" s="141"/>
      <c r="AZ209" s="141"/>
      <c r="BA209" s="141"/>
      <c r="BB209" s="141"/>
      <c r="BC209" s="141"/>
      <c r="BD209" s="141"/>
      <c r="BE209" s="141"/>
      <c r="BF209" s="141"/>
      <c r="BG209" s="141"/>
      <c r="BH209" s="141"/>
      <c r="BI209" s="141"/>
      <c r="BJ209" s="141"/>
      <c r="BK209" s="141"/>
      <c r="BL209" s="61">
        <f>SEKOR!BN202</f>
        <v>0</v>
      </c>
      <c r="BM209" s="61">
        <f>SEKOR!BO202</f>
        <v>0</v>
      </c>
      <c r="BN209" s="62" t="str">
        <f>SEKOR!BP202</f>
        <v/>
      </c>
      <c r="BO209" s="62" t="str">
        <f>SEKOR!BQ202</f>
        <v/>
      </c>
      <c r="BP209" s="63" t="str">
        <f>SEKOR!BT202</f>
        <v/>
      </c>
      <c r="BQ209" s="88"/>
      <c r="BR209" s="88"/>
    </row>
    <row r="210" spans="1:70" ht="15" customHeight="1" x14ac:dyDescent="0.25">
      <c r="A210" s="83" t="str">
        <f>IF(B210="","",COUNTA($B$10:$B210))</f>
        <v/>
      </c>
      <c r="B210" s="60"/>
      <c r="C210" s="64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  <c r="AH210" s="141"/>
      <c r="AI210" s="141"/>
      <c r="AJ210" s="141"/>
      <c r="AK210" s="141"/>
      <c r="AL210" s="141"/>
      <c r="AM210" s="141"/>
      <c r="AN210" s="141"/>
      <c r="AO210" s="141"/>
      <c r="AP210" s="141"/>
      <c r="AQ210" s="141"/>
      <c r="AR210" s="141"/>
      <c r="AS210" s="141"/>
      <c r="AT210" s="141"/>
      <c r="AU210" s="141"/>
      <c r="AV210" s="141"/>
      <c r="AW210" s="141"/>
      <c r="AX210" s="141"/>
      <c r="AY210" s="141"/>
      <c r="AZ210" s="141"/>
      <c r="BA210" s="141"/>
      <c r="BB210" s="141"/>
      <c r="BC210" s="141"/>
      <c r="BD210" s="141"/>
      <c r="BE210" s="141"/>
      <c r="BF210" s="141"/>
      <c r="BG210" s="141"/>
      <c r="BH210" s="141"/>
      <c r="BI210" s="141"/>
      <c r="BJ210" s="141"/>
      <c r="BK210" s="141"/>
      <c r="BL210" s="61">
        <f>SEKOR!BN203</f>
        <v>0</v>
      </c>
      <c r="BM210" s="61">
        <f>SEKOR!BO203</f>
        <v>0</v>
      </c>
      <c r="BN210" s="62" t="str">
        <f>SEKOR!BP203</f>
        <v/>
      </c>
      <c r="BO210" s="62" t="str">
        <f>SEKOR!BQ203</f>
        <v/>
      </c>
      <c r="BP210" s="63" t="str">
        <f>SEKOR!BT203</f>
        <v/>
      </c>
      <c r="BQ210" s="88"/>
      <c r="BR210" s="88"/>
    </row>
    <row r="211" spans="1:70" ht="15" customHeight="1" x14ac:dyDescent="0.25">
      <c r="A211" s="83" t="str">
        <f>IF(B211="","",COUNTA($B$10:$B211))</f>
        <v/>
      </c>
      <c r="B211" s="60"/>
      <c r="C211" s="64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  <c r="AH211" s="141"/>
      <c r="AI211" s="141"/>
      <c r="AJ211" s="141"/>
      <c r="AK211" s="141"/>
      <c r="AL211" s="141"/>
      <c r="AM211" s="141"/>
      <c r="AN211" s="141"/>
      <c r="AO211" s="141"/>
      <c r="AP211" s="141"/>
      <c r="AQ211" s="141"/>
      <c r="AR211" s="141"/>
      <c r="AS211" s="141"/>
      <c r="AT211" s="141"/>
      <c r="AU211" s="141"/>
      <c r="AV211" s="141"/>
      <c r="AW211" s="141"/>
      <c r="AX211" s="141"/>
      <c r="AY211" s="141"/>
      <c r="AZ211" s="141"/>
      <c r="BA211" s="141"/>
      <c r="BB211" s="141"/>
      <c r="BC211" s="141"/>
      <c r="BD211" s="141"/>
      <c r="BE211" s="141"/>
      <c r="BF211" s="141"/>
      <c r="BG211" s="141"/>
      <c r="BH211" s="141"/>
      <c r="BI211" s="141"/>
      <c r="BJ211" s="141"/>
      <c r="BK211" s="141"/>
      <c r="BL211" s="61">
        <f>SEKOR!BN204</f>
        <v>0</v>
      </c>
      <c r="BM211" s="61">
        <f>SEKOR!BO204</f>
        <v>0</v>
      </c>
      <c r="BN211" s="62" t="str">
        <f>SEKOR!BP204</f>
        <v/>
      </c>
      <c r="BO211" s="62" t="str">
        <f>SEKOR!BQ204</f>
        <v/>
      </c>
      <c r="BP211" s="63" t="str">
        <f>SEKOR!BT204</f>
        <v/>
      </c>
      <c r="BQ211" s="88"/>
      <c r="BR211" s="88"/>
    </row>
    <row r="212" spans="1:70" ht="15" customHeight="1" x14ac:dyDescent="0.25">
      <c r="A212" s="83" t="str">
        <f>IF(B212="","",COUNTA($B$10:$B212))</f>
        <v/>
      </c>
      <c r="B212" s="60"/>
      <c r="C212" s="64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  <c r="AH212" s="141"/>
      <c r="AI212" s="141"/>
      <c r="AJ212" s="141"/>
      <c r="AK212" s="141"/>
      <c r="AL212" s="141"/>
      <c r="AM212" s="141"/>
      <c r="AN212" s="141"/>
      <c r="AO212" s="141"/>
      <c r="AP212" s="141"/>
      <c r="AQ212" s="141"/>
      <c r="AR212" s="141"/>
      <c r="AS212" s="141"/>
      <c r="AT212" s="141"/>
      <c r="AU212" s="141"/>
      <c r="AV212" s="141"/>
      <c r="AW212" s="141"/>
      <c r="AX212" s="141"/>
      <c r="AY212" s="141"/>
      <c r="AZ212" s="141"/>
      <c r="BA212" s="141"/>
      <c r="BB212" s="141"/>
      <c r="BC212" s="141"/>
      <c r="BD212" s="141"/>
      <c r="BE212" s="141"/>
      <c r="BF212" s="141"/>
      <c r="BG212" s="141"/>
      <c r="BH212" s="141"/>
      <c r="BI212" s="141"/>
      <c r="BJ212" s="141"/>
      <c r="BK212" s="141"/>
      <c r="BL212" s="61">
        <f>SEKOR!BN205</f>
        <v>0</v>
      </c>
      <c r="BM212" s="61">
        <f>SEKOR!BO205</f>
        <v>0</v>
      </c>
      <c r="BN212" s="62" t="str">
        <f>SEKOR!BP205</f>
        <v/>
      </c>
      <c r="BO212" s="62" t="str">
        <f>SEKOR!BQ205</f>
        <v/>
      </c>
      <c r="BP212" s="63" t="str">
        <f>SEKOR!BT205</f>
        <v/>
      </c>
      <c r="BQ212" s="88"/>
      <c r="BR212" s="88"/>
    </row>
    <row r="213" spans="1:70" ht="15" customHeight="1" x14ac:dyDescent="0.25">
      <c r="A213" s="83" t="str">
        <f>IF(B213="","",COUNTA($B$10:$B213))</f>
        <v/>
      </c>
      <c r="B213" s="60"/>
      <c r="C213" s="64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  <c r="AH213" s="141"/>
      <c r="AI213" s="141"/>
      <c r="AJ213" s="141"/>
      <c r="AK213" s="141"/>
      <c r="AL213" s="141"/>
      <c r="AM213" s="141"/>
      <c r="AN213" s="141"/>
      <c r="AO213" s="141"/>
      <c r="AP213" s="141"/>
      <c r="AQ213" s="141"/>
      <c r="AR213" s="141"/>
      <c r="AS213" s="141"/>
      <c r="AT213" s="141"/>
      <c r="AU213" s="141"/>
      <c r="AV213" s="141"/>
      <c r="AW213" s="141"/>
      <c r="AX213" s="141"/>
      <c r="AY213" s="141"/>
      <c r="AZ213" s="141"/>
      <c r="BA213" s="141"/>
      <c r="BB213" s="141"/>
      <c r="BC213" s="141"/>
      <c r="BD213" s="141"/>
      <c r="BE213" s="141"/>
      <c r="BF213" s="141"/>
      <c r="BG213" s="141"/>
      <c r="BH213" s="141"/>
      <c r="BI213" s="141"/>
      <c r="BJ213" s="141"/>
      <c r="BK213" s="141"/>
      <c r="BL213" s="61">
        <f>SEKOR!BN206</f>
        <v>0</v>
      </c>
      <c r="BM213" s="61">
        <f>SEKOR!BO206</f>
        <v>0</v>
      </c>
      <c r="BN213" s="62" t="str">
        <f>SEKOR!BP206</f>
        <v/>
      </c>
      <c r="BO213" s="62" t="str">
        <f>SEKOR!BQ206</f>
        <v/>
      </c>
      <c r="BP213" s="63" t="str">
        <f>SEKOR!BT206</f>
        <v/>
      </c>
      <c r="BQ213" s="88"/>
      <c r="BR213" s="88"/>
    </row>
    <row r="214" spans="1:70" ht="15" customHeight="1" x14ac:dyDescent="0.25">
      <c r="A214" s="83" t="str">
        <f>IF(B214="","",COUNTA($B$10:$B214))</f>
        <v/>
      </c>
      <c r="B214" s="60"/>
      <c r="C214" s="64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  <c r="AH214" s="141"/>
      <c r="AI214" s="141"/>
      <c r="AJ214" s="141"/>
      <c r="AK214" s="141"/>
      <c r="AL214" s="141"/>
      <c r="AM214" s="141"/>
      <c r="AN214" s="141"/>
      <c r="AO214" s="141"/>
      <c r="AP214" s="141"/>
      <c r="AQ214" s="141"/>
      <c r="AR214" s="141"/>
      <c r="AS214" s="141"/>
      <c r="AT214" s="141"/>
      <c r="AU214" s="141"/>
      <c r="AV214" s="141"/>
      <c r="AW214" s="141"/>
      <c r="AX214" s="141"/>
      <c r="AY214" s="141"/>
      <c r="AZ214" s="141"/>
      <c r="BA214" s="141"/>
      <c r="BB214" s="141"/>
      <c r="BC214" s="141"/>
      <c r="BD214" s="141"/>
      <c r="BE214" s="141"/>
      <c r="BF214" s="141"/>
      <c r="BG214" s="141"/>
      <c r="BH214" s="141"/>
      <c r="BI214" s="141"/>
      <c r="BJ214" s="141"/>
      <c r="BK214" s="141"/>
      <c r="BL214" s="61">
        <f>SEKOR!BN207</f>
        <v>0</v>
      </c>
      <c r="BM214" s="61">
        <f>SEKOR!BO207</f>
        <v>0</v>
      </c>
      <c r="BN214" s="62" t="str">
        <f>SEKOR!BP207</f>
        <v/>
      </c>
      <c r="BO214" s="62" t="str">
        <f>SEKOR!BQ207</f>
        <v/>
      </c>
      <c r="BP214" s="63" t="str">
        <f>SEKOR!BT207</f>
        <v/>
      </c>
      <c r="BQ214" s="88"/>
      <c r="BR214" s="88"/>
    </row>
    <row r="215" spans="1:70" ht="15" customHeight="1" x14ac:dyDescent="0.25">
      <c r="A215" s="83" t="str">
        <f>IF(B215="","",COUNTA($B$10:$B215))</f>
        <v/>
      </c>
      <c r="B215" s="60"/>
      <c r="C215" s="64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  <c r="AH215" s="141"/>
      <c r="AI215" s="141"/>
      <c r="AJ215" s="141"/>
      <c r="AK215" s="141"/>
      <c r="AL215" s="141"/>
      <c r="AM215" s="141"/>
      <c r="AN215" s="141"/>
      <c r="AO215" s="141"/>
      <c r="AP215" s="141"/>
      <c r="AQ215" s="141"/>
      <c r="AR215" s="141"/>
      <c r="AS215" s="141"/>
      <c r="AT215" s="141"/>
      <c r="AU215" s="141"/>
      <c r="AV215" s="141"/>
      <c r="AW215" s="141"/>
      <c r="AX215" s="141"/>
      <c r="AY215" s="141"/>
      <c r="AZ215" s="141"/>
      <c r="BA215" s="141"/>
      <c r="BB215" s="141"/>
      <c r="BC215" s="141"/>
      <c r="BD215" s="141"/>
      <c r="BE215" s="141"/>
      <c r="BF215" s="141"/>
      <c r="BG215" s="141"/>
      <c r="BH215" s="141"/>
      <c r="BI215" s="141"/>
      <c r="BJ215" s="141"/>
      <c r="BK215" s="141"/>
      <c r="BL215" s="61">
        <f>SEKOR!BN208</f>
        <v>0</v>
      </c>
      <c r="BM215" s="61">
        <f>SEKOR!BO208</f>
        <v>0</v>
      </c>
      <c r="BN215" s="62" t="str">
        <f>SEKOR!BP208</f>
        <v/>
      </c>
      <c r="BO215" s="62" t="str">
        <f>SEKOR!BQ208</f>
        <v/>
      </c>
      <c r="BP215" s="63" t="str">
        <f>SEKOR!BT208</f>
        <v/>
      </c>
      <c r="BQ215" s="88"/>
      <c r="BR215" s="88"/>
    </row>
    <row r="216" spans="1:70" ht="15" customHeight="1" x14ac:dyDescent="0.25">
      <c r="A216" s="83" t="str">
        <f>IF(B216="","",COUNTA($B$10:$B216))</f>
        <v/>
      </c>
      <c r="B216" s="60"/>
      <c r="C216" s="64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  <c r="AH216" s="141"/>
      <c r="AI216" s="141"/>
      <c r="AJ216" s="141"/>
      <c r="AK216" s="141"/>
      <c r="AL216" s="141"/>
      <c r="AM216" s="141"/>
      <c r="AN216" s="141"/>
      <c r="AO216" s="141"/>
      <c r="AP216" s="141"/>
      <c r="AQ216" s="141"/>
      <c r="AR216" s="141"/>
      <c r="AS216" s="141"/>
      <c r="AT216" s="141"/>
      <c r="AU216" s="141"/>
      <c r="AV216" s="141"/>
      <c r="AW216" s="141"/>
      <c r="AX216" s="141"/>
      <c r="AY216" s="141"/>
      <c r="AZ216" s="141"/>
      <c r="BA216" s="141"/>
      <c r="BB216" s="141"/>
      <c r="BC216" s="141"/>
      <c r="BD216" s="141"/>
      <c r="BE216" s="141"/>
      <c r="BF216" s="141"/>
      <c r="BG216" s="141"/>
      <c r="BH216" s="141"/>
      <c r="BI216" s="141"/>
      <c r="BJ216" s="141"/>
      <c r="BK216" s="141"/>
      <c r="BL216" s="61">
        <f>SEKOR!BN209</f>
        <v>0</v>
      </c>
      <c r="BM216" s="61">
        <f>SEKOR!BO209</f>
        <v>0</v>
      </c>
      <c r="BN216" s="62" t="str">
        <f>SEKOR!BP209</f>
        <v/>
      </c>
      <c r="BO216" s="62" t="str">
        <f>SEKOR!BQ209</f>
        <v/>
      </c>
      <c r="BP216" s="63" t="str">
        <f>SEKOR!BT209</f>
        <v/>
      </c>
      <c r="BQ216" s="88"/>
      <c r="BR216" s="88"/>
    </row>
    <row r="217" spans="1:70" ht="15" customHeight="1" x14ac:dyDescent="0.25">
      <c r="A217" s="83" t="str">
        <f>IF(B217="","",COUNTA($B$10:$B217))</f>
        <v/>
      </c>
      <c r="B217" s="60"/>
      <c r="C217" s="64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  <c r="AH217" s="141"/>
      <c r="AI217" s="141"/>
      <c r="AJ217" s="141"/>
      <c r="AK217" s="141"/>
      <c r="AL217" s="141"/>
      <c r="AM217" s="141"/>
      <c r="AN217" s="141"/>
      <c r="AO217" s="141"/>
      <c r="AP217" s="141"/>
      <c r="AQ217" s="141"/>
      <c r="AR217" s="141"/>
      <c r="AS217" s="141"/>
      <c r="AT217" s="141"/>
      <c r="AU217" s="141"/>
      <c r="AV217" s="141"/>
      <c r="AW217" s="141"/>
      <c r="AX217" s="141"/>
      <c r="AY217" s="141"/>
      <c r="AZ217" s="141"/>
      <c r="BA217" s="141"/>
      <c r="BB217" s="141"/>
      <c r="BC217" s="141"/>
      <c r="BD217" s="141"/>
      <c r="BE217" s="141"/>
      <c r="BF217" s="141"/>
      <c r="BG217" s="141"/>
      <c r="BH217" s="141"/>
      <c r="BI217" s="141"/>
      <c r="BJ217" s="141"/>
      <c r="BK217" s="141"/>
      <c r="BL217" s="61">
        <f>SEKOR!BN210</f>
        <v>0</v>
      </c>
      <c r="BM217" s="61">
        <f>SEKOR!BO210</f>
        <v>0</v>
      </c>
      <c r="BN217" s="62" t="str">
        <f>SEKOR!BP210</f>
        <v/>
      </c>
      <c r="BO217" s="62" t="str">
        <f>SEKOR!BQ210</f>
        <v/>
      </c>
      <c r="BP217" s="63" t="str">
        <f>SEKOR!BT210</f>
        <v/>
      </c>
      <c r="BQ217" s="88"/>
      <c r="BR217" s="88"/>
    </row>
    <row r="218" spans="1:70" ht="15" customHeight="1" x14ac:dyDescent="0.25">
      <c r="A218" s="83" t="str">
        <f>IF(B218="","",COUNTA($B$10:$B218))</f>
        <v/>
      </c>
      <c r="B218" s="60"/>
      <c r="C218" s="64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  <c r="AH218" s="141"/>
      <c r="AI218" s="141"/>
      <c r="AJ218" s="141"/>
      <c r="AK218" s="141"/>
      <c r="AL218" s="141"/>
      <c r="AM218" s="141"/>
      <c r="AN218" s="141"/>
      <c r="AO218" s="141"/>
      <c r="AP218" s="141"/>
      <c r="AQ218" s="141"/>
      <c r="AR218" s="141"/>
      <c r="AS218" s="141"/>
      <c r="AT218" s="141"/>
      <c r="AU218" s="141"/>
      <c r="AV218" s="141"/>
      <c r="AW218" s="141"/>
      <c r="AX218" s="141"/>
      <c r="AY218" s="141"/>
      <c r="AZ218" s="141"/>
      <c r="BA218" s="141"/>
      <c r="BB218" s="141"/>
      <c r="BC218" s="141"/>
      <c r="BD218" s="141"/>
      <c r="BE218" s="141"/>
      <c r="BF218" s="141"/>
      <c r="BG218" s="141"/>
      <c r="BH218" s="141"/>
      <c r="BI218" s="141"/>
      <c r="BJ218" s="141"/>
      <c r="BK218" s="141"/>
      <c r="BL218" s="61">
        <f>SEKOR!BN211</f>
        <v>0</v>
      </c>
      <c r="BM218" s="61">
        <f>SEKOR!BO211</f>
        <v>0</v>
      </c>
      <c r="BN218" s="62" t="str">
        <f>SEKOR!BP211</f>
        <v/>
      </c>
      <c r="BO218" s="62" t="str">
        <f>SEKOR!BQ211</f>
        <v/>
      </c>
      <c r="BP218" s="63" t="str">
        <f>SEKOR!BT211</f>
        <v/>
      </c>
      <c r="BQ218" s="88"/>
      <c r="BR218" s="88"/>
    </row>
    <row r="219" spans="1:70" ht="15" customHeight="1" x14ac:dyDescent="0.25">
      <c r="A219" s="83" t="str">
        <f>IF(B219="","",COUNTA($B$10:$B219))</f>
        <v/>
      </c>
      <c r="B219" s="60"/>
      <c r="C219" s="64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  <c r="AH219" s="141"/>
      <c r="AI219" s="141"/>
      <c r="AJ219" s="141"/>
      <c r="AK219" s="141"/>
      <c r="AL219" s="141"/>
      <c r="AM219" s="141"/>
      <c r="AN219" s="141"/>
      <c r="AO219" s="141"/>
      <c r="AP219" s="141"/>
      <c r="AQ219" s="141"/>
      <c r="AR219" s="141"/>
      <c r="AS219" s="141"/>
      <c r="AT219" s="141"/>
      <c r="AU219" s="141"/>
      <c r="AV219" s="141"/>
      <c r="AW219" s="141"/>
      <c r="AX219" s="141"/>
      <c r="AY219" s="141"/>
      <c r="AZ219" s="141"/>
      <c r="BA219" s="141"/>
      <c r="BB219" s="141"/>
      <c r="BC219" s="141"/>
      <c r="BD219" s="141"/>
      <c r="BE219" s="141"/>
      <c r="BF219" s="141"/>
      <c r="BG219" s="141"/>
      <c r="BH219" s="141"/>
      <c r="BI219" s="141"/>
      <c r="BJ219" s="141"/>
      <c r="BK219" s="141"/>
      <c r="BL219" s="61">
        <f>SEKOR!BN212</f>
        <v>0</v>
      </c>
      <c r="BM219" s="61">
        <f>SEKOR!BO212</f>
        <v>0</v>
      </c>
      <c r="BN219" s="62" t="str">
        <f>SEKOR!BP212</f>
        <v/>
      </c>
      <c r="BO219" s="62" t="str">
        <f>SEKOR!BQ212</f>
        <v/>
      </c>
      <c r="BP219" s="63" t="str">
        <f>SEKOR!BT212</f>
        <v/>
      </c>
      <c r="BQ219" s="88"/>
      <c r="BR219" s="88"/>
    </row>
    <row r="220" spans="1:70" ht="15" customHeight="1" x14ac:dyDescent="0.25">
      <c r="A220" s="83" t="str">
        <f>IF(B220="","",COUNTA($B$10:$B220))</f>
        <v/>
      </c>
      <c r="B220" s="60"/>
      <c r="C220" s="64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  <c r="AH220" s="141"/>
      <c r="AI220" s="141"/>
      <c r="AJ220" s="141"/>
      <c r="AK220" s="141"/>
      <c r="AL220" s="141"/>
      <c r="AM220" s="141"/>
      <c r="AN220" s="141"/>
      <c r="AO220" s="141"/>
      <c r="AP220" s="141"/>
      <c r="AQ220" s="141"/>
      <c r="AR220" s="141"/>
      <c r="AS220" s="141"/>
      <c r="AT220" s="141"/>
      <c r="AU220" s="141"/>
      <c r="AV220" s="141"/>
      <c r="AW220" s="141"/>
      <c r="AX220" s="141"/>
      <c r="AY220" s="141"/>
      <c r="AZ220" s="141"/>
      <c r="BA220" s="141"/>
      <c r="BB220" s="141"/>
      <c r="BC220" s="141"/>
      <c r="BD220" s="141"/>
      <c r="BE220" s="141"/>
      <c r="BF220" s="141"/>
      <c r="BG220" s="141"/>
      <c r="BH220" s="141"/>
      <c r="BI220" s="141"/>
      <c r="BJ220" s="141"/>
      <c r="BK220" s="141"/>
      <c r="BL220" s="61">
        <f>SEKOR!BN213</f>
        <v>0</v>
      </c>
      <c r="BM220" s="61">
        <f>SEKOR!BO213</f>
        <v>0</v>
      </c>
      <c r="BN220" s="62" t="str">
        <f>SEKOR!BP213</f>
        <v/>
      </c>
      <c r="BO220" s="62" t="str">
        <f>SEKOR!BQ213</f>
        <v/>
      </c>
      <c r="BP220" s="63" t="str">
        <f>SEKOR!BT213</f>
        <v/>
      </c>
      <c r="BQ220" s="88"/>
      <c r="BR220" s="88"/>
    </row>
    <row r="221" spans="1:70" ht="15" customHeight="1" x14ac:dyDescent="0.25">
      <c r="A221" s="83" t="str">
        <f>IF(B221="","",COUNTA($B$10:$B221))</f>
        <v/>
      </c>
      <c r="B221" s="60"/>
      <c r="C221" s="64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  <c r="AH221" s="141"/>
      <c r="AI221" s="141"/>
      <c r="AJ221" s="141"/>
      <c r="AK221" s="141"/>
      <c r="AL221" s="141"/>
      <c r="AM221" s="141"/>
      <c r="AN221" s="141"/>
      <c r="AO221" s="141"/>
      <c r="AP221" s="141"/>
      <c r="AQ221" s="141"/>
      <c r="AR221" s="141"/>
      <c r="AS221" s="141"/>
      <c r="AT221" s="141"/>
      <c r="AU221" s="141"/>
      <c r="AV221" s="141"/>
      <c r="AW221" s="141"/>
      <c r="AX221" s="141"/>
      <c r="AY221" s="141"/>
      <c r="AZ221" s="141"/>
      <c r="BA221" s="141"/>
      <c r="BB221" s="141"/>
      <c r="BC221" s="141"/>
      <c r="BD221" s="141"/>
      <c r="BE221" s="141"/>
      <c r="BF221" s="141"/>
      <c r="BG221" s="141"/>
      <c r="BH221" s="141"/>
      <c r="BI221" s="141"/>
      <c r="BJ221" s="141"/>
      <c r="BK221" s="141"/>
      <c r="BL221" s="61">
        <f>SEKOR!BN214</f>
        <v>0</v>
      </c>
      <c r="BM221" s="61">
        <f>SEKOR!BO214</f>
        <v>0</v>
      </c>
      <c r="BN221" s="62" t="str">
        <f>SEKOR!BP214</f>
        <v/>
      </c>
      <c r="BO221" s="62" t="str">
        <f>SEKOR!BQ214</f>
        <v/>
      </c>
      <c r="BP221" s="63" t="str">
        <f>SEKOR!BT214</f>
        <v/>
      </c>
      <c r="BQ221" s="88"/>
      <c r="BR221" s="88"/>
    </row>
    <row r="222" spans="1:70" ht="15" customHeight="1" x14ac:dyDescent="0.25">
      <c r="A222" s="83" t="str">
        <f>IF(B222="","",COUNTA($B$10:$B222))</f>
        <v/>
      </c>
      <c r="B222" s="60"/>
      <c r="C222" s="64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  <c r="AH222" s="141"/>
      <c r="AI222" s="141"/>
      <c r="AJ222" s="141"/>
      <c r="AK222" s="141"/>
      <c r="AL222" s="141"/>
      <c r="AM222" s="141"/>
      <c r="AN222" s="141"/>
      <c r="AO222" s="141"/>
      <c r="AP222" s="141"/>
      <c r="AQ222" s="141"/>
      <c r="AR222" s="141"/>
      <c r="AS222" s="141"/>
      <c r="AT222" s="141"/>
      <c r="AU222" s="141"/>
      <c r="AV222" s="141"/>
      <c r="AW222" s="141"/>
      <c r="AX222" s="141"/>
      <c r="AY222" s="141"/>
      <c r="AZ222" s="141"/>
      <c r="BA222" s="141"/>
      <c r="BB222" s="141"/>
      <c r="BC222" s="141"/>
      <c r="BD222" s="141"/>
      <c r="BE222" s="141"/>
      <c r="BF222" s="141"/>
      <c r="BG222" s="141"/>
      <c r="BH222" s="141"/>
      <c r="BI222" s="141"/>
      <c r="BJ222" s="141"/>
      <c r="BK222" s="141"/>
      <c r="BL222" s="61">
        <f>SEKOR!BN215</f>
        <v>0</v>
      </c>
      <c r="BM222" s="61">
        <f>SEKOR!BO215</f>
        <v>0</v>
      </c>
      <c r="BN222" s="62" t="str">
        <f>SEKOR!BP215</f>
        <v/>
      </c>
      <c r="BO222" s="62" t="str">
        <f>SEKOR!BQ215</f>
        <v/>
      </c>
      <c r="BP222" s="63" t="str">
        <f>SEKOR!BT215</f>
        <v/>
      </c>
      <c r="BQ222" s="88"/>
      <c r="BR222" s="88"/>
    </row>
    <row r="223" spans="1:70" ht="15" customHeight="1" x14ac:dyDescent="0.25">
      <c r="A223" s="83" t="str">
        <f>IF(B223="","",COUNTA($B$10:$B223))</f>
        <v/>
      </c>
      <c r="B223" s="60"/>
      <c r="C223" s="64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  <c r="AH223" s="141"/>
      <c r="AI223" s="141"/>
      <c r="AJ223" s="141"/>
      <c r="AK223" s="141"/>
      <c r="AL223" s="141"/>
      <c r="AM223" s="141"/>
      <c r="AN223" s="141"/>
      <c r="AO223" s="141"/>
      <c r="AP223" s="141"/>
      <c r="AQ223" s="141"/>
      <c r="AR223" s="141"/>
      <c r="AS223" s="141"/>
      <c r="AT223" s="141"/>
      <c r="AU223" s="141"/>
      <c r="AV223" s="141"/>
      <c r="AW223" s="141"/>
      <c r="AX223" s="141"/>
      <c r="AY223" s="141"/>
      <c r="AZ223" s="141"/>
      <c r="BA223" s="141"/>
      <c r="BB223" s="141"/>
      <c r="BC223" s="141"/>
      <c r="BD223" s="141"/>
      <c r="BE223" s="141"/>
      <c r="BF223" s="141"/>
      <c r="BG223" s="141"/>
      <c r="BH223" s="141"/>
      <c r="BI223" s="141"/>
      <c r="BJ223" s="141"/>
      <c r="BK223" s="141"/>
      <c r="BL223" s="61">
        <f>SEKOR!BN216</f>
        <v>0</v>
      </c>
      <c r="BM223" s="61">
        <f>SEKOR!BO216</f>
        <v>0</v>
      </c>
      <c r="BN223" s="62" t="str">
        <f>SEKOR!BP216</f>
        <v/>
      </c>
      <c r="BO223" s="62" t="str">
        <f>SEKOR!BQ216</f>
        <v/>
      </c>
      <c r="BP223" s="63" t="str">
        <f>SEKOR!BT216</f>
        <v/>
      </c>
      <c r="BQ223" s="88"/>
      <c r="BR223" s="88"/>
    </row>
    <row r="224" spans="1:70" ht="15" customHeight="1" x14ac:dyDescent="0.25">
      <c r="A224" s="83" t="str">
        <f>IF(B224="","",COUNTA($B$10:$B224))</f>
        <v/>
      </c>
      <c r="B224" s="60"/>
      <c r="C224" s="64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  <c r="AH224" s="141"/>
      <c r="AI224" s="141"/>
      <c r="AJ224" s="141"/>
      <c r="AK224" s="141"/>
      <c r="AL224" s="141"/>
      <c r="AM224" s="141"/>
      <c r="AN224" s="141"/>
      <c r="AO224" s="141"/>
      <c r="AP224" s="141"/>
      <c r="AQ224" s="141"/>
      <c r="AR224" s="141"/>
      <c r="AS224" s="141"/>
      <c r="AT224" s="141"/>
      <c r="AU224" s="141"/>
      <c r="AV224" s="141"/>
      <c r="AW224" s="141"/>
      <c r="AX224" s="141"/>
      <c r="AY224" s="141"/>
      <c r="AZ224" s="141"/>
      <c r="BA224" s="141"/>
      <c r="BB224" s="141"/>
      <c r="BC224" s="141"/>
      <c r="BD224" s="141"/>
      <c r="BE224" s="141"/>
      <c r="BF224" s="141"/>
      <c r="BG224" s="141"/>
      <c r="BH224" s="141"/>
      <c r="BI224" s="141"/>
      <c r="BJ224" s="141"/>
      <c r="BK224" s="141"/>
      <c r="BL224" s="61">
        <f>SEKOR!BN217</f>
        <v>0</v>
      </c>
      <c r="BM224" s="61">
        <f>SEKOR!BO217</f>
        <v>0</v>
      </c>
      <c r="BN224" s="62" t="str">
        <f>SEKOR!BP217</f>
        <v/>
      </c>
      <c r="BO224" s="62" t="str">
        <f>SEKOR!BQ217</f>
        <v/>
      </c>
      <c r="BP224" s="63" t="str">
        <f>SEKOR!BT217</f>
        <v/>
      </c>
      <c r="BQ224" s="88"/>
      <c r="BR224" s="88"/>
    </row>
    <row r="225" spans="1:70" ht="15" customHeight="1" x14ac:dyDescent="0.25">
      <c r="A225" s="83" t="str">
        <f>IF(B225="","",COUNTA($B$10:$B225))</f>
        <v/>
      </c>
      <c r="B225" s="60"/>
      <c r="C225" s="64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  <c r="AH225" s="141"/>
      <c r="AI225" s="141"/>
      <c r="AJ225" s="141"/>
      <c r="AK225" s="141"/>
      <c r="AL225" s="141"/>
      <c r="AM225" s="141"/>
      <c r="AN225" s="141"/>
      <c r="AO225" s="141"/>
      <c r="AP225" s="141"/>
      <c r="AQ225" s="141"/>
      <c r="AR225" s="141"/>
      <c r="AS225" s="141"/>
      <c r="AT225" s="141"/>
      <c r="AU225" s="141"/>
      <c r="AV225" s="141"/>
      <c r="AW225" s="141"/>
      <c r="AX225" s="141"/>
      <c r="AY225" s="141"/>
      <c r="AZ225" s="141"/>
      <c r="BA225" s="141"/>
      <c r="BB225" s="141"/>
      <c r="BC225" s="141"/>
      <c r="BD225" s="141"/>
      <c r="BE225" s="141"/>
      <c r="BF225" s="141"/>
      <c r="BG225" s="141"/>
      <c r="BH225" s="141"/>
      <c r="BI225" s="141"/>
      <c r="BJ225" s="141"/>
      <c r="BK225" s="141"/>
      <c r="BL225" s="61">
        <f>SEKOR!BN218</f>
        <v>0</v>
      </c>
      <c r="BM225" s="61">
        <f>SEKOR!BO218</f>
        <v>0</v>
      </c>
      <c r="BN225" s="62" t="str">
        <f>SEKOR!BP218</f>
        <v/>
      </c>
      <c r="BO225" s="62" t="str">
        <f>SEKOR!BQ218</f>
        <v/>
      </c>
      <c r="BP225" s="63" t="str">
        <f>SEKOR!BT218</f>
        <v/>
      </c>
      <c r="BQ225" s="88"/>
      <c r="BR225" s="88"/>
    </row>
    <row r="226" spans="1:70" ht="15" customHeight="1" x14ac:dyDescent="0.25">
      <c r="A226" s="83" t="str">
        <f>IF(B226="","",COUNTA($B$10:$B226))</f>
        <v/>
      </c>
      <c r="B226" s="60"/>
      <c r="C226" s="64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  <c r="AH226" s="141"/>
      <c r="AI226" s="141"/>
      <c r="AJ226" s="141"/>
      <c r="AK226" s="141"/>
      <c r="AL226" s="141"/>
      <c r="AM226" s="141"/>
      <c r="AN226" s="141"/>
      <c r="AO226" s="141"/>
      <c r="AP226" s="141"/>
      <c r="AQ226" s="141"/>
      <c r="AR226" s="141"/>
      <c r="AS226" s="141"/>
      <c r="AT226" s="141"/>
      <c r="AU226" s="141"/>
      <c r="AV226" s="141"/>
      <c r="AW226" s="141"/>
      <c r="AX226" s="141"/>
      <c r="AY226" s="141"/>
      <c r="AZ226" s="141"/>
      <c r="BA226" s="141"/>
      <c r="BB226" s="141"/>
      <c r="BC226" s="141"/>
      <c r="BD226" s="141"/>
      <c r="BE226" s="141"/>
      <c r="BF226" s="141"/>
      <c r="BG226" s="141"/>
      <c r="BH226" s="141"/>
      <c r="BI226" s="141"/>
      <c r="BJ226" s="141"/>
      <c r="BK226" s="141"/>
      <c r="BL226" s="61">
        <f>SEKOR!BN219</f>
        <v>0</v>
      </c>
      <c r="BM226" s="61">
        <f>SEKOR!BO219</f>
        <v>0</v>
      </c>
      <c r="BN226" s="62" t="str">
        <f>SEKOR!BP219</f>
        <v/>
      </c>
      <c r="BO226" s="62" t="str">
        <f>SEKOR!BQ219</f>
        <v/>
      </c>
      <c r="BP226" s="63" t="str">
        <f>SEKOR!BT219</f>
        <v/>
      </c>
      <c r="BQ226" s="88"/>
      <c r="BR226" s="88"/>
    </row>
    <row r="227" spans="1:70" ht="15" customHeight="1" x14ac:dyDescent="0.25">
      <c r="A227" s="83" t="str">
        <f>IF(B227="","",COUNTA($B$10:$B227))</f>
        <v/>
      </c>
      <c r="B227" s="60"/>
      <c r="C227" s="64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  <c r="AH227" s="141"/>
      <c r="AI227" s="141"/>
      <c r="AJ227" s="141"/>
      <c r="AK227" s="141"/>
      <c r="AL227" s="141"/>
      <c r="AM227" s="141"/>
      <c r="AN227" s="141"/>
      <c r="AO227" s="141"/>
      <c r="AP227" s="141"/>
      <c r="AQ227" s="141"/>
      <c r="AR227" s="141"/>
      <c r="AS227" s="141"/>
      <c r="AT227" s="141"/>
      <c r="AU227" s="141"/>
      <c r="AV227" s="141"/>
      <c r="AW227" s="141"/>
      <c r="AX227" s="141"/>
      <c r="AY227" s="141"/>
      <c r="AZ227" s="141"/>
      <c r="BA227" s="141"/>
      <c r="BB227" s="141"/>
      <c r="BC227" s="141"/>
      <c r="BD227" s="141"/>
      <c r="BE227" s="141"/>
      <c r="BF227" s="141"/>
      <c r="BG227" s="141"/>
      <c r="BH227" s="141"/>
      <c r="BI227" s="141"/>
      <c r="BJ227" s="141"/>
      <c r="BK227" s="141"/>
      <c r="BL227" s="61">
        <f>SEKOR!BN220</f>
        <v>0</v>
      </c>
      <c r="BM227" s="61">
        <f>SEKOR!BO220</f>
        <v>0</v>
      </c>
      <c r="BN227" s="62" t="str">
        <f>SEKOR!BP220</f>
        <v/>
      </c>
      <c r="BO227" s="62" t="str">
        <f>SEKOR!BQ220</f>
        <v/>
      </c>
      <c r="BP227" s="63" t="str">
        <f>SEKOR!BT220</f>
        <v/>
      </c>
      <c r="BQ227" s="88"/>
      <c r="BR227" s="88"/>
    </row>
    <row r="228" spans="1:70" ht="15" customHeight="1" x14ac:dyDescent="0.25">
      <c r="A228" s="83" t="str">
        <f>IF(B228="","",COUNTA($B$10:$B228))</f>
        <v/>
      </c>
      <c r="B228" s="60"/>
      <c r="C228" s="64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  <c r="AH228" s="141"/>
      <c r="AI228" s="141"/>
      <c r="AJ228" s="141"/>
      <c r="AK228" s="141"/>
      <c r="AL228" s="141"/>
      <c r="AM228" s="141"/>
      <c r="AN228" s="141"/>
      <c r="AO228" s="141"/>
      <c r="AP228" s="141"/>
      <c r="AQ228" s="141"/>
      <c r="AR228" s="141"/>
      <c r="AS228" s="141"/>
      <c r="AT228" s="141"/>
      <c r="AU228" s="141"/>
      <c r="AV228" s="141"/>
      <c r="AW228" s="141"/>
      <c r="AX228" s="141"/>
      <c r="AY228" s="141"/>
      <c r="AZ228" s="141"/>
      <c r="BA228" s="141"/>
      <c r="BB228" s="141"/>
      <c r="BC228" s="141"/>
      <c r="BD228" s="141"/>
      <c r="BE228" s="141"/>
      <c r="BF228" s="141"/>
      <c r="BG228" s="141"/>
      <c r="BH228" s="141"/>
      <c r="BI228" s="141"/>
      <c r="BJ228" s="141"/>
      <c r="BK228" s="141"/>
      <c r="BL228" s="61">
        <f>SEKOR!BN221</f>
        <v>0</v>
      </c>
      <c r="BM228" s="61">
        <f>SEKOR!BO221</f>
        <v>0</v>
      </c>
      <c r="BN228" s="62" t="str">
        <f>SEKOR!BP221</f>
        <v/>
      </c>
      <c r="BO228" s="62" t="str">
        <f>SEKOR!BQ221</f>
        <v/>
      </c>
      <c r="BP228" s="63" t="str">
        <f>SEKOR!BT221</f>
        <v/>
      </c>
      <c r="BQ228" s="88"/>
      <c r="BR228" s="88"/>
    </row>
    <row r="229" spans="1:70" ht="15" customHeight="1" x14ac:dyDescent="0.25">
      <c r="A229" s="83" t="str">
        <f>IF(B229="","",COUNTA($B$10:$B229))</f>
        <v/>
      </c>
      <c r="B229" s="60"/>
      <c r="C229" s="64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  <c r="AH229" s="141"/>
      <c r="AI229" s="141"/>
      <c r="AJ229" s="141"/>
      <c r="AK229" s="141"/>
      <c r="AL229" s="141"/>
      <c r="AM229" s="141"/>
      <c r="AN229" s="141"/>
      <c r="AO229" s="141"/>
      <c r="AP229" s="141"/>
      <c r="AQ229" s="141"/>
      <c r="AR229" s="141"/>
      <c r="AS229" s="141"/>
      <c r="AT229" s="141"/>
      <c r="AU229" s="141"/>
      <c r="AV229" s="141"/>
      <c r="AW229" s="141"/>
      <c r="AX229" s="141"/>
      <c r="AY229" s="141"/>
      <c r="AZ229" s="141"/>
      <c r="BA229" s="141"/>
      <c r="BB229" s="141"/>
      <c r="BC229" s="141"/>
      <c r="BD229" s="141"/>
      <c r="BE229" s="141"/>
      <c r="BF229" s="141"/>
      <c r="BG229" s="141"/>
      <c r="BH229" s="141"/>
      <c r="BI229" s="141"/>
      <c r="BJ229" s="141"/>
      <c r="BK229" s="141"/>
      <c r="BL229" s="61">
        <f>SEKOR!BN222</f>
        <v>0</v>
      </c>
      <c r="BM229" s="61">
        <f>SEKOR!BO222</f>
        <v>0</v>
      </c>
      <c r="BN229" s="62" t="str">
        <f>SEKOR!BP222</f>
        <v/>
      </c>
      <c r="BO229" s="62" t="str">
        <f>SEKOR!BQ222</f>
        <v/>
      </c>
      <c r="BP229" s="63" t="str">
        <f>SEKOR!BT222</f>
        <v/>
      </c>
      <c r="BQ229" s="88"/>
      <c r="BR229" s="88"/>
    </row>
    <row r="233" spans="1:70" hidden="1" x14ac:dyDescent="0.25">
      <c r="B233" s="19">
        <f>COUNTA($B$10:$B$229)</f>
        <v>56</v>
      </c>
      <c r="C233" s="19" t="s">
        <v>26</v>
      </c>
      <c r="D233" s="19">
        <f>COUNTIF(D$10:D$229,$C233)/$B$233</f>
        <v>8.9285714285714288E-2</v>
      </c>
      <c r="E233" s="19">
        <f t="shared" ref="E233:BK237" si="0">COUNTIF(E$10:E$229,$C233)/$B$233</f>
        <v>0.6785714285714286</v>
      </c>
      <c r="F233" s="19">
        <f t="shared" si="0"/>
        <v>8.9285714285714288E-2</v>
      </c>
      <c r="G233" s="19">
        <f t="shared" si="0"/>
        <v>0.17857142857142858</v>
      </c>
      <c r="H233" s="19">
        <f t="shared" si="0"/>
        <v>0</v>
      </c>
      <c r="I233" s="19">
        <f t="shared" si="0"/>
        <v>0.25</v>
      </c>
      <c r="J233" s="19">
        <f t="shared" si="0"/>
        <v>0.6071428571428571</v>
      </c>
      <c r="K233" s="19">
        <f t="shared" si="0"/>
        <v>8.9285714285714288E-2</v>
      </c>
      <c r="L233" s="19">
        <f t="shared" si="0"/>
        <v>0.42857142857142855</v>
      </c>
      <c r="M233" s="19">
        <f t="shared" si="0"/>
        <v>0.42857142857142855</v>
      </c>
      <c r="N233" s="19">
        <f t="shared" si="0"/>
        <v>7.1428571428571425E-2</v>
      </c>
      <c r="O233" s="19">
        <f t="shared" si="0"/>
        <v>5.3571428571428568E-2</v>
      </c>
      <c r="P233" s="19">
        <f t="shared" si="0"/>
        <v>0.2857142857142857</v>
      </c>
      <c r="Q233" s="19">
        <f t="shared" si="0"/>
        <v>0.10714285714285714</v>
      </c>
      <c r="R233" s="19">
        <f t="shared" si="0"/>
        <v>7.1428571428571425E-2</v>
      </c>
      <c r="S233" s="19">
        <f t="shared" si="0"/>
        <v>0.6428571428571429</v>
      </c>
      <c r="T233" s="19">
        <f t="shared" si="0"/>
        <v>0</v>
      </c>
      <c r="U233" s="19">
        <f t="shared" si="0"/>
        <v>1.7857142857142856E-2</v>
      </c>
      <c r="V233" s="19">
        <f t="shared" si="0"/>
        <v>0.10714285714285714</v>
      </c>
      <c r="W233" s="19">
        <f t="shared" si="0"/>
        <v>0.14285714285714285</v>
      </c>
      <c r="X233" s="19">
        <f t="shared" si="0"/>
        <v>0.2857142857142857</v>
      </c>
      <c r="Y233" s="19">
        <f t="shared" si="0"/>
        <v>0.5892857142857143</v>
      </c>
      <c r="Z233" s="19">
        <f t="shared" si="0"/>
        <v>0.16071428571428573</v>
      </c>
      <c r="AA233" s="19">
        <f t="shared" si="0"/>
        <v>3.5714285714285712E-2</v>
      </c>
      <c r="AB233" s="19">
        <f t="shared" si="0"/>
        <v>0.125</v>
      </c>
      <c r="AC233" s="19">
        <f t="shared" si="0"/>
        <v>5.3571428571428568E-2</v>
      </c>
      <c r="AD233" s="19">
        <f t="shared" si="0"/>
        <v>3.5714285714285712E-2</v>
      </c>
      <c r="AE233" s="19">
        <f t="shared" si="0"/>
        <v>0.25</v>
      </c>
      <c r="AF233" s="19">
        <f t="shared" si="0"/>
        <v>3.5714285714285712E-2</v>
      </c>
      <c r="AG233" s="19">
        <f t="shared" si="0"/>
        <v>5.3571428571428568E-2</v>
      </c>
      <c r="AH233" s="19">
        <f t="shared" si="0"/>
        <v>0.17857142857142858</v>
      </c>
      <c r="AI233" s="19">
        <f t="shared" si="0"/>
        <v>0.14285714285714285</v>
      </c>
      <c r="AJ233" s="19">
        <f t="shared" si="0"/>
        <v>0.10714285714285714</v>
      </c>
      <c r="AK233" s="19">
        <f t="shared" si="0"/>
        <v>7.1428571428571425E-2</v>
      </c>
      <c r="AL233" s="19">
        <f t="shared" si="0"/>
        <v>7.1428571428571425E-2</v>
      </c>
      <c r="AM233" s="19">
        <f t="shared" si="0"/>
        <v>0.10714285714285714</v>
      </c>
      <c r="AN233" s="19">
        <f t="shared" si="0"/>
        <v>3.5714285714285712E-2</v>
      </c>
      <c r="AO233" s="19">
        <f t="shared" si="0"/>
        <v>7.1428571428571425E-2</v>
      </c>
      <c r="AP233" s="19">
        <f t="shared" si="0"/>
        <v>3.5714285714285712E-2</v>
      </c>
      <c r="AQ233" s="19">
        <f t="shared" si="0"/>
        <v>0.3392857142857143</v>
      </c>
      <c r="AR233" s="19">
        <f t="shared" si="0"/>
        <v>3.5714285714285712E-2</v>
      </c>
      <c r="AS233" s="19">
        <f t="shared" si="0"/>
        <v>5.3571428571428568E-2</v>
      </c>
      <c r="AT233" s="19">
        <f t="shared" si="0"/>
        <v>0.23214285714285715</v>
      </c>
      <c r="AU233" s="19">
        <f t="shared" si="0"/>
        <v>0.5535714285714286</v>
      </c>
      <c r="AV233" s="19">
        <f t="shared" si="0"/>
        <v>0.10714285714285714</v>
      </c>
      <c r="AW233" s="19">
        <f t="shared" si="0"/>
        <v>0</v>
      </c>
      <c r="AX233" s="19">
        <f t="shared" si="0"/>
        <v>0</v>
      </c>
      <c r="AY233" s="19">
        <f t="shared" si="0"/>
        <v>0</v>
      </c>
      <c r="AZ233" s="19">
        <f t="shared" si="0"/>
        <v>0</v>
      </c>
      <c r="BA233" s="19">
        <f t="shared" si="0"/>
        <v>0</v>
      </c>
      <c r="BB233" s="19">
        <f t="shared" si="0"/>
        <v>0</v>
      </c>
      <c r="BC233" s="19">
        <f t="shared" si="0"/>
        <v>0</v>
      </c>
      <c r="BD233" s="19">
        <f t="shared" si="0"/>
        <v>0</v>
      </c>
      <c r="BE233" s="19">
        <f t="shared" si="0"/>
        <v>0</v>
      </c>
      <c r="BF233" s="19">
        <f t="shared" si="0"/>
        <v>0</v>
      </c>
      <c r="BG233" s="19">
        <f t="shared" si="0"/>
        <v>0</v>
      </c>
      <c r="BH233" s="19">
        <f t="shared" si="0"/>
        <v>0</v>
      </c>
      <c r="BI233" s="19">
        <f t="shared" si="0"/>
        <v>0</v>
      </c>
      <c r="BJ233" s="19">
        <f t="shared" si="0"/>
        <v>0</v>
      </c>
      <c r="BK233" s="19">
        <f t="shared" si="0"/>
        <v>0</v>
      </c>
    </row>
    <row r="234" spans="1:70" hidden="1" x14ac:dyDescent="0.25">
      <c r="C234" s="81" t="s">
        <v>25</v>
      </c>
      <c r="D234" s="19">
        <f t="shared" ref="D234:S237" si="1">COUNTIF(D$10:D$229,$C234)/$B$233</f>
        <v>3.5714285714285712E-2</v>
      </c>
      <c r="E234" s="19">
        <f t="shared" si="1"/>
        <v>7.1428571428571425E-2</v>
      </c>
      <c r="F234" s="19">
        <f t="shared" si="1"/>
        <v>0.16071428571428573</v>
      </c>
      <c r="G234" s="19">
        <f t="shared" si="1"/>
        <v>0.125</v>
      </c>
      <c r="H234" s="19">
        <f t="shared" si="1"/>
        <v>5.3571428571428568E-2</v>
      </c>
      <c r="I234" s="19">
        <f t="shared" si="1"/>
        <v>0.4107142857142857</v>
      </c>
      <c r="J234" s="19">
        <f t="shared" si="1"/>
        <v>8.9285714285714288E-2</v>
      </c>
      <c r="K234" s="19">
        <f t="shared" si="1"/>
        <v>0.3392857142857143</v>
      </c>
      <c r="L234" s="19">
        <f t="shared" si="1"/>
        <v>5.3571428571428568E-2</v>
      </c>
      <c r="M234" s="19">
        <f t="shared" si="1"/>
        <v>0</v>
      </c>
      <c r="N234" s="19">
        <f t="shared" si="1"/>
        <v>0.10714285714285714</v>
      </c>
      <c r="O234" s="19">
        <f t="shared" si="1"/>
        <v>0.5714285714285714</v>
      </c>
      <c r="P234" s="19">
        <f t="shared" si="1"/>
        <v>0.16071428571428573</v>
      </c>
      <c r="Q234" s="19">
        <f t="shared" si="1"/>
        <v>0</v>
      </c>
      <c r="R234" s="19">
        <f t="shared" si="1"/>
        <v>3.5714285714285712E-2</v>
      </c>
      <c r="S234" s="19">
        <f t="shared" si="1"/>
        <v>1.7857142857142856E-2</v>
      </c>
      <c r="T234" s="19">
        <f t="shared" si="0"/>
        <v>1.7857142857142856E-2</v>
      </c>
      <c r="U234" s="19">
        <f t="shared" si="0"/>
        <v>0.10714285714285714</v>
      </c>
      <c r="V234" s="19">
        <f t="shared" si="0"/>
        <v>0.26785714285714285</v>
      </c>
      <c r="W234" s="19">
        <f t="shared" si="0"/>
        <v>7.1428571428571425E-2</v>
      </c>
      <c r="X234" s="19">
        <f t="shared" si="0"/>
        <v>0.375</v>
      </c>
      <c r="Y234" s="19">
        <f t="shared" si="0"/>
        <v>8.9285714285714288E-2</v>
      </c>
      <c r="Z234" s="19">
        <f t="shared" si="0"/>
        <v>0.2857142857142857</v>
      </c>
      <c r="AA234" s="19">
        <f t="shared" si="0"/>
        <v>0.42857142857142855</v>
      </c>
      <c r="AB234" s="19">
        <f t="shared" si="0"/>
        <v>0</v>
      </c>
      <c r="AC234" s="19">
        <f t="shared" si="0"/>
        <v>1.7857142857142856E-2</v>
      </c>
      <c r="AD234" s="19">
        <f t="shared" si="0"/>
        <v>0.42857142857142855</v>
      </c>
      <c r="AE234" s="19">
        <f t="shared" si="0"/>
        <v>3.5714285714285712E-2</v>
      </c>
      <c r="AF234" s="19">
        <f t="shared" si="0"/>
        <v>0.30357142857142855</v>
      </c>
      <c r="AG234" s="19">
        <f t="shared" si="0"/>
        <v>0.10714285714285714</v>
      </c>
      <c r="AH234" s="19">
        <f t="shared" si="0"/>
        <v>0.375</v>
      </c>
      <c r="AI234" s="19">
        <f t="shared" si="0"/>
        <v>0.7142857142857143</v>
      </c>
      <c r="AJ234" s="19">
        <f t="shared" si="0"/>
        <v>0.10714285714285714</v>
      </c>
      <c r="AK234" s="19">
        <f t="shared" si="0"/>
        <v>7.1428571428571425E-2</v>
      </c>
      <c r="AL234" s="19">
        <f t="shared" si="0"/>
        <v>0.10714285714285714</v>
      </c>
      <c r="AM234" s="19">
        <f t="shared" si="0"/>
        <v>0.17857142857142858</v>
      </c>
      <c r="AN234" s="19">
        <f t="shared" si="0"/>
        <v>5.3571428571428568E-2</v>
      </c>
      <c r="AO234" s="19">
        <f t="shared" si="0"/>
        <v>7.1428571428571425E-2</v>
      </c>
      <c r="AP234" s="19">
        <f t="shared" si="0"/>
        <v>0.32142857142857145</v>
      </c>
      <c r="AQ234" s="19">
        <f t="shared" si="0"/>
        <v>8.9285714285714288E-2</v>
      </c>
      <c r="AR234" s="19">
        <f t="shared" si="0"/>
        <v>1.7857142857142856E-2</v>
      </c>
      <c r="AS234" s="19">
        <f t="shared" si="0"/>
        <v>0.30357142857142855</v>
      </c>
      <c r="AT234" s="19">
        <f t="shared" si="0"/>
        <v>7.1428571428571425E-2</v>
      </c>
      <c r="AU234" s="19">
        <f t="shared" si="0"/>
        <v>0.125</v>
      </c>
      <c r="AV234" s="19">
        <f t="shared" si="0"/>
        <v>0.16071428571428573</v>
      </c>
      <c r="AW234" s="19">
        <f t="shared" si="0"/>
        <v>0</v>
      </c>
      <c r="AX234" s="19">
        <f t="shared" si="0"/>
        <v>0</v>
      </c>
      <c r="AY234" s="19">
        <f t="shared" si="0"/>
        <v>0</v>
      </c>
      <c r="AZ234" s="19">
        <f t="shared" si="0"/>
        <v>0</v>
      </c>
      <c r="BA234" s="19">
        <f t="shared" si="0"/>
        <v>0</v>
      </c>
      <c r="BB234" s="19">
        <f t="shared" si="0"/>
        <v>0</v>
      </c>
      <c r="BC234" s="19">
        <f t="shared" si="0"/>
        <v>0</v>
      </c>
      <c r="BD234" s="19">
        <f t="shared" si="0"/>
        <v>0</v>
      </c>
      <c r="BE234" s="19">
        <f t="shared" si="0"/>
        <v>0</v>
      </c>
      <c r="BF234" s="19">
        <f t="shared" si="0"/>
        <v>0</v>
      </c>
      <c r="BG234" s="19">
        <f t="shared" si="0"/>
        <v>0</v>
      </c>
      <c r="BH234" s="19">
        <f t="shared" si="0"/>
        <v>0</v>
      </c>
      <c r="BI234" s="19">
        <f t="shared" si="0"/>
        <v>0</v>
      </c>
      <c r="BJ234" s="19">
        <f t="shared" si="0"/>
        <v>0</v>
      </c>
      <c r="BK234" s="19">
        <f t="shared" si="0"/>
        <v>0</v>
      </c>
    </row>
    <row r="235" spans="1:70" hidden="1" x14ac:dyDescent="0.25">
      <c r="C235" s="81" t="s">
        <v>27</v>
      </c>
      <c r="D235" s="19">
        <f t="shared" si="1"/>
        <v>3.5714285714285712E-2</v>
      </c>
      <c r="E235" s="19">
        <f t="shared" si="1"/>
        <v>1.7857142857142856E-2</v>
      </c>
      <c r="F235" s="19">
        <f t="shared" si="1"/>
        <v>0.5</v>
      </c>
      <c r="G235" s="19">
        <f t="shared" si="1"/>
        <v>5.3571428571428568E-2</v>
      </c>
      <c r="H235" s="19">
        <f t="shared" si="0"/>
        <v>0.7142857142857143</v>
      </c>
      <c r="I235" s="19">
        <f t="shared" si="0"/>
        <v>0.14285714285714285</v>
      </c>
      <c r="J235" s="19">
        <f t="shared" si="0"/>
        <v>8.9285714285714288E-2</v>
      </c>
      <c r="K235" s="19">
        <f t="shared" si="0"/>
        <v>5.3571428571428568E-2</v>
      </c>
      <c r="L235" s="19">
        <f t="shared" si="0"/>
        <v>0.16071428571428573</v>
      </c>
      <c r="M235" s="19">
        <f t="shared" si="0"/>
        <v>3.5714285714285712E-2</v>
      </c>
      <c r="N235" s="19">
        <f t="shared" si="0"/>
        <v>0.19642857142857142</v>
      </c>
      <c r="O235" s="19">
        <f t="shared" si="0"/>
        <v>7.1428571428571425E-2</v>
      </c>
      <c r="P235" s="19">
        <f t="shared" si="0"/>
        <v>7.1428571428571425E-2</v>
      </c>
      <c r="Q235" s="19">
        <f t="shared" si="0"/>
        <v>5.3571428571428568E-2</v>
      </c>
      <c r="R235" s="19">
        <f t="shared" si="0"/>
        <v>1.7857142857142856E-2</v>
      </c>
      <c r="S235" s="19">
        <f t="shared" si="0"/>
        <v>0</v>
      </c>
      <c r="T235" s="19">
        <f t="shared" si="0"/>
        <v>0.8035714285714286</v>
      </c>
      <c r="U235" s="19">
        <f t="shared" si="0"/>
        <v>3.5714285714285712E-2</v>
      </c>
      <c r="V235" s="19">
        <f t="shared" si="0"/>
        <v>3.5714285714285712E-2</v>
      </c>
      <c r="W235" s="19">
        <f t="shared" si="0"/>
        <v>5.3571428571428568E-2</v>
      </c>
      <c r="X235" s="19">
        <f t="shared" si="0"/>
        <v>3.5714285714285712E-2</v>
      </c>
      <c r="Y235" s="19">
        <f t="shared" si="0"/>
        <v>1.7857142857142856E-2</v>
      </c>
      <c r="Z235" s="19">
        <f t="shared" si="0"/>
        <v>3.5714285714285712E-2</v>
      </c>
      <c r="AA235" s="19">
        <f t="shared" si="0"/>
        <v>5.3571428571428568E-2</v>
      </c>
      <c r="AB235" s="19">
        <f t="shared" si="0"/>
        <v>0.3392857142857143</v>
      </c>
      <c r="AC235" s="19">
        <f t="shared" si="0"/>
        <v>0.5357142857142857</v>
      </c>
      <c r="AD235" s="19">
        <f t="shared" si="0"/>
        <v>3.5714285714285712E-2</v>
      </c>
      <c r="AE235" s="19">
        <f t="shared" si="0"/>
        <v>0.39285714285714285</v>
      </c>
      <c r="AF235" s="19">
        <f t="shared" si="0"/>
        <v>8.9285714285714288E-2</v>
      </c>
      <c r="AG235" s="19">
        <f t="shared" si="0"/>
        <v>0.48214285714285715</v>
      </c>
      <c r="AH235" s="19">
        <f t="shared" si="0"/>
        <v>8.9285714285714288E-2</v>
      </c>
      <c r="AI235" s="19">
        <f t="shared" si="0"/>
        <v>1.7857142857142856E-2</v>
      </c>
      <c r="AJ235" s="19">
        <f t="shared" si="0"/>
        <v>0.5892857142857143</v>
      </c>
      <c r="AK235" s="19">
        <f t="shared" si="0"/>
        <v>0.26785714285714285</v>
      </c>
      <c r="AL235" s="19">
        <f t="shared" si="0"/>
        <v>0.48214285714285715</v>
      </c>
      <c r="AM235" s="19">
        <f t="shared" si="0"/>
        <v>8.9285714285714288E-2</v>
      </c>
      <c r="AN235" s="19">
        <f t="shared" si="0"/>
        <v>0.6785714285714286</v>
      </c>
      <c r="AO235" s="19">
        <f t="shared" si="0"/>
        <v>3.5714285714285712E-2</v>
      </c>
      <c r="AP235" s="19">
        <f t="shared" si="0"/>
        <v>0.48214285714285715</v>
      </c>
      <c r="AQ235" s="19">
        <f t="shared" si="0"/>
        <v>8.9285714285714288E-2</v>
      </c>
      <c r="AR235" s="19">
        <f t="shared" si="0"/>
        <v>3.5714285714285712E-2</v>
      </c>
      <c r="AS235" s="19">
        <f t="shared" si="0"/>
        <v>0.42857142857142855</v>
      </c>
      <c r="AT235" s="19">
        <f t="shared" si="0"/>
        <v>0.23214285714285715</v>
      </c>
      <c r="AU235" s="19">
        <f t="shared" si="0"/>
        <v>0.16071428571428573</v>
      </c>
      <c r="AV235" s="19">
        <f t="shared" si="0"/>
        <v>5.3571428571428568E-2</v>
      </c>
      <c r="AW235" s="19">
        <f t="shared" si="0"/>
        <v>0</v>
      </c>
      <c r="AX235" s="19">
        <f t="shared" si="0"/>
        <v>0</v>
      </c>
      <c r="AY235" s="19">
        <f t="shared" si="0"/>
        <v>0</v>
      </c>
      <c r="AZ235" s="19">
        <f t="shared" si="0"/>
        <v>0</v>
      </c>
      <c r="BA235" s="19">
        <f t="shared" si="0"/>
        <v>0</v>
      </c>
      <c r="BB235" s="19">
        <f t="shared" si="0"/>
        <v>0</v>
      </c>
      <c r="BC235" s="19">
        <f t="shared" si="0"/>
        <v>0</v>
      </c>
      <c r="BD235" s="19">
        <f t="shared" si="0"/>
        <v>0</v>
      </c>
      <c r="BE235" s="19">
        <f t="shared" si="0"/>
        <v>0</v>
      </c>
      <c r="BF235" s="19">
        <f t="shared" si="0"/>
        <v>0</v>
      </c>
      <c r="BG235" s="19">
        <f t="shared" si="0"/>
        <v>0</v>
      </c>
      <c r="BH235" s="19">
        <f t="shared" si="0"/>
        <v>0</v>
      </c>
      <c r="BI235" s="19">
        <f t="shared" si="0"/>
        <v>0</v>
      </c>
      <c r="BJ235" s="19">
        <f t="shared" si="0"/>
        <v>0</v>
      </c>
      <c r="BK235" s="19">
        <f t="shared" si="0"/>
        <v>0</v>
      </c>
    </row>
    <row r="236" spans="1:70" hidden="1" x14ac:dyDescent="0.25">
      <c r="C236" s="81" t="s">
        <v>24</v>
      </c>
      <c r="D236" s="19">
        <f t="shared" si="1"/>
        <v>0.39285714285714285</v>
      </c>
      <c r="E236" s="19">
        <f t="shared" si="1"/>
        <v>3.5714285714285712E-2</v>
      </c>
      <c r="F236" s="19">
        <f t="shared" si="1"/>
        <v>0.125</v>
      </c>
      <c r="G236" s="19">
        <f t="shared" si="1"/>
        <v>0.5892857142857143</v>
      </c>
      <c r="H236" s="19">
        <f t="shared" si="0"/>
        <v>0.16071428571428573</v>
      </c>
      <c r="I236" s="19">
        <f t="shared" si="0"/>
        <v>7.1428571428571425E-2</v>
      </c>
      <c r="J236" s="19">
        <f t="shared" si="0"/>
        <v>8.9285714285714288E-2</v>
      </c>
      <c r="K236" s="19">
        <f t="shared" si="0"/>
        <v>0.375</v>
      </c>
      <c r="L236" s="19">
        <f t="shared" si="0"/>
        <v>0.25</v>
      </c>
      <c r="M236" s="19">
        <f t="shared" si="0"/>
        <v>0.17857142857142858</v>
      </c>
      <c r="N236" s="19">
        <f t="shared" si="0"/>
        <v>0.23214285714285715</v>
      </c>
      <c r="O236" s="19">
        <f t="shared" si="0"/>
        <v>1.7857142857142856E-2</v>
      </c>
      <c r="P236" s="19">
        <f t="shared" si="0"/>
        <v>0.2857142857142857</v>
      </c>
      <c r="Q236" s="19">
        <f t="shared" si="0"/>
        <v>0.625</v>
      </c>
      <c r="R236" s="19">
        <f t="shared" si="0"/>
        <v>0.6428571428571429</v>
      </c>
      <c r="S236" s="19">
        <f t="shared" si="0"/>
        <v>3.5714285714285712E-2</v>
      </c>
      <c r="T236" s="19">
        <f t="shared" si="0"/>
        <v>0</v>
      </c>
      <c r="U236" s="19">
        <f t="shared" si="0"/>
        <v>0.21428571428571427</v>
      </c>
      <c r="V236" s="19">
        <f t="shared" si="0"/>
        <v>0.5</v>
      </c>
      <c r="W236" s="19">
        <f t="shared" si="0"/>
        <v>0.5</v>
      </c>
      <c r="X236" s="19">
        <f t="shared" si="0"/>
        <v>0.14285714285714285</v>
      </c>
      <c r="Y236" s="19">
        <f t="shared" si="0"/>
        <v>3.5714285714285712E-2</v>
      </c>
      <c r="Z236" s="19">
        <f t="shared" si="0"/>
        <v>7.1428571428571425E-2</v>
      </c>
      <c r="AA236" s="19">
        <f t="shared" si="0"/>
        <v>0.25</v>
      </c>
      <c r="AB236" s="19">
        <f t="shared" si="0"/>
        <v>1.7857142857142856E-2</v>
      </c>
      <c r="AC236" s="19">
        <f t="shared" si="0"/>
        <v>0.125</v>
      </c>
      <c r="AD236" s="19">
        <f t="shared" si="0"/>
        <v>0.125</v>
      </c>
      <c r="AE236" s="19">
        <f t="shared" si="0"/>
        <v>1.7857142857142856E-2</v>
      </c>
      <c r="AF236" s="19">
        <f t="shared" si="0"/>
        <v>0.23214285714285715</v>
      </c>
      <c r="AG236" s="19">
        <f t="shared" si="0"/>
        <v>0.16071428571428573</v>
      </c>
      <c r="AH236" s="19">
        <f t="shared" si="0"/>
        <v>5.3571428571428568E-2</v>
      </c>
      <c r="AI236" s="19">
        <f t="shared" si="0"/>
        <v>0</v>
      </c>
      <c r="AJ236" s="19">
        <f t="shared" si="0"/>
        <v>5.3571428571428568E-2</v>
      </c>
      <c r="AK236" s="19">
        <f t="shared" si="0"/>
        <v>7.1428571428571425E-2</v>
      </c>
      <c r="AL236" s="19">
        <f t="shared" si="0"/>
        <v>5.3571428571428568E-2</v>
      </c>
      <c r="AM236" s="19">
        <f t="shared" si="0"/>
        <v>0.23214285714285715</v>
      </c>
      <c r="AN236" s="19">
        <f t="shared" si="0"/>
        <v>3.5714285714285712E-2</v>
      </c>
      <c r="AO236" s="19">
        <f t="shared" si="0"/>
        <v>0.6071428571428571</v>
      </c>
      <c r="AP236" s="19">
        <f t="shared" si="0"/>
        <v>3.5714285714285712E-2</v>
      </c>
      <c r="AQ236" s="19">
        <f t="shared" si="0"/>
        <v>0.21428571428571427</v>
      </c>
      <c r="AR236" s="19">
        <f t="shared" si="0"/>
        <v>1.7857142857142856E-2</v>
      </c>
      <c r="AS236" s="19">
        <f t="shared" si="0"/>
        <v>3.5714285714285712E-2</v>
      </c>
      <c r="AT236" s="19">
        <f t="shared" si="0"/>
        <v>0.125</v>
      </c>
      <c r="AU236" s="19">
        <f t="shared" si="0"/>
        <v>7.1428571428571425E-2</v>
      </c>
      <c r="AV236" s="19">
        <f t="shared" si="0"/>
        <v>0.5535714285714286</v>
      </c>
      <c r="AW236" s="19">
        <f t="shared" si="0"/>
        <v>0</v>
      </c>
      <c r="AX236" s="19">
        <f t="shared" si="0"/>
        <v>0</v>
      </c>
      <c r="AY236" s="19">
        <f t="shared" si="0"/>
        <v>0</v>
      </c>
      <c r="AZ236" s="19">
        <f t="shared" si="0"/>
        <v>0</v>
      </c>
      <c r="BA236" s="19">
        <f t="shared" si="0"/>
        <v>0</v>
      </c>
      <c r="BB236" s="19">
        <f t="shared" si="0"/>
        <v>0</v>
      </c>
      <c r="BC236" s="19">
        <f t="shared" si="0"/>
        <v>0</v>
      </c>
      <c r="BD236" s="19">
        <f t="shared" si="0"/>
        <v>0</v>
      </c>
      <c r="BE236" s="19">
        <f t="shared" si="0"/>
        <v>0</v>
      </c>
      <c r="BF236" s="19">
        <f t="shared" si="0"/>
        <v>0</v>
      </c>
      <c r="BG236" s="19">
        <f t="shared" si="0"/>
        <v>0</v>
      </c>
      <c r="BH236" s="19">
        <f t="shared" si="0"/>
        <v>0</v>
      </c>
      <c r="BI236" s="19">
        <f t="shared" si="0"/>
        <v>0</v>
      </c>
      <c r="BJ236" s="19">
        <f t="shared" si="0"/>
        <v>0</v>
      </c>
      <c r="BK236" s="19">
        <f t="shared" si="0"/>
        <v>0</v>
      </c>
    </row>
    <row r="237" spans="1:70" hidden="1" x14ac:dyDescent="0.25">
      <c r="C237" s="81" t="s">
        <v>23</v>
      </c>
      <c r="D237" s="19">
        <f t="shared" si="1"/>
        <v>0.30357142857142855</v>
      </c>
      <c r="E237" s="19">
        <f t="shared" si="1"/>
        <v>7.1428571428571425E-2</v>
      </c>
      <c r="F237" s="19">
        <f t="shared" si="1"/>
        <v>1.7857142857142856E-2</v>
      </c>
      <c r="G237" s="19">
        <f t="shared" si="1"/>
        <v>0</v>
      </c>
      <c r="H237" s="19">
        <f t="shared" si="0"/>
        <v>0</v>
      </c>
      <c r="I237" s="19">
        <f t="shared" si="0"/>
        <v>0</v>
      </c>
      <c r="J237" s="19">
        <f t="shared" si="0"/>
        <v>5.3571428571428568E-2</v>
      </c>
      <c r="K237" s="19">
        <f t="shared" si="0"/>
        <v>1.7857142857142856E-2</v>
      </c>
      <c r="L237" s="19">
        <f t="shared" si="0"/>
        <v>0</v>
      </c>
      <c r="M237" s="19">
        <f t="shared" si="0"/>
        <v>0.26785714285714285</v>
      </c>
      <c r="N237" s="19">
        <f t="shared" si="0"/>
        <v>0.23214285714285715</v>
      </c>
      <c r="O237" s="19">
        <f t="shared" si="0"/>
        <v>0.17857142857142858</v>
      </c>
      <c r="P237" s="19">
        <f t="shared" si="0"/>
        <v>0.14285714285714285</v>
      </c>
      <c r="Q237" s="19">
        <f t="shared" si="0"/>
        <v>5.3571428571428568E-2</v>
      </c>
      <c r="R237" s="19">
        <f t="shared" si="0"/>
        <v>0.14285714285714285</v>
      </c>
      <c r="S237" s="19">
        <f t="shared" si="0"/>
        <v>0.14285714285714285</v>
      </c>
      <c r="T237" s="19">
        <f t="shared" si="0"/>
        <v>7.1428571428571425E-2</v>
      </c>
      <c r="U237" s="19">
        <f t="shared" si="0"/>
        <v>0.5</v>
      </c>
      <c r="V237" s="19">
        <f t="shared" si="0"/>
        <v>0</v>
      </c>
      <c r="W237" s="19">
        <f t="shared" si="0"/>
        <v>0.125</v>
      </c>
      <c r="X237" s="19">
        <f t="shared" si="0"/>
        <v>5.3571428571428568E-2</v>
      </c>
      <c r="Y237" s="19">
        <f t="shared" si="0"/>
        <v>0.21428571428571427</v>
      </c>
      <c r="Z237" s="19">
        <f t="shared" si="0"/>
        <v>0.26785714285714285</v>
      </c>
      <c r="AA237" s="19">
        <f t="shared" si="0"/>
        <v>8.9285714285714288E-2</v>
      </c>
      <c r="AB237" s="19">
        <f t="shared" si="0"/>
        <v>0.42857142857142855</v>
      </c>
      <c r="AC237" s="19">
        <f t="shared" si="0"/>
        <v>8.9285714285714288E-2</v>
      </c>
      <c r="AD237" s="19">
        <f t="shared" si="0"/>
        <v>0.21428571428571427</v>
      </c>
      <c r="AE237" s="19">
        <f t="shared" si="0"/>
        <v>0.17857142857142858</v>
      </c>
      <c r="AF237" s="19">
        <f t="shared" si="0"/>
        <v>0.26785714285714285</v>
      </c>
      <c r="AG237" s="19">
        <f t="shared" si="0"/>
        <v>5.3571428571428568E-2</v>
      </c>
      <c r="AH237" s="19">
        <f t="shared" si="0"/>
        <v>0.19642857142857142</v>
      </c>
      <c r="AI237" s="19">
        <f t="shared" si="0"/>
        <v>3.5714285714285712E-2</v>
      </c>
      <c r="AJ237" s="19">
        <f t="shared" si="0"/>
        <v>7.1428571428571425E-2</v>
      </c>
      <c r="AK237" s="19">
        <f t="shared" si="0"/>
        <v>0.375</v>
      </c>
      <c r="AL237" s="19">
        <f t="shared" si="0"/>
        <v>7.1428571428571425E-2</v>
      </c>
      <c r="AM237" s="19">
        <f t="shared" si="0"/>
        <v>0.2857142857142857</v>
      </c>
      <c r="AN237" s="19">
        <f t="shared" si="0"/>
        <v>7.1428571428571425E-2</v>
      </c>
      <c r="AO237" s="19">
        <f t="shared" si="0"/>
        <v>8.9285714285714288E-2</v>
      </c>
      <c r="AP237" s="19">
        <f t="shared" si="0"/>
        <v>0</v>
      </c>
      <c r="AQ237" s="19">
        <f t="shared" si="0"/>
        <v>5.3571428571428568E-2</v>
      </c>
      <c r="AR237" s="19">
        <f t="shared" si="0"/>
        <v>0.75</v>
      </c>
      <c r="AS237" s="19">
        <f t="shared" si="0"/>
        <v>3.5714285714285712E-2</v>
      </c>
      <c r="AT237" s="19">
        <f t="shared" si="0"/>
        <v>0.125</v>
      </c>
      <c r="AU237" s="19">
        <f t="shared" si="0"/>
        <v>5.3571428571428568E-2</v>
      </c>
      <c r="AV237" s="19">
        <f t="shared" ref="AV237:BK237" si="2">COUNTIF(AV$10:AV$229,$C237)/$B$233</f>
        <v>7.1428571428571425E-2</v>
      </c>
      <c r="AW237" s="19">
        <f t="shared" si="2"/>
        <v>0</v>
      </c>
      <c r="AX237" s="19">
        <f t="shared" si="2"/>
        <v>0</v>
      </c>
      <c r="AY237" s="19">
        <f t="shared" si="2"/>
        <v>0</v>
      </c>
      <c r="AZ237" s="19">
        <f t="shared" si="2"/>
        <v>0</v>
      </c>
      <c r="BA237" s="19">
        <f t="shared" si="2"/>
        <v>0</v>
      </c>
      <c r="BB237" s="19">
        <f t="shared" si="2"/>
        <v>0</v>
      </c>
      <c r="BC237" s="19">
        <f t="shared" si="2"/>
        <v>0</v>
      </c>
      <c r="BD237" s="19">
        <f t="shared" si="2"/>
        <v>0</v>
      </c>
      <c r="BE237" s="19">
        <f t="shared" si="2"/>
        <v>0</v>
      </c>
      <c r="BF237" s="19">
        <f t="shared" si="2"/>
        <v>0</v>
      </c>
      <c r="BG237" s="19">
        <f t="shared" si="2"/>
        <v>0</v>
      </c>
      <c r="BH237" s="19">
        <f t="shared" si="2"/>
        <v>0</v>
      </c>
      <c r="BI237" s="19">
        <f t="shared" si="2"/>
        <v>0</v>
      </c>
      <c r="BJ237" s="19">
        <f t="shared" si="2"/>
        <v>0</v>
      </c>
      <c r="BK237" s="19">
        <f t="shared" si="2"/>
        <v>0</v>
      </c>
    </row>
  </sheetData>
  <sheetProtection formatRows="0" selectLockedCells="1"/>
  <mergeCells count="13">
    <mergeCell ref="A1:BP1"/>
    <mergeCell ref="C8:C9"/>
    <mergeCell ref="A3:B3"/>
    <mergeCell ref="A4:B4"/>
    <mergeCell ref="A5:B5"/>
    <mergeCell ref="A6:B6"/>
    <mergeCell ref="A8:A9"/>
    <mergeCell ref="B8:B9"/>
    <mergeCell ref="BL8:BL9"/>
    <mergeCell ref="BM8:BM9"/>
    <mergeCell ref="BN8:BN9"/>
    <mergeCell ref="BO8:BO9"/>
    <mergeCell ref="BP8:BP9"/>
  </mergeCells>
  <conditionalFormatting sqref="D10:BK229">
    <cfRule type="cellIs" dxfId="13" priority="3" operator="equal">
      <formula>D$9</formula>
    </cfRule>
  </conditionalFormatting>
  <conditionalFormatting sqref="D10:BK229">
    <cfRule type="expression" dxfId="12" priority="1">
      <formula>IF(LEN(D10)&gt;LEN(D$9),TRUE,FALSE)</formula>
    </cfRule>
  </conditionalFormatting>
  <conditionalFormatting sqref="D10:BK229">
    <cfRule type="cellIs" dxfId="11" priority="64" operator="notEqual">
      <formula>D$9</formula>
    </cfRule>
  </conditionalFormatting>
  <pageMargins left="0.45" right="0.34" top="0.47" bottom="0.44" header="0.3" footer="0.3"/>
  <pageSetup paperSize="200" scale="61" fitToHeight="0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" id="{45724413-674A-4531-838F-CE8F7E283E86}">
            <xm:f>DATA!$F$12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D8:BK8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588FB-F54F-468B-96CE-16DAF8F33D17}">
  <sheetPr codeName="Sheet3">
    <tabColor rgb="FF92D050"/>
  </sheetPr>
  <dimension ref="A1:G225"/>
  <sheetViews>
    <sheetView workbookViewId="0">
      <selection activeCell="C13" sqref="C13"/>
    </sheetView>
  </sheetViews>
  <sheetFormatPr defaultColWidth="0" defaultRowHeight="14.25" zeroHeight="1" x14ac:dyDescent="0.2"/>
  <cols>
    <col min="1" max="1" width="4.42578125" style="91" bestFit="1" customWidth="1"/>
    <col min="2" max="2" width="15.42578125" style="95" customWidth="1"/>
    <col min="3" max="3" width="32.28515625" style="94" customWidth="1"/>
    <col min="4" max="6" width="9.140625" style="95" customWidth="1"/>
    <col min="7" max="7" width="3" style="94" customWidth="1"/>
    <col min="8" max="16384" width="9.140625" style="94" hidden="1"/>
  </cols>
  <sheetData>
    <row r="1" spans="1:6" s="91" customFormat="1" ht="28.5" x14ac:dyDescent="0.25">
      <c r="A1" s="196" t="s">
        <v>14</v>
      </c>
      <c r="B1" s="196" t="s">
        <v>15</v>
      </c>
      <c r="C1" s="196" t="s">
        <v>16</v>
      </c>
      <c r="D1" s="89" t="s">
        <v>250</v>
      </c>
      <c r="E1" s="90" t="s">
        <v>251</v>
      </c>
      <c r="F1" s="198" t="s">
        <v>1</v>
      </c>
    </row>
    <row r="2" spans="1:6" s="91" customFormat="1" x14ac:dyDescent="0.25">
      <c r="A2" s="197"/>
      <c r="B2" s="197"/>
      <c r="C2" s="197"/>
      <c r="D2" s="92">
        <f>DATAINFO!$O$4</f>
        <v>1</v>
      </c>
      <c r="E2" s="92">
        <f>DATAINFO!$O$5</f>
        <v>0.5</v>
      </c>
      <c r="F2" s="199"/>
    </row>
    <row r="3" spans="1:6" s="100" customFormat="1" ht="18" customHeight="1" x14ac:dyDescent="0.25">
      <c r="A3" s="89">
        <v>1</v>
      </c>
      <c r="B3" s="96">
        <f>IF(Ujian!B10="","",Ujian!B10)</f>
        <v>234586</v>
      </c>
      <c r="C3" s="97" t="str">
        <f>IF(Ujian!C10="","",Ujian!C10)</f>
        <v>  Ahmad Fahlipi</v>
      </c>
      <c r="D3" s="98">
        <f>Ujian!BN10</f>
        <v>62.5</v>
      </c>
      <c r="E3" s="99">
        <v>90</v>
      </c>
      <c r="F3" s="93">
        <f>Ujian!BP10</f>
        <v>80</v>
      </c>
    </row>
    <row r="4" spans="1:6" s="100" customFormat="1" ht="18" customHeight="1" x14ac:dyDescent="0.25">
      <c r="A4" s="89">
        <v>2</v>
      </c>
      <c r="B4" s="96" t="str">
        <f>IF(Ujian!B11="","",Ujian!B11)</f>
        <v>  234595</v>
      </c>
      <c r="C4" s="97" t="str">
        <f>IF(Ujian!C11="","",Ujian!C11)</f>
        <v>  Amalia Rahayu</v>
      </c>
      <c r="D4" s="98">
        <f>Ujian!BN11</f>
        <v>75</v>
      </c>
      <c r="E4" s="99">
        <v>90</v>
      </c>
      <c r="F4" s="93">
        <f>Ujian!BP11</f>
        <v>89</v>
      </c>
    </row>
    <row r="5" spans="1:6" s="100" customFormat="1" ht="18" customHeight="1" x14ac:dyDescent="0.25">
      <c r="A5" s="89">
        <v>3</v>
      </c>
      <c r="B5" s="96" t="str">
        <f>IF(Ujian!B12="","",Ujian!B12)</f>
        <v>  234596</v>
      </c>
      <c r="C5" s="97" t="str">
        <f>IF(Ujian!C12="","",Ujian!C12)</f>
        <v>  Andhika</v>
      </c>
      <c r="D5" s="98">
        <f>Ujian!BN12</f>
        <v>52.5</v>
      </c>
      <c r="E5" s="99">
        <v>90</v>
      </c>
      <c r="F5" s="93">
        <f>Ujian!BP12</f>
        <v>74</v>
      </c>
    </row>
    <row r="6" spans="1:6" s="100" customFormat="1" ht="18" customHeight="1" x14ac:dyDescent="0.25">
      <c r="A6" s="89">
        <v>4</v>
      </c>
      <c r="B6" s="96" t="str">
        <f>IF(Ujian!B13="","",Ujian!B13)</f>
        <v>  234601</v>
      </c>
      <c r="C6" s="97" t="str">
        <f>IF(Ujian!C13="","",Ujian!C13)</f>
        <v>  Bina Yanti</v>
      </c>
      <c r="D6" s="98">
        <f>Ujian!BN13</f>
        <v>65</v>
      </c>
      <c r="E6" s="99">
        <v>90</v>
      </c>
      <c r="F6" s="93">
        <f>Ujian!BP13</f>
        <v>82</v>
      </c>
    </row>
    <row r="7" spans="1:6" s="100" customFormat="1" ht="18" customHeight="1" x14ac:dyDescent="0.25">
      <c r="A7" s="89">
        <v>5</v>
      </c>
      <c r="B7" s="96" t="str">
        <f>IF(Ujian!B14="","",Ujian!B14)</f>
        <v>  234602</v>
      </c>
      <c r="C7" s="97" t="str">
        <f>IF(Ujian!C14="","",Ujian!C14)</f>
        <v>  Desty Listianingsih</v>
      </c>
      <c r="D7" s="98">
        <f>Ujian!BN14</f>
        <v>42.5</v>
      </c>
      <c r="E7" s="99">
        <v>90</v>
      </c>
      <c r="F7" s="93">
        <f>Ujian!BP14</f>
        <v>67</v>
      </c>
    </row>
    <row r="8" spans="1:6" s="100" customFormat="1" ht="18" customHeight="1" x14ac:dyDescent="0.25">
      <c r="A8" s="89">
        <v>6</v>
      </c>
      <c r="B8" s="96" t="str">
        <f>IF(Ujian!B15="","",Ujian!B15)</f>
        <v>  234610</v>
      </c>
      <c r="C8" s="97" t="str">
        <f>IF(Ujian!C15="","",Ujian!C15)</f>
        <v>  Gita Maghfirahalfariani</v>
      </c>
      <c r="D8" s="98">
        <f>Ujian!BN15</f>
        <v>37.5</v>
      </c>
      <c r="E8" s="99">
        <v>90</v>
      </c>
      <c r="F8" s="93">
        <f>Ujian!BP15</f>
        <v>64</v>
      </c>
    </row>
    <row r="9" spans="1:6" s="100" customFormat="1" ht="18" customHeight="1" x14ac:dyDescent="0.25">
      <c r="A9" s="89">
        <v>7</v>
      </c>
      <c r="B9" s="96" t="str">
        <f>IF(Ujian!B16="","",Ujian!B16)</f>
        <v>  234622</v>
      </c>
      <c r="C9" s="97" t="str">
        <f>IF(Ujian!C16="","",Ujian!C16)</f>
        <v>  Juleha</v>
      </c>
      <c r="D9" s="98">
        <f>Ujian!BN16</f>
        <v>62.5</v>
      </c>
      <c r="E9" s="99">
        <v>90</v>
      </c>
      <c r="F9" s="93">
        <f>Ujian!BP16</f>
        <v>80</v>
      </c>
    </row>
    <row r="10" spans="1:6" s="100" customFormat="1" ht="18" customHeight="1" x14ac:dyDescent="0.25">
      <c r="A10" s="89">
        <v>8</v>
      </c>
      <c r="B10" s="96" t="str">
        <f>IF(Ujian!B17="","",Ujian!B17)</f>
        <v>  234623</v>
      </c>
      <c r="C10" s="97" t="str">
        <f>IF(Ujian!C17="","",Ujian!C17)</f>
        <v>  Juwairiah</v>
      </c>
      <c r="D10" s="98">
        <f>Ujian!BN17</f>
        <v>37.5</v>
      </c>
      <c r="E10" s="99">
        <v>90</v>
      </c>
      <c r="F10" s="93">
        <f>Ujian!BP17</f>
        <v>64</v>
      </c>
    </row>
    <row r="11" spans="1:6" s="100" customFormat="1" ht="18" customHeight="1" x14ac:dyDescent="0.25">
      <c r="A11" s="89">
        <v>9</v>
      </c>
      <c r="B11" s="96" t="str">
        <f>IF(Ujian!B18="","",Ujian!B18)</f>
        <v>  234633</v>
      </c>
      <c r="C11" s="97" t="str">
        <f>IF(Ujian!C18="","",Ujian!C18)</f>
        <v>  M. Rafiqi</v>
      </c>
      <c r="D11" s="98">
        <f>Ujian!BN18</f>
        <v>52.5</v>
      </c>
      <c r="E11" s="99">
        <v>90</v>
      </c>
      <c r="F11" s="93">
        <f>Ujian!BP18</f>
        <v>74</v>
      </c>
    </row>
    <row r="12" spans="1:6" s="100" customFormat="1" ht="18" customHeight="1" x14ac:dyDescent="0.25">
      <c r="A12" s="89">
        <v>10</v>
      </c>
      <c r="B12" s="96" t="str">
        <f>IF(Ujian!B19="","",Ujian!B19)</f>
        <v>  234656</v>
      </c>
      <c r="C12" s="97" t="str">
        <f>IF(Ujian!C19="","",Ujian!C19)</f>
        <v>  Muhammad Hafiz Fadilah</v>
      </c>
      <c r="D12" s="98">
        <f>Ujian!BN19</f>
        <v>65</v>
      </c>
      <c r="E12" s="99">
        <v>90</v>
      </c>
      <c r="F12" s="93">
        <f>Ujian!BP19</f>
        <v>82</v>
      </c>
    </row>
    <row r="13" spans="1:6" s="100" customFormat="1" ht="18" customHeight="1" x14ac:dyDescent="0.25">
      <c r="A13" s="89">
        <v>11</v>
      </c>
      <c r="B13" s="96" t="str">
        <f>IF(Ujian!B20="","",Ujian!B20)</f>
        <v>  234660</v>
      </c>
      <c r="C13" s="97" t="str">
        <f>IF(Ujian!C20="","",Ujian!C20)</f>
        <v>  Muhammad Iqbal Firdaus</v>
      </c>
      <c r="D13" s="98">
        <f>Ujian!BN20</f>
        <v>75</v>
      </c>
      <c r="E13" s="99">
        <v>90</v>
      </c>
      <c r="F13" s="93">
        <f>Ujian!BP20</f>
        <v>89</v>
      </c>
    </row>
    <row r="14" spans="1:6" s="100" customFormat="1" ht="18" customHeight="1" x14ac:dyDescent="0.25">
      <c r="A14" s="89">
        <v>12</v>
      </c>
      <c r="B14" s="96" t="str">
        <f>IF(Ujian!B21="","",Ujian!B21)</f>
        <v>  234661</v>
      </c>
      <c r="C14" s="97" t="str">
        <f>IF(Ujian!C21="","",Ujian!C21)</f>
        <v>  Muhammad Jamil</v>
      </c>
      <c r="D14" s="98">
        <f>Ujian!BN21</f>
        <v>45</v>
      </c>
      <c r="E14" s="99">
        <v>90</v>
      </c>
      <c r="F14" s="93">
        <f>Ujian!BP21</f>
        <v>69</v>
      </c>
    </row>
    <row r="15" spans="1:6" s="100" customFormat="1" ht="18" customHeight="1" x14ac:dyDescent="0.25">
      <c r="A15" s="89">
        <v>13</v>
      </c>
      <c r="B15" s="96" t="str">
        <f>IF(Ujian!B22="","",Ujian!B22)</f>
        <v>  234662</v>
      </c>
      <c r="C15" s="97" t="str">
        <f>IF(Ujian!C22="","",Ujian!C22)</f>
        <v>  Muhammad Mubaraq</v>
      </c>
      <c r="D15" s="98">
        <f>Ujian!BN22</f>
        <v>65</v>
      </c>
      <c r="E15" s="99">
        <v>90</v>
      </c>
      <c r="F15" s="93">
        <f>Ujian!BP22</f>
        <v>82</v>
      </c>
    </row>
    <row r="16" spans="1:6" s="100" customFormat="1" ht="18" customHeight="1" x14ac:dyDescent="0.25">
      <c r="A16" s="89">
        <v>14</v>
      </c>
      <c r="B16" s="96" t="str">
        <f>IF(Ujian!B23="","",Ujian!B23)</f>
        <v>  234632</v>
      </c>
      <c r="C16" s="97" t="str">
        <f>IF(Ujian!C23="","",Ujian!C23)</f>
        <v>  Muhammad Nazril Ilmi</v>
      </c>
      <c r="D16" s="98">
        <f>Ujian!BN23</f>
        <v>35</v>
      </c>
      <c r="E16" s="99">
        <v>90</v>
      </c>
      <c r="F16" s="93">
        <f>Ujian!BP23</f>
        <v>62</v>
      </c>
    </row>
    <row r="17" spans="1:6" s="100" customFormat="1" ht="18" customHeight="1" x14ac:dyDescent="0.25">
      <c r="A17" s="89">
        <v>15</v>
      </c>
      <c r="B17" s="96" t="str">
        <f>IF(Ujian!B24="","",Ujian!B24)</f>
        <v>  234678</v>
      </c>
      <c r="C17" s="97" t="str">
        <f>IF(Ujian!C24="","",Ujian!C24)</f>
        <v>  Muthia Rima Putri</v>
      </c>
      <c r="D17" s="98">
        <f>Ujian!BN24</f>
        <v>65</v>
      </c>
      <c r="E17" s="99">
        <v>90</v>
      </c>
      <c r="F17" s="93">
        <f>Ujian!BP24</f>
        <v>82</v>
      </c>
    </row>
    <row r="18" spans="1:6" s="100" customFormat="1" ht="18" customHeight="1" x14ac:dyDescent="0.25">
      <c r="A18" s="89">
        <v>16</v>
      </c>
      <c r="B18" s="96" t="str">
        <f>IF(Ujian!B25="","",Ujian!B25)</f>
        <v>  234680</v>
      </c>
      <c r="C18" s="97" t="str">
        <f>IF(Ujian!C25="","",Ujian!C25)</f>
        <v>  Nanda Mujlina Putri</v>
      </c>
      <c r="D18" s="98">
        <f>Ujian!BN25</f>
        <v>57.499999999999993</v>
      </c>
      <c r="E18" s="99">
        <v>90</v>
      </c>
      <c r="F18" s="93">
        <f>Ujian!BP25</f>
        <v>77</v>
      </c>
    </row>
    <row r="19" spans="1:6" s="100" customFormat="1" ht="18" customHeight="1" x14ac:dyDescent="0.25">
      <c r="A19" s="89">
        <v>17</v>
      </c>
      <c r="B19" s="96" t="str">
        <f>IF(Ujian!B26="","",Ujian!B26)</f>
        <v>  234685</v>
      </c>
      <c r="C19" s="97" t="str">
        <f>IF(Ujian!C26="","",Ujian!C26)</f>
        <v>  Noor Andini</v>
      </c>
      <c r="D19" s="98">
        <f>Ujian!BN26</f>
        <v>47.5</v>
      </c>
      <c r="E19" s="99">
        <v>90</v>
      </c>
      <c r="F19" s="93">
        <f>Ujian!BP26</f>
        <v>70</v>
      </c>
    </row>
    <row r="20" spans="1:6" s="100" customFormat="1" ht="18" customHeight="1" x14ac:dyDescent="0.25">
      <c r="A20" s="89">
        <v>18</v>
      </c>
      <c r="B20" s="96" t="str">
        <f>IF(Ujian!B27="","",Ujian!B27)</f>
        <v>  234695</v>
      </c>
      <c r="C20" s="97" t="str">
        <f>IF(Ujian!C27="","",Ujian!C27)</f>
        <v>  Nurhayanti</v>
      </c>
      <c r="D20" s="98">
        <f>Ujian!BN27</f>
        <v>77.5</v>
      </c>
      <c r="E20" s="99">
        <v>90</v>
      </c>
      <c r="F20" s="93">
        <f>Ujian!BP27</f>
        <v>90</v>
      </c>
    </row>
    <row r="21" spans="1:6" s="100" customFormat="1" ht="18" customHeight="1" x14ac:dyDescent="0.25">
      <c r="A21" s="89">
        <v>19</v>
      </c>
      <c r="B21" s="96" t="str">
        <f>IF(Ujian!B28="","",Ujian!B28)</f>
        <v>  234709</v>
      </c>
      <c r="C21" s="97" t="str">
        <f>IF(Ujian!C28="","",Ujian!C28)</f>
        <v>  Raisol</v>
      </c>
      <c r="D21" s="98">
        <f>Ujian!BN28</f>
        <v>17.5</v>
      </c>
      <c r="E21" s="99">
        <v>90</v>
      </c>
      <c r="F21" s="93">
        <f>Ujian!BP28</f>
        <v>50</v>
      </c>
    </row>
    <row r="22" spans="1:6" s="100" customFormat="1" ht="18" customHeight="1" x14ac:dyDescent="0.25">
      <c r="A22" s="89">
        <v>20</v>
      </c>
      <c r="B22" s="96" t="str">
        <f>IF(Ujian!B29="","",Ujian!B29)</f>
        <v>  234708</v>
      </c>
      <c r="C22" s="97" t="str">
        <f>IF(Ujian!C29="","",Ujian!C29)</f>
        <v>  Rayshar Andhika Pratama</v>
      </c>
      <c r="D22" s="98">
        <f>Ujian!BN29</f>
        <v>25</v>
      </c>
      <c r="E22" s="99">
        <v>90</v>
      </c>
      <c r="F22" s="93">
        <f>Ujian!BP29</f>
        <v>55</v>
      </c>
    </row>
    <row r="23" spans="1:6" s="100" customFormat="1" ht="18" customHeight="1" x14ac:dyDescent="0.25">
      <c r="A23" s="89">
        <v>21</v>
      </c>
      <c r="B23" s="96" t="str">
        <f>IF(Ujian!B30="","",Ujian!B30)</f>
        <v>  234711</v>
      </c>
      <c r="C23" s="97" t="str">
        <f>IF(Ujian!C30="","",Ujian!C30)</f>
        <v>  Rino Fiansyah</v>
      </c>
      <c r="D23" s="98">
        <f>Ujian!BN30</f>
        <v>40</v>
      </c>
      <c r="E23" s="99">
        <v>90</v>
      </c>
      <c r="F23" s="93">
        <f>Ujian!BP30</f>
        <v>65</v>
      </c>
    </row>
    <row r="24" spans="1:6" s="100" customFormat="1" ht="18" customHeight="1" x14ac:dyDescent="0.25">
      <c r="A24" s="89">
        <v>22</v>
      </c>
      <c r="B24" s="96" t="str">
        <f>IF(Ujian!B31="","",Ujian!B31)</f>
        <v>  234712</v>
      </c>
      <c r="C24" s="97" t="str">
        <f>IF(Ujian!C31="","",Ujian!C31)</f>
        <v>  Ririn Dea Razmiarti</v>
      </c>
      <c r="D24" s="98">
        <f>Ujian!BN31</f>
        <v>65</v>
      </c>
      <c r="E24" s="99">
        <v>90</v>
      </c>
      <c r="F24" s="93">
        <f>Ujian!BP31</f>
        <v>82</v>
      </c>
    </row>
    <row r="25" spans="1:6" s="100" customFormat="1" ht="18" customHeight="1" x14ac:dyDescent="0.25">
      <c r="A25" s="89">
        <v>23</v>
      </c>
      <c r="B25" s="96" t="str">
        <f>IF(Ujian!B32="","",Ujian!B32)</f>
        <v>  234719</v>
      </c>
      <c r="C25" s="97" t="str">
        <f>IF(Ujian!C32="","",Ujian!C32)</f>
        <v>  Suci Rahmawati</v>
      </c>
      <c r="D25" s="98">
        <f>Ujian!BN32</f>
        <v>52.5</v>
      </c>
      <c r="E25" s="99">
        <v>90</v>
      </c>
      <c r="F25" s="93">
        <f>Ujian!BP32</f>
        <v>74</v>
      </c>
    </row>
    <row r="26" spans="1:6" s="100" customFormat="1" ht="18" customHeight="1" x14ac:dyDescent="0.25">
      <c r="A26" s="89">
        <v>24</v>
      </c>
      <c r="B26" s="96" t="str">
        <f>IF(Ujian!B33="","",Ujian!B33)</f>
        <v>  234721</v>
      </c>
      <c r="C26" s="97" t="str">
        <f>IF(Ujian!C33="","",Ujian!C33)</f>
        <v>  Syifa Aulia Rahmah</v>
      </c>
      <c r="D26" s="98">
        <f>Ujian!BN33</f>
        <v>47.5</v>
      </c>
      <c r="E26" s="99">
        <v>90</v>
      </c>
      <c r="F26" s="93">
        <f>Ujian!BP33</f>
        <v>70</v>
      </c>
    </row>
    <row r="27" spans="1:6" s="100" customFormat="1" ht="18" customHeight="1" x14ac:dyDescent="0.25">
      <c r="A27" s="89">
        <v>25</v>
      </c>
      <c r="B27" s="96" t="str">
        <f>IF(Ujian!B34="","",Ujian!B34)</f>
        <v>  234727</v>
      </c>
      <c r="C27" s="97" t="str">
        <f>IF(Ujian!C34="","",Ujian!C34)</f>
        <v>  Zainuddin</v>
      </c>
      <c r="D27" s="98">
        <f>Ujian!BN34</f>
        <v>52.5</v>
      </c>
      <c r="E27" s="99">
        <v>90</v>
      </c>
      <c r="F27" s="93">
        <f>Ujian!BP34</f>
        <v>74</v>
      </c>
    </row>
    <row r="28" spans="1:6" s="100" customFormat="1" ht="18" customHeight="1" x14ac:dyDescent="0.25">
      <c r="A28" s="89">
        <v>26</v>
      </c>
      <c r="B28" s="96" t="str">
        <f>IF(Ujian!B35="","",Ujian!B35)</f>
        <v>  1</v>
      </c>
      <c r="C28" s="97" t="str">
        <f>IF(Ujian!C35="","",Ujian!C35)</f>
        <v>  Latif</v>
      </c>
      <c r="D28" s="98">
        <f>Ujian!BN35</f>
        <v>37.5</v>
      </c>
      <c r="E28" s="99">
        <v>90</v>
      </c>
      <c r="F28" s="93">
        <f>Ujian!BP35</f>
        <v>64</v>
      </c>
    </row>
    <row r="29" spans="1:6" s="100" customFormat="1" ht="18" customHeight="1" x14ac:dyDescent="0.25">
      <c r="A29" s="89">
        <v>27</v>
      </c>
      <c r="B29" s="96" t="str">
        <f>IF(Ujian!B36="","",Ujian!B36)</f>
        <v>  2</v>
      </c>
      <c r="C29" s="97" t="str">
        <f>IF(Ujian!C36="","",Ujian!C36)</f>
        <v>  Ahmad Zaidan Rizki</v>
      </c>
      <c r="D29" s="98">
        <f>Ujian!BN36</f>
        <v>17.5</v>
      </c>
      <c r="E29" s="99">
        <v>90</v>
      </c>
      <c r="F29" s="93">
        <f>Ujian!BP36</f>
        <v>50</v>
      </c>
    </row>
    <row r="30" spans="1:6" s="100" customFormat="1" ht="18" customHeight="1" x14ac:dyDescent="0.25">
      <c r="A30" s="89">
        <v>28</v>
      </c>
      <c r="B30" s="96" t="str">
        <f>IF(Ujian!B37="","",Ujian!B37)</f>
        <v>  234587</v>
      </c>
      <c r="C30" s="97" t="str">
        <f>IF(Ujian!C37="","",Ujian!C37)</f>
        <v>  Ahmad Rifani</v>
      </c>
      <c r="D30" s="98">
        <f>Ujian!BN37</f>
        <v>65</v>
      </c>
      <c r="E30" s="99">
        <v>90</v>
      </c>
      <c r="F30" s="93">
        <f>Ujian!BP37</f>
        <v>82</v>
      </c>
    </row>
    <row r="31" spans="1:6" s="100" customFormat="1" ht="18" customHeight="1" x14ac:dyDescent="0.25">
      <c r="A31" s="89">
        <v>29</v>
      </c>
      <c r="B31" s="96" t="str">
        <f>IF(Ujian!B38="","",Ujian!B38)</f>
        <v>  234591</v>
      </c>
      <c r="C31" s="97" t="str">
        <f>IF(Ujian!C38="","",Ujian!C38)</f>
        <v>  Alfi Wahyuni</v>
      </c>
      <c r="D31" s="98">
        <f>Ujian!BN38</f>
        <v>40</v>
      </c>
      <c r="E31" s="99">
        <v>90</v>
      </c>
      <c r="F31" s="93">
        <f>Ujian!BP38</f>
        <v>65</v>
      </c>
    </row>
    <row r="32" spans="1:6" s="100" customFormat="1" ht="18" customHeight="1" x14ac:dyDescent="0.25">
      <c r="A32" s="89">
        <v>30</v>
      </c>
      <c r="B32" s="96" t="str">
        <f>IF(Ujian!B39="","",Ujian!B39)</f>
        <v>  234594</v>
      </c>
      <c r="C32" s="97" t="str">
        <f>IF(Ujian!C39="","",Ujian!C39)</f>
        <v>  Alya Nur</v>
      </c>
      <c r="D32" s="98">
        <f>Ujian!BN39</f>
        <v>52.5</v>
      </c>
      <c r="E32" s="99">
        <v>90</v>
      </c>
      <c r="F32" s="93">
        <f>Ujian!BP39</f>
        <v>74</v>
      </c>
    </row>
    <row r="33" spans="1:6" s="100" customFormat="1" ht="18" customHeight="1" x14ac:dyDescent="0.25">
      <c r="A33" s="89">
        <v>31</v>
      </c>
      <c r="B33" s="96" t="str">
        <f>IF(Ujian!B40="","",Ujian!B40)</f>
        <v>  234600</v>
      </c>
      <c r="C33" s="97" t="str">
        <f>IF(Ujian!C40="","",Ujian!C40)</f>
        <v>  Aulia Astuti</v>
      </c>
      <c r="D33" s="98">
        <f>Ujian!BN40</f>
        <v>37.5</v>
      </c>
      <c r="E33" s="99">
        <v>90</v>
      </c>
      <c r="F33" s="93">
        <f>Ujian!BP40</f>
        <v>64</v>
      </c>
    </row>
    <row r="34" spans="1:6" s="100" customFormat="1" ht="18" customHeight="1" x14ac:dyDescent="0.25">
      <c r="A34" s="89">
        <v>32</v>
      </c>
      <c r="B34" s="96" t="str">
        <f>IF(Ujian!B41="","",Ujian!B41)</f>
        <v>  224430</v>
      </c>
      <c r="C34" s="97" t="str">
        <f>IF(Ujian!C41="","",Ujian!C41)</f>
        <v>  Febriana Nor As Shoufa</v>
      </c>
      <c r="D34" s="98">
        <f>Ujian!BN41</f>
        <v>37.5</v>
      </c>
      <c r="E34" s="99">
        <v>90</v>
      </c>
      <c r="F34" s="93">
        <f>Ujian!BP41</f>
        <v>64</v>
      </c>
    </row>
    <row r="35" spans="1:6" s="100" customFormat="1" ht="18" customHeight="1" x14ac:dyDescent="0.25">
      <c r="A35" s="89">
        <v>33</v>
      </c>
      <c r="B35" s="96" t="str">
        <f>IF(Ujian!B42="","",Ujian!B42)</f>
        <v>  234609</v>
      </c>
      <c r="C35" s="97" t="str">
        <f>IF(Ujian!C42="","",Ujian!C42)</f>
        <v>  Fitra Syahara</v>
      </c>
      <c r="D35" s="98">
        <f>Ujian!BN42</f>
        <v>27.500000000000004</v>
      </c>
      <c r="E35" s="99">
        <v>90</v>
      </c>
      <c r="F35" s="93">
        <f>Ujian!BP42</f>
        <v>57</v>
      </c>
    </row>
    <row r="36" spans="1:6" s="100" customFormat="1" ht="18" customHeight="1" x14ac:dyDescent="0.25">
      <c r="A36" s="89">
        <v>34</v>
      </c>
      <c r="B36" s="96" t="str">
        <f>IF(Ujian!B43="","",Ujian!B43)</f>
        <v>  234617</v>
      </c>
      <c r="C36" s="97" t="str">
        <f>IF(Ujian!C43="","",Ujian!C43)</f>
        <v>  Ikhsan Fadillah</v>
      </c>
      <c r="D36" s="98">
        <f>Ujian!BN43</f>
        <v>50</v>
      </c>
      <c r="E36" s="99">
        <v>90</v>
      </c>
      <c r="F36" s="93">
        <f>Ujian!BP43</f>
        <v>72</v>
      </c>
    </row>
    <row r="37" spans="1:6" s="100" customFormat="1" ht="18" customHeight="1" x14ac:dyDescent="0.25">
      <c r="A37" s="89">
        <v>35</v>
      </c>
      <c r="B37" s="96" t="str">
        <f>IF(Ujian!B44="","",Ujian!B44)</f>
        <v>  234618</v>
      </c>
      <c r="C37" s="97" t="str">
        <f>IF(Ujian!C44="","",Ujian!C44)</f>
        <v>  Iqbal Fahrezi</v>
      </c>
      <c r="D37" s="98">
        <f>Ujian!BN44</f>
        <v>72.5</v>
      </c>
      <c r="E37" s="99">
        <v>90</v>
      </c>
      <c r="F37" s="93">
        <f>Ujian!BP44</f>
        <v>87</v>
      </c>
    </row>
    <row r="38" spans="1:6" s="100" customFormat="1" ht="18" customHeight="1" x14ac:dyDescent="0.25">
      <c r="A38" s="89">
        <v>36</v>
      </c>
      <c r="B38" s="96" t="str">
        <f>IF(Ujian!B45="","",Ujian!B45)</f>
        <v>  234620</v>
      </c>
      <c r="C38" s="97" t="str">
        <f>IF(Ujian!C45="","",Ujian!C45)</f>
        <v>  Isti Qomah</v>
      </c>
      <c r="D38" s="98">
        <f>Ujian!BN45</f>
        <v>65</v>
      </c>
      <c r="E38" s="99">
        <v>90</v>
      </c>
      <c r="F38" s="93">
        <f>Ujian!BP45</f>
        <v>82</v>
      </c>
    </row>
    <row r="39" spans="1:6" s="100" customFormat="1" ht="18" customHeight="1" x14ac:dyDescent="0.25">
      <c r="A39" s="89">
        <v>37</v>
      </c>
      <c r="B39" s="96" t="str">
        <f>IF(Ujian!B46="","",Ujian!B46)</f>
        <v>  234621</v>
      </c>
      <c r="C39" s="97" t="str">
        <f>IF(Ujian!C46="","",Ujian!C46)</f>
        <v>  Jamiatul Putri</v>
      </c>
      <c r="D39" s="98">
        <f>Ujian!BN46</f>
        <v>40</v>
      </c>
      <c r="E39" s="99">
        <v>90</v>
      </c>
      <c r="F39" s="93">
        <f>Ujian!BP46</f>
        <v>65</v>
      </c>
    </row>
    <row r="40" spans="1:6" s="100" customFormat="1" ht="18" customHeight="1" x14ac:dyDescent="0.25">
      <c r="A40" s="89">
        <v>38</v>
      </c>
      <c r="B40" s="96" t="str">
        <f>IF(Ujian!B47="","",Ujian!B47)</f>
        <v>  234658</v>
      </c>
      <c r="C40" s="97" t="str">
        <f>IF(Ujian!C47="","",Ujian!C47)</f>
        <v>  M. Hasan</v>
      </c>
      <c r="D40" s="98">
        <f>Ujian!BN47</f>
        <v>72.5</v>
      </c>
      <c r="E40" s="99">
        <v>90</v>
      </c>
      <c r="F40" s="93">
        <f>Ujian!BP47</f>
        <v>87</v>
      </c>
    </row>
    <row r="41" spans="1:6" s="100" customFormat="1" ht="18" customHeight="1" x14ac:dyDescent="0.25">
      <c r="A41" s="89">
        <v>39</v>
      </c>
      <c r="B41" s="96" t="str">
        <f>IF(Ujian!B48="","",Ujian!B48)</f>
        <v>  234639</v>
      </c>
      <c r="C41" s="97" t="str">
        <f>IF(Ujian!C48="","",Ujian!C48)</f>
        <v>  Monalisa</v>
      </c>
      <c r="D41" s="98">
        <f>Ujian!BN48</f>
        <v>30</v>
      </c>
      <c r="E41" s="99">
        <v>90</v>
      </c>
      <c r="F41" s="93">
        <f>Ujian!BP48</f>
        <v>59</v>
      </c>
    </row>
    <row r="42" spans="1:6" s="100" customFormat="1" ht="18" customHeight="1" x14ac:dyDescent="0.25">
      <c r="A42" s="89">
        <v>40</v>
      </c>
      <c r="B42" s="96" t="str">
        <f>IF(Ujian!B49="","",Ujian!B49)</f>
        <v>  234640</v>
      </c>
      <c r="C42" s="97" t="str">
        <f>IF(Ujian!C49="","",Ujian!C49)</f>
        <v>  Muflihah</v>
      </c>
      <c r="D42" s="98">
        <f>Ujian!BN49</f>
        <v>37.5</v>
      </c>
      <c r="E42" s="99">
        <v>90</v>
      </c>
      <c r="F42" s="93">
        <f>Ujian!BP49</f>
        <v>64</v>
      </c>
    </row>
    <row r="43" spans="1:6" s="100" customFormat="1" ht="18" customHeight="1" x14ac:dyDescent="0.25">
      <c r="A43" s="89">
        <v>41</v>
      </c>
      <c r="B43" s="96" t="str">
        <f>IF(Ujian!B50="","",Ujian!B50)</f>
        <v>  234655</v>
      </c>
      <c r="C43" s="97" t="str">
        <f>IF(Ujian!C50="","",Ujian!C50)</f>
        <v>  Muhammad Hafiz</v>
      </c>
      <c r="D43" s="98">
        <f>Ujian!BN50</f>
        <v>52.5</v>
      </c>
      <c r="E43" s="99">
        <v>90</v>
      </c>
      <c r="F43" s="93">
        <f>Ujian!BP50</f>
        <v>74</v>
      </c>
    </row>
    <row r="44" spans="1:6" s="100" customFormat="1" ht="18" customHeight="1" x14ac:dyDescent="0.25">
      <c r="A44" s="89">
        <v>42</v>
      </c>
      <c r="B44" s="96" t="str">
        <f>IF(Ujian!B51="","",Ujian!B51)</f>
        <v>  234657</v>
      </c>
      <c r="C44" s="97" t="str">
        <f>IF(Ujian!C51="","",Ujian!C51)</f>
        <v>  Muhammad Hariadi Hana</v>
      </c>
      <c r="D44" s="98">
        <f>Ujian!BN51</f>
        <v>72.5</v>
      </c>
      <c r="E44" s="99">
        <v>90</v>
      </c>
      <c r="F44" s="93">
        <f>Ujian!BP51</f>
        <v>87</v>
      </c>
    </row>
    <row r="45" spans="1:6" s="100" customFormat="1" ht="18" customHeight="1" x14ac:dyDescent="0.25">
      <c r="A45" s="89">
        <v>43</v>
      </c>
      <c r="B45" s="96" t="str">
        <f>IF(Ujian!B52="","",Ujian!B52)</f>
        <v>  234659</v>
      </c>
      <c r="C45" s="97" t="str">
        <f>IF(Ujian!C52="","",Ujian!C52)</f>
        <v>  Muhammad Ihza Al Muhajir</v>
      </c>
      <c r="D45" s="98">
        <f>Ujian!BN52</f>
        <v>67.5</v>
      </c>
      <c r="E45" s="99">
        <v>90</v>
      </c>
      <c r="F45" s="93">
        <f>Ujian!BP52</f>
        <v>84</v>
      </c>
    </row>
    <row r="46" spans="1:6" s="100" customFormat="1" ht="18" customHeight="1" x14ac:dyDescent="0.25">
      <c r="A46" s="89">
        <v>44</v>
      </c>
      <c r="B46" s="96" t="str">
        <f>IF(Ujian!B53="","",Ujian!B53)</f>
        <v>  234668</v>
      </c>
      <c r="C46" s="97" t="str">
        <f>IF(Ujian!C53="","",Ujian!C53)</f>
        <v>  Muhammad Ramadan</v>
      </c>
      <c r="D46" s="98">
        <f>Ujian!BN53</f>
        <v>22.5</v>
      </c>
      <c r="E46" s="99">
        <v>90</v>
      </c>
      <c r="F46" s="93">
        <f>Ujian!BP53</f>
        <v>54</v>
      </c>
    </row>
    <row r="47" spans="1:6" s="100" customFormat="1" ht="18" customHeight="1" x14ac:dyDescent="0.25">
      <c r="A47" s="89">
        <v>45</v>
      </c>
      <c r="B47" s="96" t="str">
        <f>IF(Ujian!B54="","",Ujian!B54)</f>
        <v>  234673</v>
      </c>
      <c r="C47" s="97" t="str">
        <f>IF(Ujian!C54="","",Ujian!C54)</f>
        <v>  Muhammad Rizky</v>
      </c>
      <c r="D47" s="98">
        <f>Ujian!BN54</f>
        <v>37.5</v>
      </c>
      <c r="E47" s="99">
        <v>90</v>
      </c>
      <c r="F47" s="93">
        <f>Ujian!BP54</f>
        <v>64</v>
      </c>
    </row>
    <row r="48" spans="1:6" s="100" customFormat="1" ht="18" customHeight="1" x14ac:dyDescent="0.25">
      <c r="A48" s="89">
        <v>46</v>
      </c>
      <c r="B48" s="96" t="str">
        <f>IF(Ujian!B55="","",Ujian!B55)</f>
        <v>  234677</v>
      </c>
      <c r="C48" s="97" t="str">
        <f>IF(Ujian!C55="","",Ujian!C55)</f>
        <v>  Munirah</v>
      </c>
      <c r="D48" s="98">
        <f>Ujian!BN55</f>
        <v>60</v>
      </c>
      <c r="E48" s="99">
        <v>90</v>
      </c>
      <c r="F48" s="93">
        <f>Ujian!BP55</f>
        <v>79</v>
      </c>
    </row>
    <row r="49" spans="1:6" s="100" customFormat="1" ht="18" customHeight="1" x14ac:dyDescent="0.25">
      <c r="A49" s="89">
        <v>47</v>
      </c>
      <c r="B49" s="96" t="str">
        <f>IF(Ujian!B56="","",Ujian!B56)</f>
        <v>  234690</v>
      </c>
      <c r="C49" s="97" t="str">
        <f>IF(Ujian!C56="","",Ujian!C56)</f>
        <v>  Nor Rachma</v>
      </c>
      <c r="D49" s="98">
        <f>Ujian!BN56</f>
        <v>75</v>
      </c>
      <c r="E49" s="99">
        <v>90</v>
      </c>
      <c r="F49" s="93">
        <f>Ujian!BP56</f>
        <v>89</v>
      </c>
    </row>
    <row r="50" spans="1:6" s="100" customFormat="1" ht="18" customHeight="1" x14ac:dyDescent="0.25">
      <c r="A50" s="89">
        <v>48</v>
      </c>
      <c r="B50" s="96" t="str">
        <f>IF(Ujian!B57="","",Ujian!B57)</f>
        <v>  234691</v>
      </c>
      <c r="C50" s="97" t="str">
        <f>IF(Ujian!C57="","",Ujian!C57)</f>
        <v>  Norbaiti</v>
      </c>
      <c r="D50" s="98">
        <f>Ujian!BN57</f>
        <v>52.5</v>
      </c>
      <c r="E50" s="99">
        <v>90</v>
      </c>
      <c r="F50" s="93">
        <f>Ujian!BP57</f>
        <v>74</v>
      </c>
    </row>
    <row r="51" spans="1:6" s="100" customFormat="1" ht="18" customHeight="1" x14ac:dyDescent="0.25">
      <c r="A51" s="89">
        <v>49</v>
      </c>
      <c r="B51" s="96" t="str">
        <f>IF(Ujian!B58="","",Ujian!B58)</f>
        <v>  234692</v>
      </c>
      <c r="C51" s="97" t="str">
        <f>IF(Ujian!C58="","",Ujian!C58)</f>
        <v>  Norsehan</v>
      </c>
      <c r="D51" s="98">
        <f>Ujian!BN58</f>
        <v>17.5</v>
      </c>
      <c r="E51" s="99">
        <v>90</v>
      </c>
      <c r="F51" s="93">
        <f>Ujian!BP58</f>
        <v>50</v>
      </c>
    </row>
    <row r="52" spans="1:6" s="100" customFormat="1" ht="18" customHeight="1" x14ac:dyDescent="0.25">
      <c r="A52" s="89">
        <v>50</v>
      </c>
      <c r="B52" s="96" t="str">
        <f>IF(Ujian!B59="","",Ujian!B59)</f>
        <v>  234699</v>
      </c>
      <c r="C52" s="97" t="str">
        <f>IF(Ujian!C59="","",Ujian!C59)</f>
        <v>  Padil Anwar</v>
      </c>
      <c r="D52" s="98">
        <f>Ujian!BN59</f>
        <v>30</v>
      </c>
      <c r="E52" s="99">
        <v>90</v>
      </c>
      <c r="F52" s="93">
        <f>Ujian!BP59</f>
        <v>59</v>
      </c>
    </row>
    <row r="53" spans="1:6" s="100" customFormat="1" ht="18" customHeight="1" x14ac:dyDescent="0.25">
      <c r="A53" s="89">
        <v>51</v>
      </c>
      <c r="B53" s="96" t="str">
        <f>IF(Ujian!B60="","",Ujian!B60)</f>
        <v>  234702</v>
      </c>
      <c r="C53" s="97" t="str">
        <f>IF(Ujian!C60="","",Ujian!C60)</f>
        <v>  Rafi Ahmad</v>
      </c>
      <c r="D53" s="98">
        <f>Ujian!BN60</f>
        <v>62.5</v>
      </c>
      <c r="E53" s="99">
        <v>90</v>
      </c>
      <c r="F53" s="93">
        <f>Ujian!BP60</f>
        <v>80</v>
      </c>
    </row>
    <row r="54" spans="1:6" s="100" customFormat="1" ht="18" customHeight="1" x14ac:dyDescent="0.25">
      <c r="A54" s="89">
        <v>52</v>
      </c>
      <c r="B54" s="96" t="str">
        <f>IF(Ujian!B61="","",Ujian!B61)</f>
        <v>  234704</v>
      </c>
      <c r="C54" s="97" t="str">
        <f>IF(Ujian!C61="","",Ujian!C61)</f>
        <v>  Rahmadiyanur</v>
      </c>
      <c r="D54" s="98">
        <f>Ujian!BN61</f>
        <v>77.5</v>
      </c>
      <c r="E54" s="99">
        <v>90</v>
      </c>
      <c r="F54" s="93">
        <f>Ujian!BP61</f>
        <v>90</v>
      </c>
    </row>
    <row r="55" spans="1:6" s="100" customFormat="1" ht="18" customHeight="1" x14ac:dyDescent="0.25">
      <c r="A55" s="89">
        <v>53</v>
      </c>
      <c r="B55" s="96" t="str">
        <f>IF(Ujian!B62="","",Ujian!B62)</f>
        <v>  234715</v>
      </c>
      <c r="C55" s="97" t="str">
        <f>IF(Ujian!C62="","",Ujian!C62)</f>
        <v>  Sadiah</v>
      </c>
      <c r="D55" s="98">
        <f>Ujian!BN62</f>
        <v>17.5</v>
      </c>
      <c r="E55" s="99">
        <v>90</v>
      </c>
      <c r="F55" s="93">
        <f>Ujian!BP62</f>
        <v>50</v>
      </c>
    </row>
    <row r="56" spans="1:6" s="100" customFormat="1" ht="18" customHeight="1" x14ac:dyDescent="0.25">
      <c r="A56" s="89">
        <v>54</v>
      </c>
      <c r="B56" s="96" t="str">
        <f>IF(Ujian!B63="","",Ujian!B63)</f>
        <v>  234718</v>
      </c>
      <c r="C56" s="97" t="str">
        <f>IF(Ujian!C63="","",Ujian!C63)</f>
        <v>  Siti Zubaidah</v>
      </c>
      <c r="D56" s="98">
        <f>Ujian!BN63</f>
        <v>35</v>
      </c>
      <c r="E56" s="99">
        <v>90</v>
      </c>
      <c r="F56" s="93">
        <f>Ujian!BP63</f>
        <v>62</v>
      </c>
    </row>
    <row r="57" spans="1:6" s="100" customFormat="1" ht="18" customHeight="1" x14ac:dyDescent="0.25">
      <c r="A57" s="89">
        <v>55</v>
      </c>
      <c r="B57" s="96" t="str">
        <f>IF(Ujian!B64="","",Ujian!B64)</f>
        <v>  234724</v>
      </c>
      <c r="C57" s="97" t="str">
        <f>IF(Ujian!C64="","",Ujian!C64)</f>
        <v>  Wahyu Ramadani</v>
      </c>
      <c r="D57" s="98">
        <f>Ujian!BN64</f>
        <v>62.5</v>
      </c>
      <c r="E57" s="99">
        <v>90</v>
      </c>
      <c r="F57" s="93">
        <f>Ujian!BP64</f>
        <v>80</v>
      </c>
    </row>
    <row r="58" spans="1:6" s="100" customFormat="1" ht="18" customHeight="1" x14ac:dyDescent="0.25">
      <c r="A58" s="89">
        <v>56</v>
      </c>
      <c r="B58" s="96" t="str">
        <f>IF(Ujian!B65="","",Ujian!B65)</f>
        <v>  234728</v>
      </c>
      <c r="C58" s="97" t="str">
        <f>IF(Ujian!C65="","",Ujian!C65)</f>
        <v>  Zaskia Hardiyanti</v>
      </c>
      <c r="D58" s="98">
        <f>Ujian!BN65</f>
        <v>42.5</v>
      </c>
      <c r="E58" s="99">
        <v>90</v>
      </c>
      <c r="F58" s="93">
        <f>Ujian!BP65</f>
        <v>67</v>
      </c>
    </row>
    <row r="59" spans="1:6" s="100" customFormat="1" ht="18" customHeight="1" x14ac:dyDescent="0.25">
      <c r="A59" s="89">
        <v>57</v>
      </c>
      <c r="B59" s="96" t="str">
        <f>IF(Ujian!B66="","",Ujian!B66)</f>
        <v/>
      </c>
      <c r="C59" s="97" t="str">
        <f>IF(Ujian!C66="","",Ujian!C66)</f>
        <v/>
      </c>
      <c r="D59" s="98" t="str">
        <f>Ujian!BN66</f>
        <v/>
      </c>
      <c r="E59" s="99"/>
      <c r="F59" s="93" t="str">
        <f>Ujian!BP66</f>
        <v/>
      </c>
    </row>
    <row r="60" spans="1:6" s="100" customFormat="1" ht="18" customHeight="1" x14ac:dyDescent="0.25">
      <c r="A60" s="89">
        <v>58</v>
      </c>
      <c r="B60" s="96" t="str">
        <f>IF(Ujian!B67="","",Ujian!B67)</f>
        <v/>
      </c>
      <c r="C60" s="97" t="str">
        <f>IF(Ujian!C67="","",Ujian!C67)</f>
        <v/>
      </c>
      <c r="D60" s="98" t="str">
        <f>Ujian!BN67</f>
        <v/>
      </c>
      <c r="E60" s="99"/>
      <c r="F60" s="93" t="str">
        <f>Ujian!BP67</f>
        <v/>
      </c>
    </row>
    <row r="61" spans="1:6" s="100" customFormat="1" ht="18" customHeight="1" x14ac:dyDescent="0.25">
      <c r="A61" s="89">
        <v>59</v>
      </c>
      <c r="B61" s="96" t="str">
        <f>IF(Ujian!B68="","",Ujian!B68)</f>
        <v/>
      </c>
      <c r="C61" s="97" t="str">
        <f>IF(Ujian!C68="","",Ujian!C68)</f>
        <v/>
      </c>
      <c r="D61" s="98" t="str">
        <f>Ujian!BN68</f>
        <v/>
      </c>
      <c r="E61" s="99"/>
      <c r="F61" s="93" t="str">
        <f>Ujian!BP68</f>
        <v/>
      </c>
    </row>
    <row r="62" spans="1:6" s="100" customFormat="1" ht="18" customHeight="1" x14ac:dyDescent="0.25">
      <c r="A62" s="89">
        <v>60</v>
      </c>
      <c r="B62" s="96" t="str">
        <f>IF(Ujian!B69="","",Ujian!B69)</f>
        <v/>
      </c>
      <c r="C62" s="97" t="str">
        <f>IF(Ujian!C69="","",Ujian!C69)</f>
        <v/>
      </c>
      <c r="D62" s="98" t="str">
        <f>Ujian!BN69</f>
        <v/>
      </c>
      <c r="E62" s="99"/>
      <c r="F62" s="93" t="str">
        <f>Ujian!BP69</f>
        <v/>
      </c>
    </row>
    <row r="63" spans="1:6" s="100" customFormat="1" ht="18" customHeight="1" x14ac:dyDescent="0.25">
      <c r="A63" s="89">
        <v>61</v>
      </c>
      <c r="B63" s="96" t="str">
        <f>IF(Ujian!B70="","",Ujian!B70)</f>
        <v/>
      </c>
      <c r="C63" s="97" t="str">
        <f>IF(Ujian!C70="","",Ujian!C70)</f>
        <v/>
      </c>
      <c r="D63" s="98" t="str">
        <f>Ujian!BN70</f>
        <v/>
      </c>
      <c r="E63" s="99"/>
      <c r="F63" s="93" t="str">
        <f>Ujian!BP70</f>
        <v/>
      </c>
    </row>
    <row r="64" spans="1:6" s="100" customFormat="1" ht="18" customHeight="1" x14ac:dyDescent="0.25">
      <c r="A64" s="89">
        <v>62</v>
      </c>
      <c r="B64" s="96" t="str">
        <f>IF(Ujian!B71="","",Ujian!B71)</f>
        <v/>
      </c>
      <c r="C64" s="97" t="str">
        <f>IF(Ujian!C71="","",Ujian!C71)</f>
        <v/>
      </c>
      <c r="D64" s="98" t="str">
        <f>Ujian!BN71</f>
        <v/>
      </c>
      <c r="E64" s="99"/>
      <c r="F64" s="93" t="str">
        <f>Ujian!BP71</f>
        <v/>
      </c>
    </row>
    <row r="65" spans="1:6" s="100" customFormat="1" ht="18" customHeight="1" x14ac:dyDescent="0.25">
      <c r="A65" s="89">
        <v>63</v>
      </c>
      <c r="B65" s="96" t="str">
        <f>IF(Ujian!B72="","",Ujian!B72)</f>
        <v/>
      </c>
      <c r="C65" s="97" t="str">
        <f>IF(Ujian!C72="","",Ujian!C72)</f>
        <v/>
      </c>
      <c r="D65" s="98" t="str">
        <f>Ujian!BN72</f>
        <v/>
      </c>
      <c r="E65" s="99"/>
      <c r="F65" s="93" t="str">
        <f>Ujian!BP72</f>
        <v/>
      </c>
    </row>
    <row r="66" spans="1:6" s="100" customFormat="1" ht="18" customHeight="1" x14ac:dyDescent="0.25">
      <c r="A66" s="89">
        <v>64</v>
      </c>
      <c r="B66" s="96" t="str">
        <f>IF(Ujian!B73="","",Ujian!B73)</f>
        <v/>
      </c>
      <c r="C66" s="97" t="str">
        <f>IF(Ujian!C73="","",Ujian!C73)</f>
        <v/>
      </c>
      <c r="D66" s="98" t="str">
        <f>Ujian!BN73</f>
        <v/>
      </c>
      <c r="E66" s="99"/>
      <c r="F66" s="93" t="str">
        <f>Ujian!BP73</f>
        <v/>
      </c>
    </row>
    <row r="67" spans="1:6" s="100" customFormat="1" ht="18" customHeight="1" x14ac:dyDescent="0.25">
      <c r="A67" s="89">
        <v>65</v>
      </c>
      <c r="B67" s="96" t="str">
        <f>IF(Ujian!B74="","",Ujian!B74)</f>
        <v/>
      </c>
      <c r="C67" s="97" t="str">
        <f>IF(Ujian!C74="","",Ujian!C74)</f>
        <v/>
      </c>
      <c r="D67" s="98" t="str">
        <f>Ujian!BN74</f>
        <v/>
      </c>
      <c r="E67" s="99"/>
      <c r="F67" s="93" t="str">
        <f>Ujian!BP74</f>
        <v/>
      </c>
    </row>
    <row r="68" spans="1:6" s="100" customFormat="1" ht="18" customHeight="1" x14ac:dyDescent="0.25">
      <c r="A68" s="89">
        <v>66</v>
      </c>
      <c r="B68" s="96" t="str">
        <f>IF(Ujian!B75="","",Ujian!B75)</f>
        <v/>
      </c>
      <c r="C68" s="97" t="str">
        <f>IF(Ujian!C75="","",Ujian!C75)</f>
        <v/>
      </c>
      <c r="D68" s="98" t="str">
        <f>Ujian!BN75</f>
        <v/>
      </c>
      <c r="E68" s="99"/>
      <c r="F68" s="93" t="str">
        <f>Ujian!BP75</f>
        <v/>
      </c>
    </row>
    <row r="69" spans="1:6" s="100" customFormat="1" ht="18" customHeight="1" x14ac:dyDescent="0.25">
      <c r="A69" s="89">
        <v>67</v>
      </c>
      <c r="B69" s="96" t="str">
        <f>IF(Ujian!B76="","",Ujian!B76)</f>
        <v/>
      </c>
      <c r="C69" s="97" t="str">
        <f>IF(Ujian!C76="","",Ujian!C76)</f>
        <v/>
      </c>
      <c r="D69" s="98" t="str">
        <f>Ujian!BN76</f>
        <v/>
      </c>
      <c r="E69" s="99"/>
      <c r="F69" s="93" t="str">
        <f>Ujian!BP76</f>
        <v/>
      </c>
    </row>
    <row r="70" spans="1:6" s="100" customFormat="1" ht="18" customHeight="1" x14ac:dyDescent="0.25">
      <c r="A70" s="89">
        <v>68</v>
      </c>
      <c r="B70" s="96" t="str">
        <f>IF(Ujian!B77="","",Ujian!B77)</f>
        <v/>
      </c>
      <c r="C70" s="97" t="str">
        <f>IF(Ujian!C77="","",Ujian!C77)</f>
        <v/>
      </c>
      <c r="D70" s="98" t="str">
        <f>Ujian!BN77</f>
        <v/>
      </c>
      <c r="E70" s="99"/>
      <c r="F70" s="93" t="str">
        <f>Ujian!BP77</f>
        <v/>
      </c>
    </row>
    <row r="71" spans="1:6" s="100" customFormat="1" ht="18" customHeight="1" x14ac:dyDescent="0.25">
      <c r="A71" s="89">
        <v>69</v>
      </c>
      <c r="B71" s="96" t="str">
        <f>IF(Ujian!B78="","",Ujian!B78)</f>
        <v/>
      </c>
      <c r="C71" s="97" t="str">
        <f>IF(Ujian!C78="","",Ujian!C78)</f>
        <v/>
      </c>
      <c r="D71" s="98" t="str">
        <f>Ujian!BN78</f>
        <v/>
      </c>
      <c r="E71" s="99"/>
      <c r="F71" s="93" t="str">
        <f>Ujian!BP78</f>
        <v/>
      </c>
    </row>
    <row r="72" spans="1:6" s="100" customFormat="1" ht="18" customHeight="1" x14ac:dyDescent="0.25">
      <c r="A72" s="89">
        <v>70</v>
      </c>
      <c r="B72" s="96" t="str">
        <f>IF(Ujian!B79="","",Ujian!B79)</f>
        <v/>
      </c>
      <c r="C72" s="97" t="str">
        <f>IF(Ujian!C79="","",Ujian!C79)</f>
        <v/>
      </c>
      <c r="D72" s="98" t="str">
        <f>Ujian!BN79</f>
        <v/>
      </c>
      <c r="E72" s="99"/>
      <c r="F72" s="93" t="str">
        <f>Ujian!BP79</f>
        <v/>
      </c>
    </row>
    <row r="73" spans="1:6" s="100" customFormat="1" ht="18" customHeight="1" x14ac:dyDescent="0.25">
      <c r="A73" s="89">
        <v>71</v>
      </c>
      <c r="B73" s="96" t="str">
        <f>IF(Ujian!B80="","",Ujian!B80)</f>
        <v/>
      </c>
      <c r="C73" s="97" t="str">
        <f>IF(Ujian!C80="","",Ujian!C80)</f>
        <v/>
      </c>
      <c r="D73" s="98" t="str">
        <f>Ujian!BN80</f>
        <v/>
      </c>
      <c r="E73" s="99"/>
      <c r="F73" s="93" t="str">
        <f>Ujian!BP80</f>
        <v/>
      </c>
    </row>
    <row r="74" spans="1:6" s="100" customFormat="1" ht="18" customHeight="1" x14ac:dyDescent="0.25">
      <c r="A74" s="89">
        <v>72</v>
      </c>
      <c r="B74" s="96" t="str">
        <f>IF(Ujian!B81="","",Ujian!B81)</f>
        <v/>
      </c>
      <c r="C74" s="97" t="str">
        <f>IF(Ujian!C81="","",Ujian!C81)</f>
        <v/>
      </c>
      <c r="D74" s="98" t="str">
        <f>Ujian!BN81</f>
        <v/>
      </c>
      <c r="E74" s="99"/>
      <c r="F74" s="93" t="str">
        <f>Ujian!BP81</f>
        <v/>
      </c>
    </row>
    <row r="75" spans="1:6" s="100" customFormat="1" ht="18" customHeight="1" x14ac:dyDescent="0.25">
      <c r="A75" s="89">
        <v>73</v>
      </c>
      <c r="B75" s="96" t="str">
        <f>IF(Ujian!B82="","",Ujian!B82)</f>
        <v/>
      </c>
      <c r="C75" s="97" t="str">
        <f>IF(Ujian!C82="","",Ujian!C82)</f>
        <v/>
      </c>
      <c r="D75" s="98" t="str">
        <f>Ujian!BN82</f>
        <v/>
      </c>
      <c r="E75" s="99"/>
      <c r="F75" s="93" t="str">
        <f>Ujian!BP82</f>
        <v/>
      </c>
    </row>
    <row r="76" spans="1:6" s="100" customFormat="1" ht="18" customHeight="1" x14ac:dyDescent="0.25">
      <c r="A76" s="89">
        <v>74</v>
      </c>
      <c r="B76" s="96" t="str">
        <f>IF(Ujian!B83="","",Ujian!B83)</f>
        <v/>
      </c>
      <c r="C76" s="97" t="str">
        <f>IF(Ujian!C83="","",Ujian!C83)</f>
        <v/>
      </c>
      <c r="D76" s="98" t="str">
        <f>Ujian!BN83</f>
        <v/>
      </c>
      <c r="E76" s="99"/>
      <c r="F76" s="93" t="str">
        <f>Ujian!BP83</f>
        <v/>
      </c>
    </row>
    <row r="77" spans="1:6" s="100" customFormat="1" ht="18" customHeight="1" x14ac:dyDescent="0.25">
      <c r="A77" s="89">
        <v>75</v>
      </c>
      <c r="B77" s="96" t="str">
        <f>IF(Ujian!B84="","",Ujian!B84)</f>
        <v/>
      </c>
      <c r="C77" s="97" t="str">
        <f>IF(Ujian!C84="","",Ujian!C84)</f>
        <v/>
      </c>
      <c r="D77" s="98" t="str">
        <f>Ujian!BN84</f>
        <v/>
      </c>
      <c r="E77" s="99"/>
      <c r="F77" s="93" t="str">
        <f>Ujian!BP84</f>
        <v/>
      </c>
    </row>
    <row r="78" spans="1:6" s="100" customFormat="1" ht="18" customHeight="1" x14ac:dyDescent="0.25">
      <c r="A78" s="89">
        <v>76</v>
      </c>
      <c r="B78" s="96" t="str">
        <f>IF(Ujian!B85="","",Ujian!B85)</f>
        <v/>
      </c>
      <c r="C78" s="97" t="str">
        <f>IF(Ujian!C85="","",Ujian!C85)</f>
        <v/>
      </c>
      <c r="D78" s="98" t="str">
        <f>Ujian!BN85</f>
        <v/>
      </c>
      <c r="E78" s="99"/>
      <c r="F78" s="93" t="str">
        <f>Ujian!BP85</f>
        <v/>
      </c>
    </row>
    <row r="79" spans="1:6" s="100" customFormat="1" ht="18" customHeight="1" x14ac:dyDescent="0.25">
      <c r="A79" s="89">
        <v>77</v>
      </c>
      <c r="B79" s="96" t="str">
        <f>IF(Ujian!B86="","",Ujian!B86)</f>
        <v/>
      </c>
      <c r="C79" s="97" t="str">
        <f>IF(Ujian!C86="","",Ujian!C86)</f>
        <v/>
      </c>
      <c r="D79" s="98" t="str">
        <f>Ujian!BN86</f>
        <v/>
      </c>
      <c r="E79" s="99"/>
      <c r="F79" s="93" t="str">
        <f>Ujian!BP86</f>
        <v/>
      </c>
    </row>
    <row r="80" spans="1:6" s="100" customFormat="1" ht="18" customHeight="1" x14ac:dyDescent="0.25">
      <c r="A80" s="89">
        <v>78</v>
      </c>
      <c r="B80" s="96" t="str">
        <f>IF(Ujian!B87="","",Ujian!B87)</f>
        <v/>
      </c>
      <c r="C80" s="97" t="str">
        <f>IF(Ujian!C87="","",Ujian!C87)</f>
        <v/>
      </c>
      <c r="D80" s="98" t="str">
        <f>Ujian!BN87</f>
        <v/>
      </c>
      <c r="E80" s="99"/>
      <c r="F80" s="93" t="str">
        <f>Ujian!BP87</f>
        <v/>
      </c>
    </row>
    <row r="81" spans="1:6" s="100" customFormat="1" ht="18" customHeight="1" x14ac:dyDescent="0.25">
      <c r="A81" s="89">
        <v>79</v>
      </c>
      <c r="B81" s="96" t="str">
        <f>IF(Ujian!B88="","",Ujian!B88)</f>
        <v/>
      </c>
      <c r="C81" s="97" t="str">
        <f>IF(Ujian!C88="","",Ujian!C88)</f>
        <v/>
      </c>
      <c r="D81" s="98" t="str">
        <f>Ujian!BN88</f>
        <v/>
      </c>
      <c r="E81" s="99"/>
      <c r="F81" s="93" t="str">
        <f>Ujian!BP88</f>
        <v/>
      </c>
    </row>
    <row r="82" spans="1:6" s="100" customFormat="1" ht="18" customHeight="1" x14ac:dyDescent="0.25">
      <c r="A82" s="89">
        <v>80</v>
      </c>
      <c r="B82" s="96" t="str">
        <f>IF(Ujian!B89="","",Ujian!B89)</f>
        <v/>
      </c>
      <c r="C82" s="97" t="str">
        <f>IF(Ujian!C89="","",Ujian!C89)</f>
        <v/>
      </c>
      <c r="D82" s="98" t="str">
        <f>Ujian!BN89</f>
        <v/>
      </c>
      <c r="E82" s="99"/>
      <c r="F82" s="93" t="str">
        <f>Ujian!BP89</f>
        <v/>
      </c>
    </row>
    <row r="83" spans="1:6" s="100" customFormat="1" ht="18" customHeight="1" x14ac:dyDescent="0.25">
      <c r="A83" s="89">
        <v>81</v>
      </c>
      <c r="B83" s="96" t="str">
        <f>IF(Ujian!B90="","",Ujian!B90)</f>
        <v/>
      </c>
      <c r="C83" s="97" t="str">
        <f>IF(Ujian!C90="","",Ujian!C90)</f>
        <v/>
      </c>
      <c r="D83" s="98" t="str">
        <f>Ujian!BN90</f>
        <v/>
      </c>
      <c r="E83" s="99"/>
      <c r="F83" s="93" t="str">
        <f>Ujian!BP90</f>
        <v/>
      </c>
    </row>
    <row r="84" spans="1:6" s="100" customFormat="1" ht="18" customHeight="1" x14ac:dyDescent="0.25">
      <c r="A84" s="89">
        <v>82</v>
      </c>
      <c r="B84" s="96" t="str">
        <f>IF(Ujian!B91="","",Ujian!B91)</f>
        <v/>
      </c>
      <c r="C84" s="97" t="str">
        <f>IF(Ujian!C91="","",Ujian!C91)</f>
        <v/>
      </c>
      <c r="D84" s="98" t="str">
        <f>Ujian!BN91</f>
        <v/>
      </c>
      <c r="E84" s="99"/>
      <c r="F84" s="93" t="str">
        <f>Ujian!BP91</f>
        <v/>
      </c>
    </row>
    <row r="85" spans="1:6" s="100" customFormat="1" ht="18" customHeight="1" x14ac:dyDescent="0.25">
      <c r="A85" s="89">
        <v>83</v>
      </c>
      <c r="B85" s="96" t="str">
        <f>IF(Ujian!B92="","",Ujian!B92)</f>
        <v/>
      </c>
      <c r="C85" s="97" t="str">
        <f>IF(Ujian!C92="","",Ujian!C92)</f>
        <v/>
      </c>
      <c r="D85" s="98" t="str">
        <f>Ujian!BN92</f>
        <v/>
      </c>
      <c r="E85" s="99"/>
      <c r="F85" s="93" t="str">
        <f>Ujian!BP92</f>
        <v/>
      </c>
    </row>
    <row r="86" spans="1:6" s="100" customFormat="1" ht="18" customHeight="1" x14ac:dyDescent="0.25">
      <c r="A86" s="89">
        <v>84</v>
      </c>
      <c r="B86" s="96" t="str">
        <f>IF(Ujian!B93="","",Ujian!B93)</f>
        <v/>
      </c>
      <c r="C86" s="97" t="str">
        <f>IF(Ujian!C93="","",Ujian!C93)</f>
        <v/>
      </c>
      <c r="D86" s="98" t="str">
        <f>Ujian!BN93</f>
        <v/>
      </c>
      <c r="E86" s="99"/>
      <c r="F86" s="93" t="str">
        <f>Ujian!BP93</f>
        <v/>
      </c>
    </row>
    <row r="87" spans="1:6" s="100" customFormat="1" ht="18" customHeight="1" x14ac:dyDescent="0.25">
      <c r="A87" s="89">
        <v>85</v>
      </c>
      <c r="B87" s="96" t="str">
        <f>IF(Ujian!B94="","",Ujian!B94)</f>
        <v/>
      </c>
      <c r="C87" s="97" t="str">
        <f>IF(Ujian!C94="","",Ujian!C94)</f>
        <v/>
      </c>
      <c r="D87" s="98" t="str">
        <f>Ujian!BN94</f>
        <v/>
      </c>
      <c r="E87" s="99"/>
      <c r="F87" s="93" t="str">
        <f>Ujian!BP94</f>
        <v/>
      </c>
    </row>
    <row r="88" spans="1:6" s="100" customFormat="1" ht="18" customHeight="1" x14ac:dyDescent="0.25">
      <c r="A88" s="89">
        <v>86</v>
      </c>
      <c r="B88" s="96" t="str">
        <f>IF(Ujian!B95="","",Ujian!B95)</f>
        <v/>
      </c>
      <c r="C88" s="97" t="str">
        <f>IF(Ujian!C95="","",Ujian!C95)</f>
        <v/>
      </c>
      <c r="D88" s="98" t="str">
        <f>Ujian!BN95</f>
        <v/>
      </c>
      <c r="E88" s="99"/>
      <c r="F88" s="93" t="str">
        <f>Ujian!BP95</f>
        <v/>
      </c>
    </row>
    <row r="89" spans="1:6" s="100" customFormat="1" ht="18" customHeight="1" x14ac:dyDescent="0.25">
      <c r="A89" s="89">
        <v>87</v>
      </c>
      <c r="B89" s="96" t="str">
        <f>IF(Ujian!B96="","",Ujian!B96)</f>
        <v/>
      </c>
      <c r="C89" s="97" t="str">
        <f>IF(Ujian!C96="","",Ujian!C96)</f>
        <v/>
      </c>
      <c r="D89" s="98" t="str">
        <f>Ujian!BN96</f>
        <v/>
      </c>
      <c r="E89" s="99"/>
      <c r="F89" s="93" t="str">
        <f>Ujian!BP96</f>
        <v/>
      </c>
    </row>
    <row r="90" spans="1:6" s="100" customFormat="1" ht="18" customHeight="1" x14ac:dyDescent="0.25">
      <c r="A90" s="89">
        <v>88</v>
      </c>
      <c r="B90" s="96" t="str">
        <f>IF(Ujian!B97="","",Ujian!B97)</f>
        <v/>
      </c>
      <c r="C90" s="97" t="str">
        <f>IF(Ujian!C97="","",Ujian!C97)</f>
        <v/>
      </c>
      <c r="D90" s="98" t="str">
        <f>Ujian!BN97</f>
        <v/>
      </c>
      <c r="E90" s="99"/>
      <c r="F90" s="93" t="str">
        <f>Ujian!BP97</f>
        <v/>
      </c>
    </row>
    <row r="91" spans="1:6" s="100" customFormat="1" ht="18" customHeight="1" x14ac:dyDescent="0.25">
      <c r="A91" s="89">
        <v>89</v>
      </c>
      <c r="B91" s="96" t="str">
        <f>IF(Ujian!B98="","",Ujian!B98)</f>
        <v/>
      </c>
      <c r="C91" s="97" t="str">
        <f>IF(Ujian!C98="","",Ujian!C98)</f>
        <v/>
      </c>
      <c r="D91" s="98" t="str">
        <f>Ujian!BN98</f>
        <v/>
      </c>
      <c r="E91" s="99"/>
      <c r="F91" s="93" t="str">
        <f>Ujian!BP98</f>
        <v/>
      </c>
    </row>
    <row r="92" spans="1:6" s="100" customFormat="1" ht="18" customHeight="1" x14ac:dyDescent="0.25">
      <c r="A92" s="89">
        <v>90</v>
      </c>
      <c r="B92" s="96" t="str">
        <f>IF(Ujian!B99="","",Ujian!B99)</f>
        <v/>
      </c>
      <c r="C92" s="97" t="str">
        <f>IF(Ujian!C99="","",Ujian!C99)</f>
        <v/>
      </c>
      <c r="D92" s="98" t="str">
        <f>Ujian!BN99</f>
        <v/>
      </c>
      <c r="E92" s="99"/>
      <c r="F92" s="93" t="str">
        <f>Ujian!BP99</f>
        <v/>
      </c>
    </row>
    <row r="93" spans="1:6" s="100" customFormat="1" ht="18" customHeight="1" x14ac:dyDescent="0.25">
      <c r="A93" s="89">
        <v>91</v>
      </c>
      <c r="B93" s="96" t="str">
        <f>IF(Ujian!B100="","",Ujian!B100)</f>
        <v/>
      </c>
      <c r="C93" s="97" t="str">
        <f>IF(Ujian!C100="","",Ujian!C100)</f>
        <v/>
      </c>
      <c r="D93" s="98" t="str">
        <f>Ujian!BN100</f>
        <v/>
      </c>
      <c r="E93" s="99"/>
      <c r="F93" s="93" t="str">
        <f>Ujian!BP100</f>
        <v/>
      </c>
    </row>
    <row r="94" spans="1:6" s="100" customFormat="1" ht="18" customHeight="1" x14ac:dyDescent="0.25">
      <c r="A94" s="89">
        <v>92</v>
      </c>
      <c r="B94" s="96" t="str">
        <f>IF(Ujian!B101="","",Ujian!B101)</f>
        <v/>
      </c>
      <c r="C94" s="97" t="str">
        <f>IF(Ujian!C101="","",Ujian!C101)</f>
        <v/>
      </c>
      <c r="D94" s="98" t="str">
        <f>Ujian!BN101</f>
        <v/>
      </c>
      <c r="E94" s="99"/>
      <c r="F94" s="93" t="str">
        <f>Ujian!BP101</f>
        <v/>
      </c>
    </row>
    <row r="95" spans="1:6" s="100" customFormat="1" ht="18" customHeight="1" x14ac:dyDescent="0.25">
      <c r="A95" s="89">
        <v>93</v>
      </c>
      <c r="B95" s="96" t="str">
        <f>IF(Ujian!B102="","",Ujian!B102)</f>
        <v/>
      </c>
      <c r="C95" s="97" t="str">
        <f>IF(Ujian!C102="","",Ujian!C102)</f>
        <v/>
      </c>
      <c r="D95" s="98" t="str">
        <f>Ujian!BN102</f>
        <v/>
      </c>
      <c r="E95" s="99"/>
      <c r="F95" s="93" t="str">
        <f>Ujian!BP102</f>
        <v/>
      </c>
    </row>
    <row r="96" spans="1:6" s="100" customFormat="1" ht="18" customHeight="1" x14ac:dyDescent="0.25">
      <c r="A96" s="89">
        <v>94</v>
      </c>
      <c r="B96" s="96" t="str">
        <f>IF(Ujian!B103="","",Ujian!B103)</f>
        <v/>
      </c>
      <c r="C96" s="97" t="str">
        <f>IF(Ujian!C103="","",Ujian!C103)</f>
        <v/>
      </c>
      <c r="D96" s="98" t="str">
        <f>Ujian!BN103</f>
        <v/>
      </c>
      <c r="E96" s="99"/>
      <c r="F96" s="93" t="str">
        <f>Ujian!BP103</f>
        <v/>
      </c>
    </row>
    <row r="97" spans="1:6" s="100" customFormat="1" ht="18" customHeight="1" x14ac:dyDescent="0.25">
      <c r="A97" s="89">
        <v>95</v>
      </c>
      <c r="B97" s="96" t="str">
        <f>IF(Ujian!B104="","",Ujian!B104)</f>
        <v/>
      </c>
      <c r="C97" s="97" t="str">
        <f>IF(Ujian!C104="","",Ujian!C104)</f>
        <v/>
      </c>
      <c r="D97" s="98" t="str">
        <f>Ujian!BN104</f>
        <v/>
      </c>
      <c r="E97" s="99"/>
      <c r="F97" s="93" t="str">
        <f>Ujian!BP104</f>
        <v/>
      </c>
    </row>
    <row r="98" spans="1:6" s="100" customFormat="1" ht="18" customHeight="1" x14ac:dyDescent="0.25">
      <c r="A98" s="89">
        <v>96</v>
      </c>
      <c r="B98" s="96" t="str">
        <f>IF(Ujian!B105="","",Ujian!B105)</f>
        <v/>
      </c>
      <c r="C98" s="97" t="str">
        <f>IF(Ujian!C105="","",Ujian!C105)</f>
        <v/>
      </c>
      <c r="D98" s="98" t="str">
        <f>Ujian!BN105</f>
        <v/>
      </c>
      <c r="E98" s="99"/>
      <c r="F98" s="93" t="str">
        <f>Ujian!BP105</f>
        <v/>
      </c>
    </row>
    <row r="99" spans="1:6" s="100" customFormat="1" ht="18" customHeight="1" x14ac:dyDescent="0.25">
      <c r="A99" s="89">
        <v>97</v>
      </c>
      <c r="B99" s="96" t="str">
        <f>IF(Ujian!B106="","",Ujian!B106)</f>
        <v/>
      </c>
      <c r="C99" s="97" t="str">
        <f>IF(Ujian!C106="","",Ujian!C106)</f>
        <v/>
      </c>
      <c r="D99" s="98" t="str">
        <f>Ujian!BN106</f>
        <v/>
      </c>
      <c r="E99" s="99"/>
      <c r="F99" s="93" t="str">
        <f>Ujian!BP106</f>
        <v/>
      </c>
    </row>
    <row r="100" spans="1:6" s="100" customFormat="1" ht="18" customHeight="1" x14ac:dyDescent="0.25">
      <c r="A100" s="89">
        <v>98</v>
      </c>
      <c r="B100" s="96" t="str">
        <f>IF(Ujian!B107="","",Ujian!B107)</f>
        <v/>
      </c>
      <c r="C100" s="97" t="str">
        <f>IF(Ujian!C107="","",Ujian!C107)</f>
        <v/>
      </c>
      <c r="D100" s="98" t="str">
        <f>Ujian!BN107</f>
        <v/>
      </c>
      <c r="E100" s="99"/>
      <c r="F100" s="93" t="str">
        <f>Ujian!BP107</f>
        <v/>
      </c>
    </row>
    <row r="101" spans="1:6" s="100" customFormat="1" ht="18" customHeight="1" x14ac:dyDescent="0.25">
      <c r="A101" s="89">
        <v>99</v>
      </c>
      <c r="B101" s="96" t="str">
        <f>IF(Ujian!B108="","",Ujian!B108)</f>
        <v/>
      </c>
      <c r="C101" s="97" t="str">
        <f>IF(Ujian!C108="","",Ujian!C108)</f>
        <v/>
      </c>
      <c r="D101" s="98" t="str">
        <f>Ujian!BN108</f>
        <v/>
      </c>
      <c r="E101" s="99"/>
      <c r="F101" s="93" t="str">
        <f>Ujian!BP108</f>
        <v/>
      </c>
    </row>
    <row r="102" spans="1:6" s="100" customFormat="1" ht="18" customHeight="1" x14ac:dyDescent="0.25">
      <c r="A102" s="89">
        <v>100</v>
      </c>
      <c r="B102" s="96" t="str">
        <f>IF(Ujian!B109="","",Ujian!B109)</f>
        <v/>
      </c>
      <c r="C102" s="97" t="str">
        <f>IF(Ujian!C109="","",Ujian!C109)</f>
        <v/>
      </c>
      <c r="D102" s="98" t="str">
        <f>Ujian!BN109</f>
        <v/>
      </c>
      <c r="E102" s="99"/>
      <c r="F102" s="93" t="str">
        <f>Ujian!BP109</f>
        <v/>
      </c>
    </row>
    <row r="103" spans="1:6" s="100" customFormat="1" ht="18" customHeight="1" x14ac:dyDescent="0.25">
      <c r="A103" s="89">
        <v>101</v>
      </c>
      <c r="B103" s="96" t="str">
        <f>IF(Ujian!B110="","",Ujian!B110)</f>
        <v/>
      </c>
      <c r="C103" s="97" t="str">
        <f>IF(Ujian!C110="","",Ujian!C110)</f>
        <v/>
      </c>
      <c r="D103" s="98" t="str">
        <f>Ujian!BN110</f>
        <v/>
      </c>
      <c r="E103" s="99"/>
      <c r="F103" s="93" t="str">
        <f>Ujian!BP110</f>
        <v/>
      </c>
    </row>
    <row r="104" spans="1:6" s="100" customFormat="1" ht="18" customHeight="1" x14ac:dyDescent="0.25">
      <c r="A104" s="89">
        <v>102</v>
      </c>
      <c r="B104" s="96" t="str">
        <f>IF(Ujian!B111="","",Ujian!B111)</f>
        <v/>
      </c>
      <c r="C104" s="97" t="str">
        <f>IF(Ujian!C111="","",Ujian!C111)</f>
        <v/>
      </c>
      <c r="D104" s="98" t="str">
        <f>Ujian!BN111</f>
        <v/>
      </c>
      <c r="E104" s="99"/>
      <c r="F104" s="93" t="str">
        <f>Ujian!BP111</f>
        <v/>
      </c>
    </row>
    <row r="105" spans="1:6" s="100" customFormat="1" ht="18" customHeight="1" x14ac:dyDescent="0.25">
      <c r="A105" s="89">
        <v>103</v>
      </c>
      <c r="B105" s="96" t="str">
        <f>IF(Ujian!B112="","",Ujian!B112)</f>
        <v/>
      </c>
      <c r="C105" s="97" t="str">
        <f>IF(Ujian!C112="","",Ujian!C112)</f>
        <v/>
      </c>
      <c r="D105" s="98" t="str">
        <f>Ujian!BN112</f>
        <v/>
      </c>
      <c r="E105" s="99"/>
      <c r="F105" s="93" t="str">
        <f>Ujian!BP112</f>
        <v/>
      </c>
    </row>
    <row r="106" spans="1:6" s="100" customFormat="1" ht="18" customHeight="1" x14ac:dyDescent="0.25">
      <c r="A106" s="89">
        <v>104</v>
      </c>
      <c r="B106" s="96" t="str">
        <f>IF(Ujian!B113="","",Ujian!B113)</f>
        <v/>
      </c>
      <c r="C106" s="97" t="str">
        <f>IF(Ujian!C113="","",Ujian!C113)</f>
        <v/>
      </c>
      <c r="D106" s="98" t="str">
        <f>Ujian!BN113</f>
        <v/>
      </c>
      <c r="E106" s="99"/>
      <c r="F106" s="93" t="str">
        <f>Ujian!BP113</f>
        <v/>
      </c>
    </row>
    <row r="107" spans="1:6" s="100" customFormat="1" ht="18" customHeight="1" x14ac:dyDescent="0.25">
      <c r="A107" s="89">
        <v>105</v>
      </c>
      <c r="B107" s="96" t="str">
        <f>IF(Ujian!B114="","",Ujian!B114)</f>
        <v/>
      </c>
      <c r="C107" s="97" t="str">
        <f>IF(Ujian!C114="","",Ujian!C114)</f>
        <v/>
      </c>
      <c r="D107" s="98" t="str">
        <f>Ujian!BN114</f>
        <v/>
      </c>
      <c r="E107" s="99"/>
      <c r="F107" s="93" t="str">
        <f>Ujian!BP114</f>
        <v/>
      </c>
    </row>
    <row r="108" spans="1:6" s="100" customFormat="1" ht="18" customHeight="1" x14ac:dyDescent="0.25">
      <c r="A108" s="89">
        <v>106</v>
      </c>
      <c r="B108" s="96" t="str">
        <f>IF(Ujian!B115="","",Ujian!B115)</f>
        <v/>
      </c>
      <c r="C108" s="97" t="str">
        <f>IF(Ujian!C115="","",Ujian!C115)</f>
        <v/>
      </c>
      <c r="D108" s="98" t="str">
        <f>Ujian!BN115</f>
        <v/>
      </c>
      <c r="E108" s="99"/>
      <c r="F108" s="93" t="str">
        <f>Ujian!BP115</f>
        <v/>
      </c>
    </row>
    <row r="109" spans="1:6" s="100" customFormat="1" ht="18" customHeight="1" x14ac:dyDescent="0.25">
      <c r="A109" s="89">
        <v>107</v>
      </c>
      <c r="B109" s="96" t="str">
        <f>IF(Ujian!B116="","",Ujian!B116)</f>
        <v/>
      </c>
      <c r="C109" s="97" t="str">
        <f>IF(Ujian!C116="","",Ujian!C116)</f>
        <v/>
      </c>
      <c r="D109" s="98" t="str">
        <f>Ujian!BN116</f>
        <v/>
      </c>
      <c r="E109" s="99"/>
      <c r="F109" s="93" t="str">
        <f>Ujian!BP116</f>
        <v/>
      </c>
    </row>
    <row r="110" spans="1:6" s="100" customFormat="1" ht="18" customHeight="1" x14ac:dyDescent="0.25">
      <c r="A110" s="89">
        <v>108</v>
      </c>
      <c r="B110" s="96" t="str">
        <f>IF(Ujian!B117="","",Ujian!B117)</f>
        <v/>
      </c>
      <c r="C110" s="97" t="str">
        <f>IF(Ujian!C117="","",Ujian!C117)</f>
        <v/>
      </c>
      <c r="D110" s="98" t="str">
        <f>Ujian!BN117</f>
        <v/>
      </c>
      <c r="E110" s="99"/>
      <c r="F110" s="93" t="str">
        <f>Ujian!BP117</f>
        <v/>
      </c>
    </row>
    <row r="111" spans="1:6" s="100" customFormat="1" ht="18" customHeight="1" x14ac:dyDescent="0.25">
      <c r="A111" s="89">
        <v>109</v>
      </c>
      <c r="B111" s="96" t="str">
        <f>IF(Ujian!B118="","",Ujian!B118)</f>
        <v/>
      </c>
      <c r="C111" s="97" t="str">
        <f>IF(Ujian!C118="","",Ujian!C118)</f>
        <v/>
      </c>
      <c r="D111" s="98" t="str">
        <f>Ujian!BN118</f>
        <v/>
      </c>
      <c r="E111" s="99"/>
      <c r="F111" s="93" t="str">
        <f>Ujian!BP118</f>
        <v/>
      </c>
    </row>
    <row r="112" spans="1:6" s="100" customFormat="1" ht="18" customHeight="1" x14ac:dyDescent="0.25">
      <c r="A112" s="89">
        <v>110</v>
      </c>
      <c r="B112" s="96" t="str">
        <f>IF(Ujian!B119="","",Ujian!B119)</f>
        <v/>
      </c>
      <c r="C112" s="97" t="str">
        <f>IF(Ujian!C119="","",Ujian!C119)</f>
        <v/>
      </c>
      <c r="D112" s="98" t="str">
        <f>Ujian!BN119</f>
        <v/>
      </c>
      <c r="E112" s="99"/>
      <c r="F112" s="93" t="str">
        <f>Ujian!BP119</f>
        <v/>
      </c>
    </row>
    <row r="113" spans="1:6" s="100" customFormat="1" ht="18" customHeight="1" x14ac:dyDescent="0.25">
      <c r="A113" s="89">
        <v>111</v>
      </c>
      <c r="B113" s="96" t="str">
        <f>IF(Ujian!B120="","",Ujian!B120)</f>
        <v/>
      </c>
      <c r="C113" s="97" t="str">
        <f>IF(Ujian!C120="","",Ujian!C120)</f>
        <v/>
      </c>
      <c r="D113" s="98" t="str">
        <f>Ujian!BN120</f>
        <v/>
      </c>
      <c r="E113" s="99"/>
      <c r="F113" s="93" t="str">
        <f>Ujian!BP120</f>
        <v/>
      </c>
    </row>
    <row r="114" spans="1:6" s="100" customFormat="1" ht="18" customHeight="1" x14ac:dyDescent="0.25">
      <c r="A114" s="89">
        <v>112</v>
      </c>
      <c r="B114" s="96" t="str">
        <f>IF(Ujian!B121="","",Ujian!B121)</f>
        <v/>
      </c>
      <c r="C114" s="97" t="str">
        <f>IF(Ujian!C121="","",Ujian!C121)</f>
        <v/>
      </c>
      <c r="D114" s="98" t="str">
        <f>Ujian!BN121</f>
        <v/>
      </c>
      <c r="E114" s="99"/>
      <c r="F114" s="93" t="str">
        <f>Ujian!BP121</f>
        <v/>
      </c>
    </row>
    <row r="115" spans="1:6" s="100" customFormat="1" ht="18" customHeight="1" x14ac:dyDescent="0.25">
      <c r="A115" s="89">
        <v>113</v>
      </c>
      <c r="B115" s="96" t="str">
        <f>IF(Ujian!B122="","",Ujian!B122)</f>
        <v/>
      </c>
      <c r="C115" s="97" t="str">
        <f>IF(Ujian!C122="","",Ujian!C122)</f>
        <v/>
      </c>
      <c r="D115" s="98" t="str">
        <f>Ujian!BN122</f>
        <v/>
      </c>
      <c r="E115" s="99"/>
      <c r="F115" s="93" t="str">
        <f>Ujian!BP122</f>
        <v/>
      </c>
    </row>
    <row r="116" spans="1:6" s="100" customFormat="1" ht="18" customHeight="1" x14ac:dyDescent="0.25">
      <c r="A116" s="89">
        <v>114</v>
      </c>
      <c r="B116" s="96" t="str">
        <f>IF(Ujian!B123="","",Ujian!B123)</f>
        <v/>
      </c>
      <c r="C116" s="97" t="str">
        <f>IF(Ujian!C123="","",Ujian!C123)</f>
        <v/>
      </c>
      <c r="D116" s="98" t="str">
        <f>Ujian!BN123</f>
        <v/>
      </c>
      <c r="E116" s="99"/>
      <c r="F116" s="93" t="str">
        <f>Ujian!BP123</f>
        <v/>
      </c>
    </row>
    <row r="117" spans="1:6" s="100" customFormat="1" ht="18" customHeight="1" x14ac:dyDescent="0.25">
      <c r="A117" s="89">
        <v>115</v>
      </c>
      <c r="B117" s="96" t="str">
        <f>IF(Ujian!B124="","",Ujian!B124)</f>
        <v/>
      </c>
      <c r="C117" s="97" t="str">
        <f>IF(Ujian!C124="","",Ujian!C124)</f>
        <v/>
      </c>
      <c r="D117" s="98" t="str">
        <f>Ujian!BN124</f>
        <v/>
      </c>
      <c r="E117" s="99"/>
      <c r="F117" s="93" t="str">
        <f>Ujian!BP124</f>
        <v/>
      </c>
    </row>
    <row r="118" spans="1:6" s="100" customFormat="1" ht="18" customHeight="1" x14ac:dyDescent="0.25">
      <c r="A118" s="89">
        <v>116</v>
      </c>
      <c r="B118" s="96" t="str">
        <f>IF(Ujian!B125="","",Ujian!B125)</f>
        <v/>
      </c>
      <c r="C118" s="97" t="str">
        <f>IF(Ujian!C125="","",Ujian!C125)</f>
        <v/>
      </c>
      <c r="D118" s="98" t="str">
        <f>Ujian!BN125</f>
        <v/>
      </c>
      <c r="E118" s="99"/>
      <c r="F118" s="93" t="str">
        <f>Ujian!BP125</f>
        <v/>
      </c>
    </row>
    <row r="119" spans="1:6" s="100" customFormat="1" ht="18" customHeight="1" x14ac:dyDescent="0.25">
      <c r="A119" s="89">
        <v>117</v>
      </c>
      <c r="B119" s="96" t="str">
        <f>IF(Ujian!B126="","",Ujian!B126)</f>
        <v/>
      </c>
      <c r="C119" s="97" t="str">
        <f>IF(Ujian!C126="","",Ujian!C126)</f>
        <v/>
      </c>
      <c r="D119" s="98" t="str">
        <f>Ujian!BN126</f>
        <v/>
      </c>
      <c r="E119" s="99"/>
      <c r="F119" s="93" t="str">
        <f>Ujian!BP126</f>
        <v/>
      </c>
    </row>
    <row r="120" spans="1:6" s="100" customFormat="1" ht="18" customHeight="1" x14ac:dyDescent="0.25">
      <c r="A120" s="89">
        <v>118</v>
      </c>
      <c r="B120" s="96" t="str">
        <f>IF(Ujian!B127="","",Ujian!B127)</f>
        <v/>
      </c>
      <c r="C120" s="97" t="str">
        <f>IF(Ujian!C127="","",Ujian!C127)</f>
        <v/>
      </c>
      <c r="D120" s="98" t="str">
        <f>Ujian!BN127</f>
        <v/>
      </c>
      <c r="E120" s="99"/>
      <c r="F120" s="93" t="str">
        <f>Ujian!BP127</f>
        <v/>
      </c>
    </row>
    <row r="121" spans="1:6" s="100" customFormat="1" ht="18" customHeight="1" x14ac:dyDescent="0.25">
      <c r="A121" s="89">
        <v>119</v>
      </c>
      <c r="B121" s="96" t="str">
        <f>IF(Ujian!B128="","",Ujian!B128)</f>
        <v/>
      </c>
      <c r="C121" s="97" t="str">
        <f>IF(Ujian!C128="","",Ujian!C128)</f>
        <v/>
      </c>
      <c r="D121" s="98" t="str">
        <f>Ujian!BN128</f>
        <v/>
      </c>
      <c r="E121" s="99"/>
      <c r="F121" s="93" t="str">
        <f>Ujian!BP128</f>
        <v/>
      </c>
    </row>
    <row r="122" spans="1:6" s="100" customFormat="1" ht="18" customHeight="1" x14ac:dyDescent="0.25">
      <c r="A122" s="89">
        <v>120</v>
      </c>
      <c r="B122" s="96" t="str">
        <f>IF(Ujian!B129="","",Ujian!B129)</f>
        <v/>
      </c>
      <c r="C122" s="97" t="str">
        <f>IF(Ujian!C129="","",Ujian!C129)</f>
        <v/>
      </c>
      <c r="D122" s="98" t="str">
        <f>Ujian!BN129</f>
        <v/>
      </c>
      <c r="E122" s="99"/>
      <c r="F122" s="93" t="str">
        <f>Ujian!BP129</f>
        <v/>
      </c>
    </row>
    <row r="123" spans="1:6" s="100" customFormat="1" ht="18" customHeight="1" x14ac:dyDescent="0.25">
      <c r="A123" s="89">
        <v>121</v>
      </c>
      <c r="B123" s="96" t="str">
        <f>IF(Ujian!B130="","",Ujian!B130)</f>
        <v/>
      </c>
      <c r="C123" s="97" t="str">
        <f>IF(Ujian!C130="","",Ujian!C130)</f>
        <v/>
      </c>
      <c r="D123" s="98" t="str">
        <f>Ujian!BN130</f>
        <v/>
      </c>
      <c r="E123" s="99"/>
      <c r="F123" s="93" t="str">
        <f>Ujian!BP130</f>
        <v/>
      </c>
    </row>
    <row r="124" spans="1:6" s="100" customFormat="1" ht="18" customHeight="1" x14ac:dyDescent="0.25">
      <c r="A124" s="89">
        <v>122</v>
      </c>
      <c r="B124" s="96" t="str">
        <f>IF(Ujian!B131="","",Ujian!B131)</f>
        <v/>
      </c>
      <c r="C124" s="97" t="str">
        <f>IF(Ujian!C131="","",Ujian!C131)</f>
        <v/>
      </c>
      <c r="D124" s="98" t="str">
        <f>Ujian!BN131</f>
        <v/>
      </c>
      <c r="E124" s="99"/>
      <c r="F124" s="93" t="str">
        <f>Ujian!BP131</f>
        <v/>
      </c>
    </row>
    <row r="125" spans="1:6" s="100" customFormat="1" ht="18" customHeight="1" x14ac:dyDescent="0.25">
      <c r="A125" s="89">
        <v>123</v>
      </c>
      <c r="B125" s="96" t="str">
        <f>IF(Ujian!B132="","",Ujian!B132)</f>
        <v/>
      </c>
      <c r="C125" s="97" t="str">
        <f>IF(Ujian!C132="","",Ujian!C132)</f>
        <v/>
      </c>
      <c r="D125" s="98" t="str">
        <f>Ujian!BN132</f>
        <v/>
      </c>
      <c r="E125" s="99"/>
      <c r="F125" s="93" t="str">
        <f>Ujian!BP132</f>
        <v/>
      </c>
    </row>
    <row r="126" spans="1:6" s="100" customFormat="1" ht="18" customHeight="1" x14ac:dyDescent="0.25">
      <c r="A126" s="89">
        <v>124</v>
      </c>
      <c r="B126" s="96" t="str">
        <f>IF(Ujian!B133="","",Ujian!B133)</f>
        <v/>
      </c>
      <c r="C126" s="97" t="str">
        <f>IF(Ujian!C133="","",Ujian!C133)</f>
        <v/>
      </c>
      <c r="D126" s="98" t="str">
        <f>Ujian!BN133</f>
        <v/>
      </c>
      <c r="E126" s="99"/>
      <c r="F126" s="93" t="str">
        <f>Ujian!BP133</f>
        <v/>
      </c>
    </row>
    <row r="127" spans="1:6" s="100" customFormat="1" ht="18" customHeight="1" x14ac:dyDescent="0.25">
      <c r="A127" s="89">
        <v>125</v>
      </c>
      <c r="B127" s="96" t="str">
        <f>IF(Ujian!B134="","",Ujian!B134)</f>
        <v/>
      </c>
      <c r="C127" s="97" t="str">
        <f>IF(Ujian!C134="","",Ujian!C134)</f>
        <v/>
      </c>
      <c r="D127" s="98" t="str">
        <f>Ujian!BN134</f>
        <v/>
      </c>
      <c r="E127" s="99"/>
      <c r="F127" s="93" t="str">
        <f>Ujian!BP134</f>
        <v/>
      </c>
    </row>
    <row r="128" spans="1:6" s="100" customFormat="1" ht="18" customHeight="1" x14ac:dyDescent="0.25">
      <c r="A128" s="89">
        <v>126</v>
      </c>
      <c r="B128" s="96" t="str">
        <f>IF(Ujian!B135="","",Ujian!B135)</f>
        <v/>
      </c>
      <c r="C128" s="97" t="str">
        <f>IF(Ujian!C135="","",Ujian!C135)</f>
        <v/>
      </c>
      <c r="D128" s="98" t="str">
        <f>Ujian!BN135</f>
        <v/>
      </c>
      <c r="E128" s="99"/>
      <c r="F128" s="93" t="str">
        <f>Ujian!BP135</f>
        <v/>
      </c>
    </row>
    <row r="129" spans="1:6" s="100" customFormat="1" ht="18" customHeight="1" x14ac:dyDescent="0.25">
      <c r="A129" s="89">
        <v>127</v>
      </c>
      <c r="B129" s="96" t="str">
        <f>IF(Ujian!B136="","",Ujian!B136)</f>
        <v/>
      </c>
      <c r="C129" s="97" t="str">
        <f>IF(Ujian!C136="","",Ujian!C136)</f>
        <v/>
      </c>
      <c r="D129" s="98" t="str">
        <f>Ujian!BN136</f>
        <v/>
      </c>
      <c r="E129" s="99"/>
      <c r="F129" s="93" t="str">
        <f>Ujian!BP136</f>
        <v/>
      </c>
    </row>
    <row r="130" spans="1:6" s="100" customFormat="1" ht="18" customHeight="1" x14ac:dyDescent="0.25">
      <c r="A130" s="89">
        <v>128</v>
      </c>
      <c r="B130" s="96" t="str">
        <f>IF(Ujian!B137="","",Ujian!B137)</f>
        <v/>
      </c>
      <c r="C130" s="97" t="str">
        <f>IF(Ujian!C137="","",Ujian!C137)</f>
        <v/>
      </c>
      <c r="D130" s="98" t="str">
        <f>Ujian!BN137</f>
        <v/>
      </c>
      <c r="E130" s="99"/>
      <c r="F130" s="93" t="str">
        <f>Ujian!BP137</f>
        <v/>
      </c>
    </row>
    <row r="131" spans="1:6" s="100" customFormat="1" ht="18" customHeight="1" x14ac:dyDescent="0.25">
      <c r="A131" s="89">
        <v>129</v>
      </c>
      <c r="B131" s="96" t="str">
        <f>IF(Ujian!B138="","",Ujian!B138)</f>
        <v/>
      </c>
      <c r="C131" s="97" t="str">
        <f>IF(Ujian!C138="","",Ujian!C138)</f>
        <v/>
      </c>
      <c r="D131" s="98" t="str">
        <f>Ujian!BN138</f>
        <v/>
      </c>
      <c r="E131" s="99"/>
      <c r="F131" s="93" t="str">
        <f>Ujian!BP138</f>
        <v/>
      </c>
    </row>
    <row r="132" spans="1:6" s="100" customFormat="1" ht="18" customHeight="1" x14ac:dyDescent="0.25">
      <c r="A132" s="89">
        <v>130</v>
      </c>
      <c r="B132" s="96" t="str">
        <f>IF(Ujian!B139="","",Ujian!B139)</f>
        <v/>
      </c>
      <c r="C132" s="97" t="str">
        <f>IF(Ujian!C139="","",Ujian!C139)</f>
        <v/>
      </c>
      <c r="D132" s="98" t="str">
        <f>Ujian!BN139</f>
        <v/>
      </c>
      <c r="E132" s="99"/>
      <c r="F132" s="93" t="str">
        <f>Ujian!BP139</f>
        <v/>
      </c>
    </row>
    <row r="133" spans="1:6" s="100" customFormat="1" ht="18" customHeight="1" x14ac:dyDescent="0.25">
      <c r="A133" s="89">
        <v>131</v>
      </c>
      <c r="B133" s="96" t="str">
        <f>IF(Ujian!B140="","",Ujian!B140)</f>
        <v/>
      </c>
      <c r="C133" s="97" t="str">
        <f>IF(Ujian!C140="","",Ujian!C140)</f>
        <v/>
      </c>
      <c r="D133" s="98" t="str">
        <f>Ujian!BN140</f>
        <v/>
      </c>
      <c r="E133" s="99"/>
      <c r="F133" s="93" t="str">
        <f>Ujian!BP140</f>
        <v/>
      </c>
    </row>
    <row r="134" spans="1:6" s="100" customFormat="1" ht="18" customHeight="1" x14ac:dyDescent="0.25">
      <c r="A134" s="89">
        <v>132</v>
      </c>
      <c r="B134" s="96" t="str">
        <f>IF(Ujian!B141="","",Ujian!B141)</f>
        <v/>
      </c>
      <c r="C134" s="97" t="str">
        <f>IF(Ujian!C141="","",Ujian!C141)</f>
        <v/>
      </c>
      <c r="D134" s="98" t="str">
        <f>Ujian!BN141</f>
        <v/>
      </c>
      <c r="E134" s="99"/>
      <c r="F134" s="93" t="str">
        <f>Ujian!BP141</f>
        <v/>
      </c>
    </row>
    <row r="135" spans="1:6" s="100" customFormat="1" ht="18" customHeight="1" x14ac:dyDescent="0.25">
      <c r="A135" s="89">
        <v>133</v>
      </c>
      <c r="B135" s="96" t="str">
        <f>IF(Ujian!B142="","",Ujian!B142)</f>
        <v/>
      </c>
      <c r="C135" s="97" t="str">
        <f>IF(Ujian!C142="","",Ujian!C142)</f>
        <v/>
      </c>
      <c r="D135" s="98" t="str">
        <f>Ujian!BN142</f>
        <v/>
      </c>
      <c r="E135" s="99"/>
      <c r="F135" s="93" t="str">
        <f>Ujian!BP142</f>
        <v/>
      </c>
    </row>
    <row r="136" spans="1:6" s="100" customFormat="1" ht="18" customHeight="1" x14ac:dyDescent="0.25">
      <c r="A136" s="89">
        <v>134</v>
      </c>
      <c r="B136" s="96" t="str">
        <f>IF(Ujian!B143="","",Ujian!B143)</f>
        <v/>
      </c>
      <c r="C136" s="97" t="str">
        <f>IF(Ujian!C143="","",Ujian!C143)</f>
        <v/>
      </c>
      <c r="D136" s="98" t="str">
        <f>Ujian!BN143</f>
        <v/>
      </c>
      <c r="E136" s="99"/>
      <c r="F136" s="93" t="str">
        <f>Ujian!BP143</f>
        <v/>
      </c>
    </row>
    <row r="137" spans="1:6" s="100" customFormat="1" ht="18" customHeight="1" x14ac:dyDescent="0.25">
      <c r="A137" s="89">
        <v>135</v>
      </c>
      <c r="B137" s="96" t="str">
        <f>IF(Ujian!B144="","",Ujian!B144)</f>
        <v/>
      </c>
      <c r="C137" s="97" t="str">
        <f>IF(Ujian!C144="","",Ujian!C144)</f>
        <v/>
      </c>
      <c r="D137" s="98" t="str">
        <f>Ujian!BN144</f>
        <v/>
      </c>
      <c r="E137" s="99"/>
      <c r="F137" s="93" t="str">
        <f>Ujian!BP144</f>
        <v/>
      </c>
    </row>
    <row r="138" spans="1:6" s="100" customFormat="1" ht="18" customHeight="1" x14ac:dyDescent="0.25">
      <c r="A138" s="89">
        <v>136</v>
      </c>
      <c r="B138" s="96" t="str">
        <f>IF(Ujian!B145="","",Ujian!B145)</f>
        <v/>
      </c>
      <c r="C138" s="97" t="str">
        <f>IF(Ujian!C145="","",Ujian!C145)</f>
        <v/>
      </c>
      <c r="D138" s="98" t="str">
        <f>Ujian!BN145</f>
        <v/>
      </c>
      <c r="E138" s="99"/>
      <c r="F138" s="93" t="str">
        <f>Ujian!BP145</f>
        <v/>
      </c>
    </row>
    <row r="139" spans="1:6" s="100" customFormat="1" ht="18" customHeight="1" x14ac:dyDescent="0.25">
      <c r="A139" s="89">
        <v>137</v>
      </c>
      <c r="B139" s="96" t="str">
        <f>IF(Ujian!B146="","",Ujian!B146)</f>
        <v/>
      </c>
      <c r="C139" s="97" t="str">
        <f>IF(Ujian!C146="","",Ujian!C146)</f>
        <v/>
      </c>
      <c r="D139" s="98" t="str">
        <f>Ujian!BN146</f>
        <v/>
      </c>
      <c r="E139" s="99"/>
      <c r="F139" s="93" t="str">
        <f>Ujian!BP146</f>
        <v/>
      </c>
    </row>
    <row r="140" spans="1:6" s="100" customFormat="1" ht="18" customHeight="1" x14ac:dyDescent="0.25">
      <c r="A140" s="89">
        <v>138</v>
      </c>
      <c r="B140" s="96" t="str">
        <f>IF(Ujian!B147="","",Ujian!B147)</f>
        <v/>
      </c>
      <c r="C140" s="97" t="str">
        <f>IF(Ujian!C147="","",Ujian!C147)</f>
        <v/>
      </c>
      <c r="D140" s="98" t="str">
        <f>Ujian!BN147</f>
        <v/>
      </c>
      <c r="E140" s="99"/>
      <c r="F140" s="93" t="str">
        <f>Ujian!BP147</f>
        <v/>
      </c>
    </row>
    <row r="141" spans="1:6" s="100" customFormat="1" ht="18" customHeight="1" x14ac:dyDescent="0.25">
      <c r="A141" s="89">
        <v>139</v>
      </c>
      <c r="B141" s="96" t="str">
        <f>IF(Ujian!B148="","",Ujian!B148)</f>
        <v/>
      </c>
      <c r="C141" s="97" t="str">
        <f>IF(Ujian!C148="","",Ujian!C148)</f>
        <v/>
      </c>
      <c r="D141" s="98" t="str">
        <f>Ujian!BN148</f>
        <v/>
      </c>
      <c r="E141" s="99"/>
      <c r="F141" s="93" t="str">
        <f>Ujian!BP148</f>
        <v/>
      </c>
    </row>
    <row r="142" spans="1:6" s="100" customFormat="1" ht="18" customHeight="1" x14ac:dyDescent="0.25">
      <c r="A142" s="89">
        <v>140</v>
      </c>
      <c r="B142" s="96" t="str">
        <f>IF(Ujian!B149="","",Ujian!B149)</f>
        <v/>
      </c>
      <c r="C142" s="97" t="str">
        <f>IF(Ujian!C149="","",Ujian!C149)</f>
        <v/>
      </c>
      <c r="D142" s="98" t="str">
        <f>Ujian!BN149</f>
        <v/>
      </c>
      <c r="E142" s="99"/>
      <c r="F142" s="93" t="str">
        <f>Ujian!BP149</f>
        <v/>
      </c>
    </row>
    <row r="143" spans="1:6" s="100" customFormat="1" ht="18" customHeight="1" x14ac:dyDescent="0.25">
      <c r="A143" s="89">
        <v>141</v>
      </c>
      <c r="B143" s="96" t="str">
        <f>IF(Ujian!B150="","",Ujian!B150)</f>
        <v/>
      </c>
      <c r="C143" s="97" t="str">
        <f>IF(Ujian!C150="","",Ujian!C150)</f>
        <v/>
      </c>
      <c r="D143" s="98" t="str">
        <f>Ujian!BN150</f>
        <v/>
      </c>
      <c r="E143" s="99"/>
      <c r="F143" s="93" t="str">
        <f>Ujian!BP150</f>
        <v/>
      </c>
    </row>
    <row r="144" spans="1:6" s="100" customFormat="1" ht="18" customHeight="1" x14ac:dyDescent="0.25">
      <c r="A144" s="89">
        <v>142</v>
      </c>
      <c r="B144" s="96" t="str">
        <f>IF(Ujian!B151="","",Ujian!B151)</f>
        <v/>
      </c>
      <c r="C144" s="97" t="str">
        <f>IF(Ujian!C151="","",Ujian!C151)</f>
        <v/>
      </c>
      <c r="D144" s="98" t="str">
        <f>Ujian!BN151</f>
        <v/>
      </c>
      <c r="E144" s="99"/>
      <c r="F144" s="93" t="str">
        <f>Ujian!BP151</f>
        <v/>
      </c>
    </row>
    <row r="145" spans="1:6" s="100" customFormat="1" ht="18" customHeight="1" x14ac:dyDescent="0.25">
      <c r="A145" s="89">
        <v>143</v>
      </c>
      <c r="B145" s="96" t="str">
        <f>IF(Ujian!B152="","",Ujian!B152)</f>
        <v/>
      </c>
      <c r="C145" s="97" t="str">
        <f>IF(Ujian!C152="","",Ujian!C152)</f>
        <v/>
      </c>
      <c r="D145" s="98" t="str">
        <f>Ujian!BN152</f>
        <v/>
      </c>
      <c r="E145" s="99"/>
      <c r="F145" s="93" t="str">
        <f>Ujian!BP152</f>
        <v/>
      </c>
    </row>
    <row r="146" spans="1:6" s="100" customFormat="1" ht="18" customHeight="1" x14ac:dyDescent="0.25">
      <c r="A146" s="89">
        <v>144</v>
      </c>
      <c r="B146" s="96" t="str">
        <f>IF(Ujian!B153="","",Ujian!B153)</f>
        <v/>
      </c>
      <c r="C146" s="97" t="str">
        <f>IF(Ujian!C153="","",Ujian!C153)</f>
        <v/>
      </c>
      <c r="D146" s="98" t="str">
        <f>Ujian!BN153</f>
        <v/>
      </c>
      <c r="E146" s="99"/>
      <c r="F146" s="93" t="str">
        <f>Ujian!BP153</f>
        <v/>
      </c>
    </row>
    <row r="147" spans="1:6" s="100" customFormat="1" ht="18" customHeight="1" x14ac:dyDescent="0.25">
      <c r="A147" s="89">
        <v>145</v>
      </c>
      <c r="B147" s="96" t="str">
        <f>IF(Ujian!B154="","",Ujian!B154)</f>
        <v/>
      </c>
      <c r="C147" s="97" t="str">
        <f>IF(Ujian!C154="","",Ujian!C154)</f>
        <v/>
      </c>
      <c r="D147" s="98" t="str">
        <f>Ujian!BN154</f>
        <v/>
      </c>
      <c r="E147" s="99"/>
      <c r="F147" s="93" t="str">
        <f>Ujian!BP154</f>
        <v/>
      </c>
    </row>
    <row r="148" spans="1:6" s="100" customFormat="1" ht="18" customHeight="1" x14ac:dyDescent="0.25">
      <c r="A148" s="89">
        <v>146</v>
      </c>
      <c r="B148" s="96" t="str">
        <f>IF(Ujian!B155="","",Ujian!B155)</f>
        <v/>
      </c>
      <c r="C148" s="97" t="str">
        <f>IF(Ujian!C155="","",Ujian!C155)</f>
        <v/>
      </c>
      <c r="D148" s="98" t="str">
        <f>Ujian!BN155</f>
        <v/>
      </c>
      <c r="E148" s="99"/>
      <c r="F148" s="93" t="str">
        <f>Ujian!BP155</f>
        <v/>
      </c>
    </row>
    <row r="149" spans="1:6" s="100" customFormat="1" ht="18" customHeight="1" x14ac:dyDescent="0.25">
      <c r="A149" s="89">
        <v>147</v>
      </c>
      <c r="B149" s="96" t="str">
        <f>IF(Ujian!B156="","",Ujian!B156)</f>
        <v/>
      </c>
      <c r="C149" s="97" t="str">
        <f>IF(Ujian!C156="","",Ujian!C156)</f>
        <v/>
      </c>
      <c r="D149" s="98" t="str">
        <f>Ujian!BN156</f>
        <v/>
      </c>
      <c r="E149" s="99"/>
      <c r="F149" s="93" t="str">
        <f>Ujian!BP156</f>
        <v/>
      </c>
    </row>
    <row r="150" spans="1:6" s="100" customFormat="1" ht="18" customHeight="1" x14ac:dyDescent="0.25">
      <c r="A150" s="89">
        <v>148</v>
      </c>
      <c r="B150" s="96" t="str">
        <f>IF(Ujian!B157="","",Ujian!B157)</f>
        <v/>
      </c>
      <c r="C150" s="97" t="str">
        <f>IF(Ujian!C157="","",Ujian!C157)</f>
        <v/>
      </c>
      <c r="D150" s="98" t="str">
        <f>Ujian!BN157</f>
        <v/>
      </c>
      <c r="E150" s="99"/>
      <c r="F150" s="93" t="str">
        <f>Ujian!BP157</f>
        <v/>
      </c>
    </row>
    <row r="151" spans="1:6" s="100" customFormat="1" ht="18" customHeight="1" x14ac:dyDescent="0.25">
      <c r="A151" s="89">
        <v>149</v>
      </c>
      <c r="B151" s="96" t="str">
        <f>IF(Ujian!B158="","",Ujian!B158)</f>
        <v/>
      </c>
      <c r="C151" s="97" t="str">
        <f>IF(Ujian!C158="","",Ujian!C158)</f>
        <v/>
      </c>
      <c r="D151" s="98" t="str">
        <f>Ujian!BN158</f>
        <v/>
      </c>
      <c r="E151" s="99"/>
      <c r="F151" s="93" t="str">
        <f>Ujian!BP158</f>
        <v/>
      </c>
    </row>
    <row r="152" spans="1:6" s="100" customFormat="1" ht="18" customHeight="1" x14ac:dyDescent="0.25">
      <c r="A152" s="89">
        <v>150</v>
      </c>
      <c r="B152" s="96" t="str">
        <f>IF(Ujian!B159="","",Ujian!B159)</f>
        <v/>
      </c>
      <c r="C152" s="97" t="str">
        <f>IF(Ujian!C159="","",Ujian!C159)</f>
        <v/>
      </c>
      <c r="D152" s="98" t="str">
        <f>Ujian!BN159</f>
        <v/>
      </c>
      <c r="E152" s="99"/>
      <c r="F152" s="93" t="str">
        <f>Ujian!BP159</f>
        <v/>
      </c>
    </row>
    <row r="153" spans="1:6" s="100" customFormat="1" ht="18" customHeight="1" x14ac:dyDescent="0.25">
      <c r="A153" s="89">
        <v>151</v>
      </c>
      <c r="B153" s="96" t="str">
        <f>IF(Ujian!B160="","",Ujian!B160)</f>
        <v/>
      </c>
      <c r="C153" s="97" t="str">
        <f>IF(Ujian!C160="","",Ujian!C160)</f>
        <v/>
      </c>
      <c r="D153" s="98" t="str">
        <f>Ujian!BN160</f>
        <v/>
      </c>
      <c r="E153" s="99"/>
      <c r="F153" s="93" t="str">
        <f>Ujian!BP160</f>
        <v/>
      </c>
    </row>
    <row r="154" spans="1:6" s="100" customFormat="1" ht="18" customHeight="1" x14ac:dyDescent="0.25">
      <c r="A154" s="89">
        <v>152</v>
      </c>
      <c r="B154" s="96" t="str">
        <f>IF(Ujian!B161="","",Ujian!B161)</f>
        <v/>
      </c>
      <c r="C154" s="97" t="str">
        <f>IF(Ujian!C161="","",Ujian!C161)</f>
        <v/>
      </c>
      <c r="D154" s="98" t="str">
        <f>Ujian!BN161</f>
        <v/>
      </c>
      <c r="E154" s="99"/>
      <c r="F154" s="93" t="str">
        <f>Ujian!BP161</f>
        <v/>
      </c>
    </row>
    <row r="155" spans="1:6" s="100" customFormat="1" ht="18" customHeight="1" x14ac:dyDescent="0.25">
      <c r="A155" s="89">
        <v>153</v>
      </c>
      <c r="B155" s="96" t="str">
        <f>IF(Ujian!B162="","",Ujian!B162)</f>
        <v/>
      </c>
      <c r="C155" s="97" t="str">
        <f>IF(Ujian!C162="","",Ujian!C162)</f>
        <v/>
      </c>
      <c r="D155" s="98" t="str">
        <f>Ujian!BN162</f>
        <v/>
      </c>
      <c r="E155" s="99"/>
      <c r="F155" s="93" t="str">
        <f>Ujian!BP162</f>
        <v/>
      </c>
    </row>
    <row r="156" spans="1:6" s="100" customFormat="1" ht="18" customHeight="1" x14ac:dyDescent="0.25">
      <c r="A156" s="89">
        <v>154</v>
      </c>
      <c r="B156" s="96" t="str">
        <f>IF(Ujian!B163="","",Ujian!B163)</f>
        <v/>
      </c>
      <c r="C156" s="97" t="str">
        <f>IF(Ujian!C163="","",Ujian!C163)</f>
        <v/>
      </c>
      <c r="D156" s="98" t="str">
        <f>Ujian!BN163</f>
        <v/>
      </c>
      <c r="E156" s="99"/>
      <c r="F156" s="93" t="str">
        <f>Ujian!BP163</f>
        <v/>
      </c>
    </row>
    <row r="157" spans="1:6" s="100" customFormat="1" ht="18" customHeight="1" x14ac:dyDescent="0.25">
      <c r="A157" s="89">
        <v>155</v>
      </c>
      <c r="B157" s="96" t="str">
        <f>IF(Ujian!B164="","",Ujian!B164)</f>
        <v/>
      </c>
      <c r="C157" s="97" t="str">
        <f>IF(Ujian!C164="","",Ujian!C164)</f>
        <v/>
      </c>
      <c r="D157" s="98" t="str">
        <f>Ujian!BN164</f>
        <v/>
      </c>
      <c r="E157" s="99"/>
      <c r="F157" s="93" t="str">
        <f>Ujian!BP164</f>
        <v/>
      </c>
    </row>
    <row r="158" spans="1:6" s="100" customFormat="1" ht="18" customHeight="1" x14ac:dyDescent="0.25">
      <c r="A158" s="89">
        <v>156</v>
      </c>
      <c r="B158" s="96" t="str">
        <f>IF(Ujian!B165="","",Ujian!B165)</f>
        <v/>
      </c>
      <c r="C158" s="97" t="str">
        <f>IF(Ujian!C165="","",Ujian!C165)</f>
        <v/>
      </c>
      <c r="D158" s="98" t="str">
        <f>Ujian!BN165</f>
        <v/>
      </c>
      <c r="E158" s="99"/>
      <c r="F158" s="93" t="str">
        <f>Ujian!BP165</f>
        <v/>
      </c>
    </row>
    <row r="159" spans="1:6" s="100" customFormat="1" ht="18" customHeight="1" x14ac:dyDescent="0.25">
      <c r="A159" s="89">
        <v>157</v>
      </c>
      <c r="B159" s="96" t="str">
        <f>IF(Ujian!B166="","",Ujian!B166)</f>
        <v/>
      </c>
      <c r="C159" s="97" t="str">
        <f>IF(Ujian!C166="","",Ujian!C166)</f>
        <v/>
      </c>
      <c r="D159" s="98" t="str">
        <f>Ujian!BN166</f>
        <v/>
      </c>
      <c r="E159" s="99"/>
      <c r="F159" s="93" t="str">
        <f>Ujian!BP166</f>
        <v/>
      </c>
    </row>
    <row r="160" spans="1:6" s="100" customFormat="1" ht="18" customHeight="1" x14ac:dyDescent="0.25">
      <c r="A160" s="89">
        <v>158</v>
      </c>
      <c r="B160" s="96" t="str">
        <f>IF(Ujian!B167="","",Ujian!B167)</f>
        <v/>
      </c>
      <c r="C160" s="97" t="str">
        <f>IF(Ujian!C167="","",Ujian!C167)</f>
        <v/>
      </c>
      <c r="D160" s="98" t="str">
        <f>Ujian!BN167</f>
        <v/>
      </c>
      <c r="E160" s="99"/>
      <c r="F160" s="93" t="str">
        <f>Ujian!BP167</f>
        <v/>
      </c>
    </row>
    <row r="161" spans="1:6" s="100" customFormat="1" ht="18" customHeight="1" x14ac:dyDescent="0.25">
      <c r="A161" s="89">
        <v>159</v>
      </c>
      <c r="B161" s="96" t="str">
        <f>IF(Ujian!B168="","",Ujian!B168)</f>
        <v/>
      </c>
      <c r="C161" s="97" t="str">
        <f>IF(Ujian!C168="","",Ujian!C168)</f>
        <v/>
      </c>
      <c r="D161" s="98" t="str">
        <f>Ujian!BN168</f>
        <v/>
      </c>
      <c r="E161" s="99"/>
      <c r="F161" s="93" t="str">
        <f>Ujian!BP168</f>
        <v/>
      </c>
    </row>
    <row r="162" spans="1:6" s="100" customFormat="1" ht="18" customHeight="1" x14ac:dyDescent="0.25">
      <c r="A162" s="89">
        <v>160</v>
      </c>
      <c r="B162" s="96" t="str">
        <f>IF(Ujian!B169="","",Ujian!B169)</f>
        <v/>
      </c>
      <c r="C162" s="97" t="str">
        <f>IF(Ujian!C169="","",Ujian!C169)</f>
        <v/>
      </c>
      <c r="D162" s="98" t="str">
        <f>Ujian!BN169</f>
        <v/>
      </c>
      <c r="E162" s="99"/>
      <c r="F162" s="93" t="str">
        <f>Ujian!BP169</f>
        <v/>
      </c>
    </row>
    <row r="163" spans="1:6" s="100" customFormat="1" ht="18" customHeight="1" x14ac:dyDescent="0.25">
      <c r="A163" s="89">
        <v>161</v>
      </c>
      <c r="B163" s="96" t="str">
        <f>IF(Ujian!B170="","",Ujian!B170)</f>
        <v/>
      </c>
      <c r="C163" s="97" t="str">
        <f>IF(Ujian!C170="","",Ujian!C170)</f>
        <v/>
      </c>
      <c r="D163" s="98" t="str">
        <f>Ujian!BN170</f>
        <v/>
      </c>
      <c r="E163" s="99"/>
      <c r="F163" s="93" t="str">
        <f>Ujian!BP170</f>
        <v/>
      </c>
    </row>
    <row r="164" spans="1:6" s="100" customFormat="1" ht="18" customHeight="1" x14ac:dyDescent="0.25">
      <c r="A164" s="89">
        <v>162</v>
      </c>
      <c r="B164" s="96" t="str">
        <f>IF(Ujian!B171="","",Ujian!B171)</f>
        <v/>
      </c>
      <c r="C164" s="97" t="str">
        <f>IF(Ujian!C171="","",Ujian!C171)</f>
        <v/>
      </c>
      <c r="D164" s="98" t="str">
        <f>Ujian!BN171</f>
        <v/>
      </c>
      <c r="E164" s="99"/>
      <c r="F164" s="93" t="str">
        <f>Ujian!BP171</f>
        <v/>
      </c>
    </row>
    <row r="165" spans="1:6" s="100" customFormat="1" ht="18" customHeight="1" x14ac:dyDescent="0.25">
      <c r="A165" s="89">
        <v>163</v>
      </c>
      <c r="B165" s="96" t="str">
        <f>IF(Ujian!B172="","",Ujian!B172)</f>
        <v/>
      </c>
      <c r="C165" s="97" t="str">
        <f>IF(Ujian!C172="","",Ujian!C172)</f>
        <v/>
      </c>
      <c r="D165" s="98" t="str">
        <f>Ujian!BN172</f>
        <v/>
      </c>
      <c r="E165" s="99"/>
      <c r="F165" s="93" t="str">
        <f>Ujian!BP172</f>
        <v/>
      </c>
    </row>
    <row r="166" spans="1:6" s="100" customFormat="1" ht="18" customHeight="1" x14ac:dyDescent="0.25">
      <c r="A166" s="89">
        <v>164</v>
      </c>
      <c r="B166" s="96" t="str">
        <f>IF(Ujian!B173="","",Ujian!B173)</f>
        <v/>
      </c>
      <c r="C166" s="97" t="str">
        <f>IF(Ujian!C173="","",Ujian!C173)</f>
        <v/>
      </c>
      <c r="D166" s="98" t="str">
        <f>Ujian!BN173</f>
        <v/>
      </c>
      <c r="E166" s="99"/>
      <c r="F166" s="93" t="str">
        <f>Ujian!BP173</f>
        <v/>
      </c>
    </row>
    <row r="167" spans="1:6" s="100" customFormat="1" ht="18" customHeight="1" x14ac:dyDescent="0.25">
      <c r="A167" s="89">
        <v>165</v>
      </c>
      <c r="B167" s="96" t="str">
        <f>IF(Ujian!B174="","",Ujian!B174)</f>
        <v/>
      </c>
      <c r="C167" s="97" t="str">
        <f>IF(Ujian!C174="","",Ujian!C174)</f>
        <v/>
      </c>
      <c r="D167" s="98" t="str">
        <f>Ujian!BN174</f>
        <v/>
      </c>
      <c r="E167" s="99"/>
      <c r="F167" s="93" t="str">
        <f>Ujian!BP174</f>
        <v/>
      </c>
    </row>
    <row r="168" spans="1:6" s="100" customFormat="1" ht="18" customHeight="1" x14ac:dyDescent="0.25">
      <c r="A168" s="89">
        <v>166</v>
      </c>
      <c r="B168" s="96" t="str">
        <f>IF(Ujian!B175="","",Ujian!B175)</f>
        <v/>
      </c>
      <c r="C168" s="97" t="str">
        <f>IF(Ujian!C175="","",Ujian!C175)</f>
        <v/>
      </c>
      <c r="D168" s="98" t="str">
        <f>Ujian!BN175</f>
        <v/>
      </c>
      <c r="E168" s="99"/>
      <c r="F168" s="93" t="str">
        <f>Ujian!BP175</f>
        <v/>
      </c>
    </row>
    <row r="169" spans="1:6" s="100" customFormat="1" ht="18" customHeight="1" x14ac:dyDescent="0.25">
      <c r="A169" s="89">
        <v>167</v>
      </c>
      <c r="B169" s="96" t="str">
        <f>IF(Ujian!B176="","",Ujian!B176)</f>
        <v/>
      </c>
      <c r="C169" s="97" t="str">
        <f>IF(Ujian!C176="","",Ujian!C176)</f>
        <v/>
      </c>
      <c r="D169" s="98" t="str">
        <f>Ujian!BN176</f>
        <v/>
      </c>
      <c r="E169" s="99"/>
      <c r="F169" s="93" t="str">
        <f>Ujian!BP176</f>
        <v/>
      </c>
    </row>
    <row r="170" spans="1:6" s="100" customFormat="1" ht="18" customHeight="1" x14ac:dyDescent="0.25">
      <c r="A170" s="89">
        <v>168</v>
      </c>
      <c r="B170" s="96" t="str">
        <f>IF(Ujian!B177="","",Ujian!B177)</f>
        <v/>
      </c>
      <c r="C170" s="97" t="str">
        <f>IF(Ujian!C177="","",Ujian!C177)</f>
        <v/>
      </c>
      <c r="D170" s="98" t="str">
        <f>Ujian!BN177</f>
        <v/>
      </c>
      <c r="E170" s="99"/>
      <c r="F170" s="93" t="str">
        <f>Ujian!BP177</f>
        <v/>
      </c>
    </row>
    <row r="171" spans="1:6" s="100" customFormat="1" ht="18" customHeight="1" x14ac:dyDescent="0.25">
      <c r="A171" s="89">
        <v>169</v>
      </c>
      <c r="B171" s="96" t="str">
        <f>IF(Ujian!B178="","",Ujian!B178)</f>
        <v/>
      </c>
      <c r="C171" s="97" t="str">
        <f>IF(Ujian!C178="","",Ujian!C178)</f>
        <v/>
      </c>
      <c r="D171" s="98" t="str">
        <f>Ujian!BN178</f>
        <v/>
      </c>
      <c r="E171" s="99"/>
      <c r="F171" s="93" t="str">
        <f>Ujian!BP178</f>
        <v/>
      </c>
    </row>
    <row r="172" spans="1:6" s="100" customFormat="1" ht="18" customHeight="1" x14ac:dyDescent="0.25">
      <c r="A172" s="89">
        <v>170</v>
      </c>
      <c r="B172" s="96" t="str">
        <f>IF(Ujian!B179="","",Ujian!B179)</f>
        <v/>
      </c>
      <c r="C172" s="97" t="str">
        <f>IF(Ujian!C179="","",Ujian!C179)</f>
        <v/>
      </c>
      <c r="D172" s="98" t="str">
        <f>Ujian!BN179</f>
        <v/>
      </c>
      <c r="E172" s="99"/>
      <c r="F172" s="93" t="str">
        <f>Ujian!BP179</f>
        <v/>
      </c>
    </row>
    <row r="173" spans="1:6" s="100" customFormat="1" ht="18" customHeight="1" x14ac:dyDescent="0.25">
      <c r="A173" s="89">
        <v>171</v>
      </c>
      <c r="B173" s="96" t="str">
        <f>IF(Ujian!B180="","",Ujian!B180)</f>
        <v/>
      </c>
      <c r="C173" s="97" t="str">
        <f>IF(Ujian!C180="","",Ujian!C180)</f>
        <v/>
      </c>
      <c r="D173" s="98" t="str">
        <f>Ujian!BN180</f>
        <v/>
      </c>
      <c r="E173" s="99"/>
      <c r="F173" s="93" t="str">
        <f>Ujian!BP180</f>
        <v/>
      </c>
    </row>
    <row r="174" spans="1:6" s="100" customFormat="1" ht="18" customHeight="1" x14ac:dyDescent="0.25">
      <c r="A174" s="89">
        <v>172</v>
      </c>
      <c r="B174" s="96" t="str">
        <f>IF(Ujian!B181="","",Ujian!B181)</f>
        <v/>
      </c>
      <c r="C174" s="97" t="str">
        <f>IF(Ujian!C181="","",Ujian!C181)</f>
        <v/>
      </c>
      <c r="D174" s="98" t="str">
        <f>Ujian!BN181</f>
        <v/>
      </c>
      <c r="E174" s="99"/>
      <c r="F174" s="93" t="str">
        <f>Ujian!BP181</f>
        <v/>
      </c>
    </row>
    <row r="175" spans="1:6" s="100" customFormat="1" ht="18" customHeight="1" x14ac:dyDescent="0.25">
      <c r="A175" s="89">
        <v>173</v>
      </c>
      <c r="B175" s="96" t="str">
        <f>IF(Ujian!B182="","",Ujian!B182)</f>
        <v/>
      </c>
      <c r="C175" s="97" t="str">
        <f>IF(Ujian!C182="","",Ujian!C182)</f>
        <v/>
      </c>
      <c r="D175" s="98" t="str">
        <f>Ujian!BN182</f>
        <v/>
      </c>
      <c r="E175" s="99"/>
      <c r="F175" s="93" t="str">
        <f>Ujian!BP182</f>
        <v/>
      </c>
    </row>
    <row r="176" spans="1:6" s="100" customFormat="1" ht="18" customHeight="1" x14ac:dyDescent="0.25">
      <c r="A176" s="89">
        <v>174</v>
      </c>
      <c r="B176" s="96" t="str">
        <f>IF(Ujian!B183="","",Ujian!B183)</f>
        <v/>
      </c>
      <c r="C176" s="97" t="str">
        <f>IF(Ujian!C183="","",Ujian!C183)</f>
        <v/>
      </c>
      <c r="D176" s="98" t="str">
        <f>Ujian!BN183</f>
        <v/>
      </c>
      <c r="E176" s="99"/>
      <c r="F176" s="93" t="str">
        <f>Ujian!BP183</f>
        <v/>
      </c>
    </row>
    <row r="177" spans="1:6" s="100" customFormat="1" ht="18" customHeight="1" x14ac:dyDescent="0.25">
      <c r="A177" s="89">
        <v>175</v>
      </c>
      <c r="B177" s="96" t="str">
        <f>IF(Ujian!B184="","",Ujian!B184)</f>
        <v/>
      </c>
      <c r="C177" s="97" t="str">
        <f>IF(Ujian!C184="","",Ujian!C184)</f>
        <v/>
      </c>
      <c r="D177" s="98" t="str">
        <f>Ujian!BN184</f>
        <v/>
      </c>
      <c r="E177" s="99"/>
      <c r="F177" s="93" t="str">
        <f>Ujian!BP184</f>
        <v/>
      </c>
    </row>
    <row r="178" spans="1:6" s="100" customFormat="1" ht="18" customHeight="1" x14ac:dyDescent="0.25">
      <c r="A178" s="89">
        <v>176</v>
      </c>
      <c r="B178" s="96" t="str">
        <f>IF(Ujian!B185="","",Ujian!B185)</f>
        <v/>
      </c>
      <c r="C178" s="97" t="str">
        <f>IF(Ujian!C185="","",Ujian!C185)</f>
        <v/>
      </c>
      <c r="D178" s="98" t="str">
        <f>Ujian!BN185</f>
        <v/>
      </c>
      <c r="E178" s="99"/>
      <c r="F178" s="93" t="str">
        <f>Ujian!BP185</f>
        <v/>
      </c>
    </row>
    <row r="179" spans="1:6" s="100" customFormat="1" ht="18" customHeight="1" x14ac:dyDescent="0.25">
      <c r="A179" s="89">
        <v>177</v>
      </c>
      <c r="B179" s="96" t="str">
        <f>IF(Ujian!B186="","",Ujian!B186)</f>
        <v/>
      </c>
      <c r="C179" s="97" t="str">
        <f>IF(Ujian!C186="","",Ujian!C186)</f>
        <v/>
      </c>
      <c r="D179" s="98" t="str">
        <f>Ujian!BN186</f>
        <v/>
      </c>
      <c r="E179" s="99"/>
      <c r="F179" s="93" t="str">
        <f>Ujian!BP186</f>
        <v/>
      </c>
    </row>
    <row r="180" spans="1:6" s="100" customFormat="1" ht="18" customHeight="1" x14ac:dyDescent="0.25">
      <c r="A180" s="89">
        <v>178</v>
      </c>
      <c r="B180" s="96" t="str">
        <f>IF(Ujian!B187="","",Ujian!B187)</f>
        <v/>
      </c>
      <c r="C180" s="97" t="str">
        <f>IF(Ujian!C187="","",Ujian!C187)</f>
        <v/>
      </c>
      <c r="D180" s="98" t="str">
        <f>Ujian!BN187</f>
        <v/>
      </c>
      <c r="E180" s="99"/>
      <c r="F180" s="93" t="str">
        <f>Ujian!BP187</f>
        <v/>
      </c>
    </row>
    <row r="181" spans="1:6" s="100" customFormat="1" ht="18" customHeight="1" x14ac:dyDescent="0.25">
      <c r="A181" s="89">
        <v>179</v>
      </c>
      <c r="B181" s="96" t="str">
        <f>IF(Ujian!B188="","",Ujian!B188)</f>
        <v/>
      </c>
      <c r="C181" s="97" t="str">
        <f>IF(Ujian!C188="","",Ujian!C188)</f>
        <v/>
      </c>
      <c r="D181" s="98" t="str">
        <f>Ujian!BN188</f>
        <v/>
      </c>
      <c r="E181" s="99"/>
      <c r="F181" s="93" t="str">
        <f>Ujian!BP188</f>
        <v/>
      </c>
    </row>
    <row r="182" spans="1:6" s="100" customFormat="1" ht="18" customHeight="1" x14ac:dyDescent="0.25">
      <c r="A182" s="89">
        <v>180</v>
      </c>
      <c r="B182" s="96" t="str">
        <f>IF(Ujian!B189="","",Ujian!B189)</f>
        <v/>
      </c>
      <c r="C182" s="97" t="str">
        <f>IF(Ujian!C189="","",Ujian!C189)</f>
        <v/>
      </c>
      <c r="D182" s="98" t="str">
        <f>Ujian!BN189</f>
        <v/>
      </c>
      <c r="E182" s="99"/>
      <c r="F182" s="93" t="str">
        <f>Ujian!BP189</f>
        <v/>
      </c>
    </row>
    <row r="183" spans="1:6" s="100" customFormat="1" ht="18" customHeight="1" x14ac:dyDescent="0.25">
      <c r="A183" s="89">
        <v>181</v>
      </c>
      <c r="B183" s="96" t="str">
        <f>IF(Ujian!B190="","",Ujian!B190)</f>
        <v/>
      </c>
      <c r="C183" s="97" t="str">
        <f>IF(Ujian!C190="","",Ujian!C190)</f>
        <v/>
      </c>
      <c r="D183" s="98" t="str">
        <f>Ujian!BN190</f>
        <v/>
      </c>
      <c r="E183" s="99"/>
      <c r="F183" s="93" t="str">
        <f>Ujian!BP190</f>
        <v/>
      </c>
    </row>
    <row r="184" spans="1:6" s="100" customFormat="1" ht="18" customHeight="1" x14ac:dyDescent="0.25">
      <c r="A184" s="89">
        <v>182</v>
      </c>
      <c r="B184" s="96" t="str">
        <f>IF(Ujian!B191="","",Ujian!B191)</f>
        <v/>
      </c>
      <c r="C184" s="97" t="str">
        <f>IF(Ujian!C191="","",Ujian!C191)</f>
        <v/>
      </c>
      <c r="D184" s="98" t="str">
        <f>Ujian!BN191</f>
        <v/>
      </c>
      <c r="E184" s="99"/>
      <c r="F184" s="93" t="str">
        <f>Ujian!BP191</f>
        <v/>
      </c>
    </row>
    <row r="185" spans="1:6" s="100" customFormat="1" ht="18" customHeight="1" x14ac:dyDescent="0.25">
      <c r="A185" s="89">
        <v>183</v>
      </c>
      <c r="B185" s="96" t="str">
        <f>IF(Ujian!B192="","",Ujian!B192)</f>
        <v/>
      </c>
      <c r="C185" s="97" t="str">
        <f>IF(Ujian!C192="","",Ujian!C192)</f>
        <v/>
      </c>
      <c r="D185" s="98" t="str">
        <f>Ujian!BN192</f>
        <v/>
      </c>
      <c r="E185" s="99"/>
      <c r="F185" s="93" t="str">
        <f>Ujian!BP192</f>
        <v/>
      </c>
    </row>
    <row r="186" spans="1:6" s="100" customFormat="1" ht="18" customHeight="1" x14ac:dyDescent="0.25">
      <c r="A186" s="89">
        <v>184</v>
      </c>
      <c r="B186" s="96" t="str">
        <f>IF(Ujian!B193="","",Ujian!B193)</f>
        <v/>
      </c>
      <c r="C186" s="97" t="str">
        <f>IF(Ujian!C193="","",Ujian!C193)</f>
        <v/>
      </c>
      <c r="D186" s="98" t="str">
        <f>Ujian!BN193</f>
        <v/>
      </c>
      <c r="E186" s="99"/>
      <c r="F186" s="93" t="str">
        <f>Ujian!BP193</f>
        <v/>
      </c>
    </row>
    <row r="187" spans="1:6" s="100" customFormat="1" ht="18" customHeight="1" x14ac:dyDescent="0.25">
      <c r="A187" s="89">
        <v>185</v>
      </c>
      <c r="B187" s="96" t="str">
        <f>IF(Ujian!B194="","",Ujian!B194)</f>
        <v/>
      </c>
      <c r="C187" s="97" t="str">
        <f>IF(Ujian!C194="","",Ujian!C194)</f>
        <v/>
      </c>
      <c r="D187" s="98" t="str">
        <f>Ujian!BN194</f>
        <v/>
      </c>
      <c r="E187" s="99"/>
      <c r="F187" s="93" t="str">
        <f>Ujian!BP194</f>
        <v/>
      </c>
    </row>
    <row r="188" spans="1:6" s="100" customFormat="1" ht="18" customHeight="1" x14ac:dyDescent="0.25">
      <c r="A188" s="89">
        <v>186</v>
      </c>
      <c r="B188" s="96" t="str">
        <f>IF(Ujian!B195="","",Ujian!B195)</f>
        <v/>
      </c>
      <c r="C188" s="97" t="str">
        <f>IF(Ujian!C195="","",Ujian!C195)</f>
        <v/>
      </c>
      <c r="D188" s="98" t="str">
        <f>Ujian!BN195</f>
        <v/>
      </c>
      <c r="E188" s="99"/>
      <c r="F188" s="93" t="str">
        <f>Ujian!BP195</f>
        <v/>
      </c>
    </row>
    <row r="189" spans="1:6" s="100" customFormat="1" ht="18" customHeight="1" x14ac:dyDescent="0.25">
      <c r="A189" s="89">
        <v>187</v>
      </c>
      <c r="B189" s="96" t="str">
        <f>IF(Ujian!B196="","",Ujian!B196)</f>
        <v/>
      </c>
      <c r="C189" s="97" t="str">
        <f>IF(Ujian!C196="","",Ujian!C196)</f>
        <v/>
      </c>
      <c r="D189" s="98" t="str">
        <f>Ujian!BN196</f>
        <v/>
      </c>
      <c r="E189" s="99"/>
      <c r="F189" s="93" t="str">
        <f>Ujian!BP196</f>
        <v/>
      </c>
    </row>
    <row r="190" spans="1:6" s="100" customFormat="1" ht="18" customHeight="1" x14ac:dyDescent="0.25">
      <c r="A190" s="89">
        <v>188</v>
      </c>
      <c r="B190" s="96" t="str">
        <f>IF(Ujian!B197="","",Ujian!B197)</f>
        <v/>
      </c>
      <c r="C190" s="97" t="str">
        <f>IF(Ujian!C197="","",Ujian!C197)</f>
        <v/>
      </c>
      <c r="D190" s="98" t="str">
        <f>Ujian!BN197</f>
        <v/>
      </c>
      <c r="E190" s="99"/>
      <c r="F190" s="93" t="str">
        <f>Ujian!BP197</f>
        <v/>
      </c>
    </row>
    <row r="191" spans="1:6" s="100" customFormat="1" ht="18" customHeight="1" x14ac:dyDescent="0.25">
      <c r="A191" s="89">
        <v>189</v>
      </c>
      <c r="B191" s="96" t="str">
        <f>IF(Ujian!B198="","",Ujian!B198)</f>
        <v/>
      </c>
      <c r="C191" s="97" t="str">
        <f>IF(Ujian!C198="","",Ujian!C198)</f>
        <v/>
      </c>
      <c r="D191" s="98" t="str">
        <f>Ujian!BN198</f>
        <v/>
      </c>
      <c r="E191" s="99"/>
      <c r="F191" s="93" t="str">
        <f>Ujian!BP198</f>
        <v/>
      </c>
    </row>
    <row r="192" spans="1:6" s="100" customFormat="1" ht="18" customHeight="1" x14ac:dyDescent="0.25">
      <c r="A192" s="89">
        <v>190</v>
      </c>
      <c r="B192" s="96" t="str">
        <f>IF(Ujian!B199="","",Ujian!B199)</f>
        <v/>
      </c>
      <c r="C192" s="97" t="str">
        <f>IF(Ujian!C199="","",Ujian!C199)</f>
        <v/>
      </c>
      <c r="D192" s="98" t="str">
        <f>Ujian!BN199</f>
        <v/>
      </c>
      <c r="E192" s="99"/>
      <c r="F192" s="93" t="str">
        <f>Ujian!BP199</f>
        <v/>
      </c>
    </row>
    <row r="193" spans="1:6" s="100" customFormat="1" ht="18" customHeight="1" x14ac:dyDescent="0.25">
      <c r="A193" s="89">
        <v>191</v>
      </c>
      <c r="B193" s="96" t="str">
        <f>IF(Ujian!B200="","",Ujian!B200)</f>
        <v/>
      </c>
      <c r="C193" s="97" t="str">
        <f>IF(Ujian!C200="","",Ujian!C200)</f>
        <v/>
      </c>
      <c r="D193" s="98" t="str">
        <f>Ujian!BN200</f>
        <v/>
      </c>
      <c r="E193" s="99"/>
      <c r="F193" s="93" t="str">
        <f>Ujian!BP200</f>
        <v/>
      </c>
    </row>
    <row r="194" spans="1:6" s="100" customFormat="1" ht="18" customHeight="1" x14ac:dyDescent="0.25">
      <c r="A194" s="89">
        <v>192</v>
      </c>
      <c r="B194" s="96" t="str">
        <f>IF(Ujian!B201="","",Ujian!B201)</f>
        <v/>
      </c>
      <c r="C194" s="97" t="str">
        <f>IF(Ujian!C201="","",Ujian!C201)</f>
        <v/>
      </c>
      <c r="D194" s="98" t="str">
        <f>Ujian!BN201</f>
        <v/>
      </c>
      <c r="E194" s="99"/>
      <c r="F194" s="93" t="str">
        <f>Ujian!BP201</f>
        <v/>
      </c>
    </row>
    <row r="195" spans="1:6" s="100" customFormat="1" ht="18" customHeight="1" x14ac:dyDescent="0.25">
      <c r="A195" s="89">
        <v>193</v>
      </c>
      <c r="B195" s="96" t="str">
        <f>IF(Ujian!B202="","",Ujian!B202)</f>
        <v/>
      </c>
      <c r="C195" s="97" t="str">
        <f>IF(Ujian!C202="","",Ujian!C202)</f>
        <v/>
      </c>
      <c r="D195" s="98" t="str">
        <f>Ujian!BN202</f>
        <v/>
      </c>
      <c r="E195" s="99"/>
      <c r="F195" s="93" t="str">
        <f>Ujian!BP202</f>
        <v/>
      </c>
    </row>
    <row r="196" spans="1:6" s="100" customFormat="1" ht="18" customHeight="1" x14ac:dyDescent="0.25">
      <c r="A196" s="89">
        <v>194</v>
      </c>
      <c r="B196" s="96" t="str">
        <f>IF(Ujian!B203="","",Ujian!B203)</f>
        <v/>
      </c>
      <c r="C196" s="97" t="str">
        <f>IF(Ujian!C203="","",Ujian!C203)</f>
        <v/>
      </c>
      <c r="D196" s="98" t="str">
        <f>Ujian!BN203</f>
        <v/>
      </c>
      <c r="E196" s="99"/>
      <c r="F196" s="93" t="str">
        <f>Ujian!BP203</f>
        <v/>
      </c>
    </row>
    <row r="197" spans="1:6" s="100" customFormat="1" ht="18" customHeight="1" x14ac:dyDescent="0.25">
      <c r="A197" s="89">
        <v>195</v>
      </c>
      <c r="B197" s="96" t="str">
        <f>IF(Ujian!B204="","",Ujian!B204)</f>
        <v/>
      </c>
      <c r="C197" s="97" t="str">
        <f>IF(Ujian!C204="","",Ujian!C204)</f>
        <v/>
      </c>
      <c r="D197" s="98" t="str">
        <f>Ujian!BN204</f>
        <v/>
      </c>
      <c r="E197" s="99"/>
      <c r="F197" s="93" t="str">
        <f>Ujian!BP204</f>
        <v/>
      </c>
    </row>
    <row r="198" spans="1:6" s="100" customFormat="1" ht="18" customHeight="1" x14ac:dyDescent="0.25">
      <c r="A198" s="89">
        <v>196</v>
      </c>
      <c r="B198" s="96" t="str">
        <f>IF(Ujian!B205="","",Ujian!B205)</f>
        <v/>
      </c>
      <c r="C198" s="97" t="str">
        <f>IF(Ujian!C205="","",Ujian!C205)</f>
        <v/>
      </c>
      <c r="D198" s="98" t="str">
        <f>Ujian!BN205</f>
        <v/>
      </c>
      <c r="E198" s="99"/>
      <c r="F198" s="93" t="str">
        <f>Ujian!BP205</f>
        <v/>
      </c>
    </row>
    <row r="199" spans="1:6" s="100" customFormat="1" ht="18" customHeight="1" x14ac:dyDescent="0.25">
      <c r="A199" s="89">
        <v>197</v>
      </c>
      <c r="B199" s="96" t="str">
        <f>IF(Ujian!B206="","",Ujian!B206)</f>
        <v/>
      </c>
      <c r="C199" s="97" t="str">
        <f>IF(Ujian!C206="","",Ujian!C206)</f>
        <v/>
      </c>
      <c r="D199" s="98" t="str">
        <f>Ujian!BN206</f>
        <v/>
      </c>
      <c r="E199" s="99"/>
      <c r="F199" s="93" t="str">
        <f>Ujian!BP206</f>
        <v/>
      </c>
    </row>
    <row r="200" spans="1:6" s="100" customFormat="1" ht="18" customHeight="1" x14ac:dyDescent="0.25">
      <c r="A200" s="89">
        <v>198</v>
      </c>
      <c r="B200" s="96" t="str">
        <f>IF(Ujian!B207="","",Ujian!B207)</f>
        <v/>
      </c>
      <c r="C200" s="97" t="str">
        <f>IF(Ujian!C207="","",Ujian!C207)</f>
        <v/>
      </c>
      <c r="D200" s="98" t="str">
        <f>Ujian!BN207</f>
        <v/>
      </c>
      <c r="E200" s="99"/>
      <c r="F200" s="93" t="str">
        <f>Ujian!BP207</f>
        <v/>
      </c>
    </row>
    <row r="201" spans="1:6" s="100" customFormat="1" ht="18" customHeight="1" x14ac:dyDescent="0.25">
      <c r="A201" s="89">
        <v>199</v>
      </c>
      <c r="B201" s="96" t="str">
        <f>IF(Ujian!B208="","",Ujian!B208)</f>
        <v/>
      </c>
      <c r="C201" s="97" t="str">
        <f>IF(Ujian!C208="","",Ujian!C208)</f>
        <v/>
      </c>
      <c r="D201" s="98" t="str">
        <f>Ujian!BN208</f>
        <v/>
      </c>
      <c r="E201" s="99"/>
      <c r="F201" s="93" t="str">
        <f>Ujian!BP208</f>
        <v/>
      </c>
    </row>
    <row r="202" spans="1:6" s="100" customFormat="1" ht="18" customHeight="1" x14ac:dyDescent="0.25">
      <c r="A202" s="89">
        <v>200</v>
      </c>
      <c r="B202" s="96" t="str">
        <f>IF(Ujian!B209="","",Ujian!B209)</f>
        <v/>
      </c>
      <c r="C202" s="97" t="str">
        <f>IF(Ujian!C209="","",Ujian!C209)</f>
        <v/>
      </c>
      <c r="D202" s="98" t="str">
        <f>Ujian!BN209</f>
        <v/>
      </c>
      <c r="E202" s="99"/>
      <c r="F202" s="93" t="str">
        <f>Ujian!BP209</f>
        <v/>
      </c>
    </row>
    <row r="203" spans="1:6" s="100" customFormat="1" ht="18" customHeight="1" x14ac:dyDescent="0.25">
      <c r="A203" s="89">
        <v>201</v>
      </c>
      <c r="B203" s="96" t="str">
        <f>IF(Ujian!B210="","",Ujian!B210)</f>
        <v/>
      </c>
      <c r="C203" s="97" t="str">
        <f>IF(Ujian!C210="","",Ujian!C210)</f>
        <v/>
      </c>
      <c r="D203" s="98" t="str">
        <f>Ujian!BN210</f>
        <v/>
      </c>
      <c r="E203" s="99"/>
      <c r="F203" s="93" t="str">
        <f>Ujian!BP210</f>
        <v/>
      </c>
    </row>
    <row r="204" spans="1:6" s="100" customFormat="1" ht="18" customHeight="1" x14ac:dyDescent="0.25">
      <c r="A204" s="89">
        <v>202</v>
      </c>
      <c r="B204" s="96" t="str">
        <f>IF(Ujian!B211="","",Ujian!B211)</f>
        <v/>
      </c>
      <c r="C204" s="97" t="str">
        <f>IF(Ujian!C211="","",Ujian!C211)</f>
        <v/>
      </c>
      <c r="D204" s="98" t="str">
        <f>Ujian!BN211</f>
        <v/>
      </c>
      <c r="E204" s="99"/>
      <c r="F204" s="93" t="str">
        <f>Ujian!BP211</f>
        <v/>
      </c>
    </row>
    <row r="205" spans="1:6" s="100" customFormat="1" ht="18" customHeight="1" x14ac:dyDescent="0.25">
      <c r="A205" s="89">
        <v>203</v>
      </c>
      <c r="B205" s="96" t="str">
        <f>IF(Ujian!B212="","",Ujian!B212)</f>
        <v/>
      </c>
      <c r="C205" s="97" t="str">
        <f>IF(Ujian!C212="","",Ujian!C212)</f>
        <v/>
      </c>
      <c r="D205" s="98" t="str">
        <f>Ujian!BN212</f>
        <v/>
      </c>
      <c r="E205" s="99"/>
      <c r="F205" s="93" t="str">
        <f>Ujian!BP212</f>
        <v/>
      </c>
    </row>
    <row r="206" spans="1:6" s="100" customFormat="1" ht="18" customHeight="1" x14ac:dyDescent="0.25">
      <c r="A206" s="89">
        <v>204</v>
      </c>
      <c r="B206" s="96" t="str">
        <f>IF(Ujian!B213="","",Ujian!B213)</f>
        <v/>
      </c>
      <c r="C206" s="97" t="str">
        <f>IF(Ujian!C213="","",Ujian!C213)</f>
        <v/>
      </c>
      <c r="D206" s="98" t="str">
        <f>Ujian!BN213</f>
        <v/>
      </c>
      <c r="E206" s="99"/>
      <c r="F206" s="93" t="str">
        <f>Ujian!BP213</f>
        <v/>
      </c>
    </row>
    <row r="207" spans="1:6" s="100" customFormat="1" ht="18" customHeight="1" x14ac:dyDescent="0.25">
      <c r="A207" s="89">
        <v>205</v>
      </c>
      <c r="B207" s="96" t="str">
        <f>IF(Ujian!B214="","",Ujian!B214)</f>
        <v/>
      </c>
      <c r="C207" s="97" t="str">
        <f>IF(Ujian!C214="","",Ujian!C214)</f>
        <v/>
      </c>
      <c r="D207" s="98" t="str">
        <f>Ujian!BN214</f>
        <v/>
      </c>
      <c r="E207" s="99"/>
      <c r="F207" s="93" t="str">
        <f>Ujian!BP214</f>
        <v/>
      </c>
    </row>
    <row r="208" spans="1:6" s="100" customFormat="1" ht="18" customHeight="1" x14ac:dyDescent="0.25">
      <c r="A208" s="89">
        <v>206</v>
      </c>
      <c r="B208" s="96" t="str">
        <f>IF(Ujian!B215="","",Ujian!B215)</f>
        <v/>
      </c>
      <c r="C208" s="97" t="str">
        <f>IF(Ujian!C215="","",Ujian!C215)</f>
        <v/>
      </c>
      <c r="D208" s="98" t="str">
        <f>Ujian!BN215</f>
        <v/>
      </c>
      <c r="E208" s="99"/>
      <c r="F208" s="93" t="str">
        <f>Ujian!BP215</f>
        <v/>
      </c>
    </row>
    <row r="209" spans="1:6" s="100" customFormat="1" ht="18" customHeight="1" x14ac:dyDescent="0.25">
      <c r="A209" s="89">
        <v>207</v>
      </c>
      <c r="B209" s="96" t="str">
        <f>IF(Ujian!B216="","",Ujian!B216)</f>
        <v/>
      </c>
      <c r="C209" s="97" t="str">
        <f>IF(Ujian!C216="","",Ujian!C216)</f>
        <v/>
      </c>
      <c r="D209" s="98" t="str">
        <f>Ujian!BN216</f>
        <v/>
      </c>
      <c r="E209" s="99"/>
      <c r="F209" s="93" t="str">
        <f>Ujian!BP216</f>
        <v/>
      </c>
    </row>
    <row r="210" spans="1:6" s="100" customFormat="1" ht="18" customHeight="1" x14ac:dyDescent="0.25">
      <c r="A210" s="89">
        <v>208</v>
      </c>
      <c r="B210" s="96" t="str">
        <f>IF(Ujian!B217="","",Ujian!B217)</f>
        <v/>
      </c>
      <c r="C210" s="97" t="str">
        <f>IF(Ujian!C217="","",Ujian!C217)</f>
        <v/>
      </c>
      <c r="D210" s="98" t="str">
        <f>Ujian!BN217</f>
        <v/>
      </c>
      <c r="E210" s="99"/>
      <c r="F210" s="93" t="str">
        <f>Ujian!BP217</f>
        <v/>
      </c>
    </row>
    <row r="211" spans="1:6" s="100" customFormat="1" ht="18" customHeight="1" x14ac:dyDescent="0.25">
      <c r="A211" s="89">
        <v>209</v>
      </c>
      <c r="B211" s="96" t="str">
        <f>IF(Ujian!B218="","",Ujian!B218)</f>
        <v/>
      </c>
      <c r="C211" s="97" t="str">
        <f>IF(Ujian!C218="","",Ujian!C218)</f>
        <v/>
      </c>
      <c r="D211" s="98" t="str">
        <f>Ujian!BN218</f>
        <v/>
      </c>
      <c r="E211" s="99"/>
      <c r="F211" s="93" t="str">
        <f>Ujian!BP218</f>
        <v/>
      </c>
    </row>
    <row r="212" spans="1:6" s="100" customFormat="1" ht="18" customHeight="1" x14ac:dyDescent="0.25">
      <c r="A212" s="89">
        <v>210</v>
      </c>
      <c r="B212" s="96" t="str">
        <f>IF(Ujian!B219="","",Ujian!B219)</f>
        <v/>
      </c>
      <c r="C212" s="97" t="str">
        <f>IF(Ujian!C219="","",Ujian!C219)</f>
        <v/>
      </c>
      <c r="D212" s="98" t="str">
        <f>Ujian!BN219</f>
        <v/>
      </c>
      <c r="E212" s="99"/>
      <c r="F212" s="93" t="str">
        <f>Ujian!BP219</f>
        <v/>
      </c>
    </row>
    <row r="213" spans="1:6" s="100" customFormat="1" ht="18" customHeight="1" x14ac:dyDescent="0.25">
      <c r="A213" s="89">
        <v>211</v>
      </c>
      <c r="B213" s="96" t="str">
        <f>IF(Ujian!B220="","",Ujian!B220)</f>
        <v/>
      </c>
      <c r="C213" s="97" t="str">
        <f>IF(Ujian!C220="","",Ujian!C220)</f>
        <v/>
      </c>
      <c r="D213" s="98" t="str">
        <f>Ujian!BN220</f>
        <v/>
      </c>
      <c r="E213" s="99"/>
      <c r="F213" s="93" t="str">
        <f>Ujian!BP220</f>
        <v/>
      </c>
    </row>
    <row r="214" spans="1:6" s="100" customFormat="1" ht="18" customHeight="1" x14ac:dyDescent="0.25">
      <c r="A214" s="89">
        <v>212</v>
      </c>
      <c r="B214" s="96" t="str">
        <f>IF(Ujian!B221="","",Ujian!B221)</f>
        <v/>
      </c>
      <c r="C214" s="97" t="str">
        <f>IF(Ujian!C221="","",Ujian!C221)</f>
        <v/>
      </c>
      <c r="D214" s="98" t="str">
        <f>Ujian!BN221</f>
        <v/>
      </c>
      <c r="E214" s="99"/>
      <c r="F214" s="93" t="str">
        <f>Ujian!BP221</f>
        <v/>
      </c>
    </row>
    <row r="215" spans="1:6" s="100" customFormat="1" ht="18" customHeight="1" x14ac:dyDescent="0.25">
      <c r="A215" s="89">
        <v>213</v>
      </c>
      <c r="B215" s="96" t="str">
        <f>IF(Ujian!B222="","",Ujian!B222)</f>
        <v/>
      </c>
      <c r="C215" s="97" t="str">
        <f>IF(Ujian!C222="","",Ujian!C222)</f>
        <v/>
      </c>
      <c r="D215" s="98" t="str">
        <f>Ujian!BN222</f>
        <v/>
      </c>
      <c r="E215" s="99"/>
      <c r="F215" s="93" t="str">
        <f>Ujian!BP222</f>
        <v/>
      </c>
    </row>
    <row r="216" spans="1:6" s="100" customFormat="1" ht="18" customHeight="1" x14ac:dyDescent="0.25">
      <c r="A216" s="89">
        <v>214</v>
      </c>
      <c r="B216" s="96" t="str">
        <f>IF(Ujian!B223="","",Ujian!B223)</f>
        <v/>
      </c>
      <c r="C216" s="97" t="str">
        <f>IF(Ujian!C223="","",Ujian!C223)</f>
        <v/>
      </c>
      <c r="D216" s="98" t="str">
        <f>Ujian!BN223</f>
        <v/>
      </c>
      <c r="E216" s="99"/>
      <c r="F216" s="93" t="str">
        <f>Ujian!BP223</f>
        <v/>
      </c>
    </row>
    <row r="217" spans="1:6" s="100" customFormat="1" ht="18" customHeight="1" x14ac:dyDescent="0.25">
      <c r="A217" s="89">
        <v>215</v>
      </c>
      <c r="B217" s="96" t="str">
        <f>IF(Ujian!B224="","",Ujian!B224)</f>
        <v/>
      </c>
      <c r="C217" s="97" t="str">
        <f>IF(Ujian!C224="","",Ujian!C224)</f>
        <v/>
      </c>
      <c r="D217" s="98" t="str">
        <f>Ujian!BN224</f>
        <v/>
      </c>
      <c r="E217" s="99"/>
      <c r="F217" s="93" t="str">
        <f>Ujian!BP224</f>
        <v/>
      </c>
    </row>
    <row r="218" spans="1:6" s="100" customFormat="1" ht="18" customHeight="1" x14ac:dyDescent="0.25">
      <c r="A218" s="89">
        <v>216</v>
      </c>
      <c r="B218" s="96" t="str">
        <f>IF(Ujian!B225="","",Ujian!B225)</f>
        <v/>
      </c>
      <c r="C218" s="97" t="str">
        <f>IF(Ujian!C225="","",Ujian!C225)</f>
        <v/>
      </c>
      <c r="D218" s="98" t="str">
        <f>Ujian!BN225</f>
        <v/>
      </c>
      <c r="E218" s="99"/>
      <c r="F218" s="93" t="str">
        <f>Ujian!BP225</f>
        <v/>
      </c>
    </row>
    <row r="219" spans="1:6" s="100" customFormat="1" ht="18" customHeight="1" x14ac:dyDescent="0.25">
      <c r="A219" s="89">
        <v>217</v>
      </c>
      <c r="B219" s="96" t="str">
        <f>IF(Ujian!B226="","",Ujian!B226)</f>
        <v/>
      </c>
      <c r="C219" s="97" t="str">
        <f>IF(Ujian!C226="","",Ujian!C226)</f>
        <v/>
      </c>
      <c r="D219" s="98" t="str">
        <f>Ujian!BN226</f>
        <v/>
      </c>
      <c r="E219" s="99"/>
      <c r="F219" s="93" t="str">
        <f>Ujian!BP226</f>
        <v/>
      </c>
    </row>
    <row r="220" spans="1:6" s="100" customFormat="1" ht="18" customHeight="1" x14ac:dyDescent="0.25">
      <c r="A220" s="89">
        <v>218</v>
      </c>
      <c r="B220" s="96" t="str">
        <f>IF(Ujian!B227="","",Ujian!B227)</f>
        <v/>
      </c>
      <c r="C220" s="97" t="str">
        <f>IF(Ujian!C227="","",Ujian!C227)</f>
        <v/>
      </c>
      <c r="D220" s="98" t="str">
        <f>Ujian!BN227</f>
        <v/>
      </c>
      <c r="E220" s="99"/>
      <c r="F220" s="93" t="str">
        <f>Ujian!BP227</f>
        <v/>
      </c>
    </row>
    <row r="221" spans="1:6" s="100" customFormat="1" ht="18" customHeight="1" x14ac:dyDescent="0.25">
      <c r="A221" s="89">
        <v>219</v>
      </c>
      <c r="B221" s="96" t="str">
        <f>IF(Ujian!B228="","",Ujian!B228)</f>
        <v/>
      </c>
      <c r="C221" s="97" t="str">
        <f>IF(Ujian!C228="","",Ujian!C228)</f>
        <v/>
      </c>
      <c r="D221" s="98" t="str">
        <f>Ujian!BN228</f>
        <v/>
      </c>
      <c r="E221" s="99"/>
      <c r="F221" s="93" t="str">
        <f>Ujian!BP228</f>
        <v/>
      </c>
    </row>
    <row r="222" spans="1:6" s="100" customFormat="1" ht="18" customHeight="1" x14ac:dyDescent="0.25">
      <c r="A222" s="89">
        <v>220</v>
      </c>
      <c r="B222" s="96" t="str">
        <f>IF(Ujian!B229="","",Ujian!B229)</f>
        <v/>
      </c>
      <c r="C222" s="97" t="str">
        <f>IF(Ujian!C229="","",Ujian!C229)</f>
        <v/>
      </c>
      <c r="D222" s="98" t="str">
        <f>Ujian!BN229</f>
        <v/>
      </c>
      <c r="E222" s="99"/>
      <c r="F222" s="93" t="str">
        <f>Ujian!BP229</f>
        <v/>
      </c>
    </row>
    <row r="223" spans="1:6" x14ac:dyDescent="0.2"/>
    <row r="224" spans="1:6" x14ac:dyDescent="0.2"/>
    <row r="225" x14ac:dyDescent="0.2"/>
  </sheetData>
  <sheetProtection formatRows="0" selectLockedCells="1"/>
  <mergeCells count="4">
    <mergeCell ref="A1:A2"/>
    <mergeCell ref="B1:B2"/>
    <mergeCell ref="C1:C2"/>
    <mergeCell ref="F1:F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B818-C423-468C-BB70-72354B09678A}">
  <sheetPr codeName="Sheet6">
    <tabColor rgb="FFFFC000"/>
    <pageSetUpPr fitToPage="1"/>
  </sheetPr>
  <dimension ref="A1:H241"/>
  <sheetViews>
    <sheetView topLeftCell="A56" workbookViewId="0">
      <selection activeCell="D230" sqref="D230:G230"/>
    </sheetView>
  </sheetViews>
  <sheetFormatPr defaultColWidth="0" defaultRowHeight="15" zeroHeight="1" x14ac:dyDescent="0.2"/>
  <cols>
    <col min="1" max="1" width="4.42578125" style="5" customWidth="1"/>
    <col min="2" max="2" width="15.7109375" style="53" bestFit="1" customWidth="1"/>
    <col min="3" max="3" width="31.42578125" style="53" bestFit="1" customWidth="1"/>
    <col min="4" max="5" width="7.7109375" style="22" customWidth="1"/>
    <col min="6" max="6" width="11.28515625" style="22" customWidth="1"/>
    <col min="7" max="7" width="17.85546875" style="22" customWidth="1"/>
    <col min="8" max="8" width="0.7109375" style="5" customWidth="1"/>
    <col min="9" max="16384" width="9.140625" style="5" hidden="1"/>
  </cols>
  <sheetData>
    <row r="1" spans="1:7" x14ac:dyDescent="0.2">
      <c r="A1" s="212" t="s">
        <v>292</v>
      </c>
      <c r="B1" s="212"/>
      <c r="C1" s="212"/>
      <c r="D1" s="212"/>
      <c r="E1" s="212"/>
      <c r="F1" s="212"/>
      <c r="G1" s="212"/>
    </row>
    <row r="2" spans="1:7" x14ac:dyDescent="0.2">
      <c r="A2" s="52"/>
      <c r="B2" s="52"/>
      <c r="C2" s="52"/>
      <c r="D2" s="52"/>
      <c r="E2" s="52"/>
      <c r="F2" s="52"/>
      <c r="G2" s="31"/>
    </row>
    <row r="3" spans="1:7" ht="19.5" customHeight="1" x14ac:dyDescent="0.2">
      <c r="A3" s="213" t="s">
        <v>10</v>
      </c>
      <c r="B3" s="213"/>
      <c r="C3" s="5" t="str">
        <f>IF(DATA!$F$6="","",DATA!$F$4)</f>
        <v>BAHASA INGGRIS</v>
      </c>
      <c r="D3" s="52"/>
      <c r="E3" s="52"/>
      <c r="F3" s="52"/>
      <c r="G3" s="31"/>
    </row>
    <row r="4" spans="1:7" ht="19.5" customHeight="1" x14ac:dyDescent="0.2">
      <c r="A4" s="213" t="s">
        <v>11</v>
      </c>
      <c r="B4" s="213"/>
      <c r="C4" s="5" t="str">
        <f>IF(DATA!$F$6="","",DATA!$F$6)</f>
        <v>Abdul Hadi</v>
      </c>
      <c r="D4" s="52"/>
      <c r="E4" s="52"/>
      <c r="F4" s="52"/>
      <c r="G4" s="31"/>
    </row>
    <row r="5" spans="1:7" ht="19.5" customHeight="1" x14ac:dyDescent="0.2">
      <c r="A5" s="213" t="s">
        <v>12</v>
      </c>
      <c r="B5" s="213"/>
      <c r="C5" s="5" t="str">
        <f>DATA!$F$8&amp;" "&amp;DATA!$J$8</f>
        <v>XII SEMUA</v>
      </c>
      <c r="D5" s="52"/>
      <c r="E5" s="52"/>
      <c r="F5" s="52"/>
      <c r="G5" s="31"/>
    </row>
    <row r="6" spans="1:7" x14ac:dyDescent="0.2"/>
    <row r="7" spans="1:7" s="6" customFormat="1" ht="32.25" customHeight="1" x14ac:dyDescent="0.2">
      <c r="A7" s="54" t="s">
        <v>14</v>
      </c>
      <c r="B7" s="55" t="s">
        <v>15</v>
      </c>
      <c r="C7" s="55" t="s">
        <v>16</v>
      </c>
      <c r="D7" s="55" t="s">
        <v>262</v>
      </c>
      <c r="E7" s="55" t="s">
        <v>263</v>
      </c>
      <c r="F7" s="55" t="s">
        <v>293</v>
      </c>
      <c r="G7" s="55" t="s">
        <v>294</v>
      </c>
    </row>
    <row r="8" spans="1:7" s="56" customFormat="1" ht="26.25" customHeight="1" x14ac:dyDescent="0.25">
      <c r="A8" s="126">
        <f>IF(Ujian!A10="","",Ujian!A10)</f>
        <v>1</v>
      </c>
      <c r="B8" s="127">
        <f>IF(SEKOR!B3="","",SEKOR!B3)</f>
        <v>234586</v>
      </c>
      <c r="C8" s="127" t="str">
        <f>IF(SEKOR!C3="","",SEKOR!C3)</f>
        <v>  Ahmad Fahlipi</v>
      </c>
      <c r="D8" s="55">
        <f>IF(C8="","",SEKOR!BN3)</f>
        <v>25</v>
      </c>
      <c r="E8" s="55">
        <f>IF(C8="","",SEKOR!BO3)</f>
        <v>15</v>
      </c>
      <c r="F8" s="58">
        <f>SEKOR!BP3</f>
        <v>62.5</v>
      </c>
      <c r="G8" s="55" t="str">
        <f>IF($F8="","",IF(SEKOR!BU3&gt;=1,"TUNTAS","TIDAK TUNTAS"))</f>
        <v>TIDAK TUNTAS</v>
      </c>
    </row>
    <row r="9" spans="1:7" s="56" customFormat="1" ht="26.25" customHeight="1" x14ac:dyDescent="0.25">
      <c r="A9" s="126">
        <f>IF(Ujian!A11="","",Ujian!A11)</f>
        <v>2</v>
      </c>
      <c r="B9" s="127" t="str">
        <f>IF(SEKOR!B4="","",SEKOR!B4)</f>
        <v>  234595</v>
      </c>
      <c r="C9" s="127" t="str">
        <f>IF(SEKOR!C4="","",SEKOR!C4)</f>
        <v>  Amalia Rahayu</v>
      </c>
      <c r="D9" s="55">
        <f>IF(C9="","",SEKOR!BN4)</f>
        <v>30</v>
      </c>
      <c r="E9" s="55">
        <f>IF(C9="","",SEKOR!BO4)</f>
        <v>10</v>
      </c>
      <c r="F9" s="58">
        <f>SEKOR!BP4</f>
        <v>75</v>
      </c>
      <c r="G9" s="55" t="str">
        <f>IF($F9="","",IF(SEKOR!BU4&gt;=1,"TUNTAS","TIDAK TUNTAS"))</f>
        <v>TUNTAS</v>
      </c>
    </row>
    <row r="10" spans="1:7" s="56" customFormat="1" ht="26.25" customHeight="1" x14ac:dyDescent="0.25">
      <c r="A10" s="126">
        <f>IF(Ujian!A12="","",Ujian!A12)</f>
        <v>3</v>
      </c>
      <c r="B10" s="127" t="str">
        <f>IF(SEKOR!B5="","",SEKOR!B5)</f>
        <v>  234596</v>
      </c>
      <c r="C10" s="127" t="str">
        <f>IF(SEKOR!C5="","",SEKOR!C5)</f>
        <v>  Andhika</v>
      </c>
      <c r="D10" s="55">
        <f>IF(C10="","",SEKOR!BN5)</f>
        <v>21</v>
      </c>
      <c r="E10" s="55">
        <f>IF(C10="","",SEKOR!BO5)</f>
        <v>19</v>
      </c>
      <c r="F10" s="58">
        <f>SEKOR!BP5</f>
        <v>52.5</v>
      </c>
      <c r="G10" s="55" t="str">
        <f>IF($F10="","",IF(SEKOR!BU5&gt;=1,"TUNTAS","TIDAK TUNTAS"))</f>
        <v>TIDAK TUNTAS</v>
      </c>
    </row>
    <row r="11" spans="1:7" s="56" customFormat="1" ht="26.25" customHeight="1" x14ac:dyDescent="0.25">
      <c r="A11" s="126">
        <f>IF(Ujian!A13="","",Ujian!A13)</f>
        <v>4</v>
      </c>
      <c r="B11" s="127" t="str">
        <f>IF(SEKOR!B6="","",SEKOR!B6)</f>
        <v>  234601</v>
      </c>
      <c r="C11" s="127" t="str">
        <f>IF(SEKOR!C6="","",SEKOR!C6)</f>
        <v>  Bina Yanti</v>
      </c>
      <c r="D11" s="55">
        <f>IF(C11="","",SEKOR!BN6)</f>
        <v>26</v>
      </c>
      <c r="E11" s="55">
        <f>IF(C11="","",SEKOR!BO6)</f>
        <v>14</v>
      </c>
      <c r="F11" s="58">
        <f>SEKOR!BP6</f>
        <v>65</v>
      </c>
      <c r="G11" s="55" t="str">
        <f>IF($F11="","",IF(SEKOR!BU6&gt;=1,"TUNTAS","TIDAK TUNTAS"))</f>
        <v>TIDAK TUNTAS</v>
      </c>
    </row>
    <row r="12" spans="1:7" s="56" customFormat="1" ht="26.25" customHeight="1" x14ac:dyDescent="0.25">
      <c r="A12" s="126">
        <f>IF(Ujian!A14="","",Ujian!A14)</f>
        <v>5</v>
      </c>
      <c r="B12" s="127" t="str">
        <f>IF(SEKOR!B7="","",SEKOR!B7)</f>
        <v>  234602</v>
      </c>
      <c r="C12" s="127" t="str">
        <f>IF(SEKOR!C7="","",SEKOR!C7)</f>
        <v>  Desty Listianingsih</v>
      </c>
      <c r="D12" s="55">
        <f>IF(C12="","",SEKOR!BN7)</f>
        <v>17</v>
      </c>
      <c r="E12" s="55">
        <f>IF(C12="","",SEKOR!BO7)</f>
        <v>23</v>
      </c>
      <c r="F12" s="58">
        <f>SEKOR!BP7</f>
        <v>42.5</v>
      </c>
      <c r="G12" s="55" t="str">
        <f>IF($F12="","",IF(SEKOR!BU7&gt;=1,"TUNTAS","TIDAK TUNTAS"))</f>
        <v>TIDAK TUNTAS</v>
      </c>
    </row>
    <row r="13" spans="1:7" s="56" customFormat="1" ht="26.25" customHeight="1" x14ac:dyDescent="0.25">
      <c r="A13" s="126">
        <f>IF(Ujian!A15="","",Ujian!A15)</f>
        <v>6</v>
      </c>
      <c r="B13" s="127" t="str">
        <f>IF(SEKOR!B8="","",SEKOR!B8)</f>
        <v>  234610</v>
      </c>
      <c r="C13" s="127" t="str">
        <f>IF(SEKOR!C8="","",SEKOR!C8)</f>
        <v>  Gita Maghfirahalfariani</v>
      </c>
      <c r="D13" s="55">
        <f>IF(C13="","",SEKOR!BN8)</f>
        <v>15</v>
      </c>
      <c r="E13" s="55">
        <f>IF(C13="","",SEKOR!BO8)</f>
        <v>24</v>
      </c>
      <c r="F13" s="58">
        <f>SEKOR!BP8</f>
        <v>37.5</v>
      </c>
      <c r="G13" s="55" t="str">
        <f>IF($F13="","",IF(SEKOR!BU8&gt;=1,"TUNTAS","TIDAK TUNTAS"))</f>
        <v>TIDAK TUNTAS</v>
      </c>
    </row>
    <row r="14" spans="1:7" s="56" customFormat="1" ht="26.25" customHeight="1" x14ac:dyDescent="0.25">
      <c r="A14" s="126">
        <f>IF(Ujian!A16="","",Ujian!A16)</f>
        <v>7</v>
      </c>
      <c r="B14" s="127" t="str">
        <f>IF(SEKOR!B9="","",SEKOR!B9)</f>
        <v>  234622</v>
      </c>
      <c r="C14" s="127" t="str">
        <f>IF(SEKOR!C9="","",SEKOR!C9)</f>
        <v>  Juleha</v>
      </c>
      <c r="D14" s="55">
        <f>IF(C14="","",SEKOR!BN9)</f>
        <v>25</v>
      </c>
      <c r="E14" s="55">
        <f>IF(C14="","",SEKOR!BO9)</f>
        <v>14</v>
      </c>
      <c r="F14" s="58">
        <f>SEKOR!BP9</f>
        <v>62.5</v>
      </c>
      <c r="G14" s="55" t="str">
        <f>IF($F14="","",IF(SEKOR!BU9&gt;=1,"TUNTAS","TIDAK TUNTAS"))</f>
        <v>TIDAK TUNTAS</v>
      </c>
    </row>
    <row r="15" spans="1:7" s="56" customFormat="1" ht="26.25" customHeight="1" x14ac:dyDescent="0.25">
      <c r="A15" s="126">
        <f>IF(Ujian!A17="","",Ujian!A17)</f>
        <v>8</v>
      </c>
      <c r="B15" s="127" t="str">
        <f>IF(SEKOR!B10="","",SEKOR!B10)</f>
        <v>  234623</v>
      </c>
      <c r="C15" s="127" t="str">
        <f>IF(SEKOR!C10="","",SEKOR!C10)</f>
        <v>  Juwairiah</v>
      </c>
      <c r="D15" s="55">
        <f>IF(C15="","",SEKOR!BN10)</f>
        <v>15</v>
      </c>
      <c r="E15" s="55">
        <f>IF(C15="","",SEKOR!BO10)</f>
        <v>25</v>
      </c>
      <c r="F15" s="58">
        <f>SEKOR!BP10</f>
        <v>37.5</v>
      </c>
      <c r="G15" s="55" t="str">
        <f>IF($F15="","",IF(SEKOR!BU10&gt;=1,"TUNTAS","TIDAK TUNTAS"))</f>
        <v>TIDAK TUNTAS</v>
      </c>
    </row>
    <row r="16" spans="1:7" s="56" customFormat="1" ht="26.25" customHeight="1" x14ac:dyDescent="0.25">
      <c r="A16" s="126">
        <f>IF(Ujian!A18="","",Ujian!A18)</f>
        <v>9</v>
      </c>
      <c r="B16" s="127" t="str">
        <f>IF(SEKOR!B11="","",SEKOR!B11)</f>
        <v>  234633</v>
      </c>
      <c r="C16" s="127" t="str">
        <f>IF(SEKOR!C11="","",SEKOR!C11)</f>
        <v>  M. Rafiqi</v>
      </c>
      <c r="D16" s="55">
        <f>IF(C16="","",SEKOR!BN11)</f>
        <v>21</v>
      </c>
      <c r="E16" s="55">
        <f>IF(C16="","",SEKOR!BO11)</f>
        <v>19</v>
      </c>
      <c r="F16" s="58">
        <f>SEKOR!BP11</f>
        <v>52.5</v>
      </c>
      <c r="G16" s="55" t="str">
        <f>IF($F16="","",IF(SEKOR!BU11&gt;=1,"TUNTAS","TIDAK TUNTAS"))</f>
        <v>TIDAK TUNTAS</v>
      </c>
    </row>
    <row r="17" spans="1:7" s="56" customFormat="1" ht="26.25" customHeight="1" x14ac:dyDescent="0.25">
      <c r="A17" s="126">
        <f>IF(Ujian!A19="","",Ujian!A19)</f>
        <v>10</v>
      </c>
      <c r="B17" s="127" t="str">
        <f>IF(SEKOR!B12="","",SEKOR!B12)</f>
        <v>  234656</v>
      </c>
      <c r="C17" s="127" t="str">
        <f>IF(SEKOR!C12="","",SEKOR!C12)</f>
        <v>  Muhammad Hafiz Fadilah</v>
      </c>
      <c r="D17" s="55">
        <f>IF(C17="","",SEKOR!BN12)</f>
        <v>26</v>
      </c>
      <c r="E17" s="55">
        <f>IF(C17="","",SEKOR!BO12)</f>
        <v>14</v>
      </c>
      <c r="F17" s="58">
        <f>SEKOR!BP12</f>
        <v>65</v>
      </c>
      <c r="G17" s="55" t="str">
        <f>IF($F17="","",IF(SEKOR!BU12&gt;=1,"TUNTAS","TIDAK TUNTAS"))</f>
        <v>TIDAK TUNTAS</v>
      </c>
    </row>
    <row r="18" spans="1:7" s="56" customFormat="1" ht="26.25" customHeight="1" x14ac:dyDescent="0.25">
      <c r="A18" s="126">
        <f>IF(Ujian!A20="","",Ujian!A20)</f>
        <v>11</v>
      </c>
      <c r="B18" s="127" t="str">
        <f>IF(SEKOR!B13="","",SEKOR!B13)</f>
        <v>  234660</v>
      </c>
      <c r="C18" s="127" t="str">
        <f>IF(SEKOR!C13="","",SEKOR!C13)</f>
        <v>  Muhammad Iqbal Firdaus</v>
      </c>
      <c r="D18" s="55">
        <f>IF(C18="","",SEKOR!BN13)</f>
        <v>30</v>
      </c>
      <c r="E18" s="55">
        <f>IF(C18="","",SEKOR!BO13)</f>
        <v>10</v>
      </c>
      <c r="F18" s="58">
        <f>SEKOR!BP13</f>
        <v>75</v>
      </c>
      <c r="G18" s="55" t="str">
        <f>IF($F18="","",IF(SEKOR!BU13&gt;=1,"TUNTAS","TIDAK TUNTAS"))</f>
        <v>TUNTAS</v>
      </c>
    </row>
    <row r="19" spans="1:7" s="56" customFormat="1" ht="26.25" customHeight="1" x14ac:dyDescent="0.25">
      <c r="A19" s="126">
        <f>IF(Ujian!A21="","",Ujian!A21)</f>
        <v>12</v>
      </c>
      <c r="B19" s="127" t="str">
        <f>IF(SEKOR!B14="","",SEKOR!B14)</f>
        <v>  234661</v>
      </c>
      <c r="C19" s="127" t="str">
        <f>IF(SEKOR!C14="","",SEKOR!C14)</f>
        <v>  Muhammad Jamil</v>
      </c>
      <c r="D19" s="55">
        <f>IF(C19="","",SEKOR!BN14)</f>
        <v>18</v>
      </c>
      <c r="E19" s="55">
        <f>IF(C19="","",SEKOR!BO14)</f>
        <v>22</v>
      </c>
      <c r="F19" s="58">
        <f>SEKOR!BP14</f>
        <v>45</v>
      </c>
      <c r="G19" s="55" t="str">
        <f>IF($F19="","",IF(SEKOR!BU14&gt;=1,"TUNTAS","TIDAK TUNTAS"))</f>
        <v>TIDAK TUNTAS</v>
      </c>
    </row>
    <row r="20" spans="1:7" s="56" customFormat="1" ht="26.25" customHeight="1" x14ac:dyDescent="0.25">
      <c r="A20" s="126">
        <f>IF(Ujian!A22="","",Ujian!A22)</f>
        <v>13</v>
      </c>
      <c r="B20" s="127" t="str">
        <f>IF(SEKOR!B15="","",SEKOR!B15)</f>
        <v>  234662</v>
      </c>
      <c r="C20" s="127" t="str">
        <f>IF(SEKOR!C15="","",SEKOR!C15)</f>
        <v>  Muhammad Mubaraq</v>
      </c>
      <c r="D20" s="55">
        <f>IF(C20="","",SEKOR!BN15)</f>
        <v>26</v>
      </c>
      <c r="E20" s="55">
        <f>IF(C20="","",SEKOR!BO15)</f>
        <v>14</v>
      </c>
      <c r="F20" s="58">
        <f>SEKOR!BP15</f>
        <v>65</v>
      </c>
      <c r="G20" s="55" t="str">
        <f>IF($F20="","",IF(SEKOR!BU15&gt;=1,"TUNTAS","TIDAK TUNTAS"))</f>
        <v>TIDAK TUNTAS</v>
      </c>
    </row>
    <row r="21" spans="1:7" s="56" customFormat="1" ht="26.25" customHeight="1" x14ac:dyDescent="0.25">
      <c r="A21" s="126">
        <f>IF(Ujian!A23="","",Ujian!A23)</f>
        <v>14</v>
      </c>
      <c r="B21" s="127" t="str">
        <f>IF(SEKOR!B16="","",SEKOR!B16)</f>
        <v>  234632</v>
      </c>
      <c r="C21" s="127" t="str">
        <f>IF(SEKOR!C16="","",SEKOR!C16)</f>
        <v>  Muhammad Nazril Ilmi</v>
      </c>
      <c r="D21" s="55">
        <f>IF(C21="","",SEKOR!BN16)</f>
        <v>14</v>
      </c>
      <c r="E21" s="55">
        <f>IF(C21="","",SEKOR!BO16)</f>
        <v>25</v>
      </c>
      <c r="F21" s="58">
        <f>SEKOR!BP16</f>
        <v>35</v>
      </c>
      <c r="G21" s="55" t="str">
        <f>IF($F21="","",IF(SEKOR!BU16&gt;=1,"TUNTAS","TIDAK TUNTAS"))</f>
        <v>TIDAK TUNTAS</v>
      </c>
    </row>
    <row r="22" spans="1:7" s="56" customFormat="1" ht="26.25" customHeight="1" x14ac:dyDescent="0.25">
      <c r="A22" s="126">
        <f>IF(Ujian!A24="","",Ujian!A24)</f>
        <v>15</v>
      </c>
      <c r="B22" s="127" t="str">
        <f>IF(SEKOR!B17="","",SEKOR!B17)</f>
        <v>  234678</v>
      </c>
      <c r="C22" s="127" t="str">
        <f>IF(SEKOR!C17="","",SEKOR!C17)</f>
        <v>  Muthia Rima Putri</v>
      </c>
      <c r="D22" s="55">
        <f>IF(C22="","",SEKOR!BN17)</f>
        <v>26</v>
      </c>
      <c r="E22" s="55">
        <f>IF(C22="","",SEKOR!BO17)</f>
        <v>14</v>
      </c>
      <c r="F22" s="58">
        <f>SEKOR!BP17</f>
        <v>65</v>
      </c>
      <c r="G22" s="55" t="str">
        <f>IF($F22="","",IF(SEKOR!BU17&gt;=1,"TUNTAS","TIDAK TUNTAS"))</f>
        <v>TIDAK TUNTAS</v>
      </c>
    </row>
    <row r="23" spans="1:7" s="56" customFormat="1" ht="26.25" customHeight="1" x14ac:dyDescent="0.25">
      <c r="A23" s="126">
        <f>IF(Ujian!A25="","",Ujian!A25)</f>
        <v>16</v>
      </c>
      <c r="B23" s="127" t="str">
        <f>IF(SEKOR!B18="","",SEKOR!B18)</f>
        <v>  234680</v>
      </c>
      <c r="C23" s="127" t="str">
        <f>IF(SEKOR!C18="","",SEKOR!C18)</f>
        <v>  Nanda Mujlina Putri</v>
      </c>
      <c r="D23" s="55">
        <f>IF(C23="","",SEKOR!BN18)</f>
        <v>23</v>
      </c>
      <c r="E23" s="55">
        <f>IF(C23="","",SEKOR!BO18)</f>
        <v>17</v>
      </c>
      <c r="F23" s="58">
        <f>SEKOR!BP18</f>
        <v>57.499999999999993</v>
      </c>
      <c r="G23" s="55" t="str">
        <f>IF($F23="","",IF(SEKOR!BU18&gt;=1,"TUNTAS","TIDAK TUNTAS"))</f>
        <v>TIDAK TUNTAS</v>
      </c>
    </row>
    <row r="24" spans="1:7" s="56" customFormat="1" ht="26.25" customHeight="1" x14ac:dyDescent="0.25">
      <c r="A24" s="126">
        <f>IF(Ujian!A26="","",Ujian!A26)</f>
        <v>17</v>
      </c>
      <c r="B24" s="127" t="str">
        <f>IF(SEKOR!B19="","",SEKOR!B19)</f>
        <v>  234685</v>
      </c>
      <c r="C24" s="127" t="str">
        <f>IF(SEKOR!C19="","",SEKOR!C19)</f>
        <v>  Noor Andini</v>
      </c>
      <c r="D24" s="55">
        <f>IF(C24="","",SEKOR!BN19)</f>
        <v>19</v>
      </c>
      <c r="E24" s="55">
        <f>IF(C24="","",SEKOR!BO19)</f>
        <v>21</v>
      </c>
      <c r="F24" s="58">
        <f>SEKOR!BP19</f>
        <v>47.5</v>
      </c>
      <c r="G24" s="55" t="str">
        <f>IF($F24="","",IF(SEKOR!BU19&gt;=1,"TUNTAS","TIDAK TUNTAS"))</f>
        <v>TIDAK TUNTAS</v>
      </c>
    </row>
    <row r="25" spans="1:7" s="56" customFormat="1" ht="26.25" customHeight="1" x14ac:dyDescent="0.25">
      <c r="A25" s="126">
        <f>IF(Ujian!A27="","",Ujian!A27)</f>
        <v>18</v>
      </c>
      <c r="B25" s="127" t="str">
        <f>IF(SEKOR!B20="","",SEKOR!B20)</f>
        <v>  234695</v>
      </c>
      <c r="C25" s="127" t="str">
        <f>IF(SEKOR!C20="","",SEKOR!C20)</f>
        <v>  Nurhayanti</v>
      </c>
      <c r="D25" s="55">
        <f>IF(C25="","",SEKOR!BN20)</f>
        <v>31</v>
      </c>
      <c r="E25" s="55">
        <f>IF(C25="","",SEKOR!BO20)</f>
        <v>9</v>
      </c>
      <c r="F25" s="58">
        <f>SEKOR!BP20</f>
        <v>77.5</v>
      </c>
      <c r="G25" s="55" t="str">
        <f>IF($F25="","",IF(SEKOR!BU20&gt;=1,"TUNTAS","TIDAK TUNTAS"))</f>
        <v>TUNTAS</v>
      </c>
    </row>
    <row r="26" spans="1:7" s="56" customFormat="1" ht="26.25" customHeight="1" x14ac:dyDescent="0.25">
      <c r="A26" s="126">
        <f>IF(Ujian!A28="","",Ujian!A28)</f>
        <v>19</v>
      </c>
      <c r="B26" s="127" t="str">
        <f>IF(SEKOR!B21="","",SEKOR!B21)</f>
        <v>  234709</v>
      </c>
      <c r="C26" s="127" t="str">
        <f>IF(SEKOR!C21="","",SEKOR!C21)</f>
        <v>  Raisol</v>
      </c>
      <c r="D26" s="55">
        <f>IF(C26="","",SEKOR!BN21)</f>
        <v>7</v>
      </c>
      <c r="E26" s="55">
        <f>IF(C26="","",SEKOR!BO21)</f>
        <v>33</v>
      </c>
      <c r="F26" s="58">
        <f>SEKOR!BP21</f>
        <v>17.5</v>
      </c>
      <c r="G26" s="55" t="str">
        <f>IF($F26="","",IF(SEKOR!BU21&gt;=1,"TUNTAS","TIDAK TUNTAS"))</f>
        <v>TIDAK TUNTAS</v>
      </c>
    </row>
    <row r="27" spans="1:7" s="56" customFormat="1" ht="26.25" customHeight="1" x14ac:dyDescent="0.25">
      <c r="A27" s="126">
        <f>IF(Ujian!A29="","",Ujian!A29)</f>
        <v>20</v>
      </c>
      <c r="B27" s="127" t="str">
        <f>IF(SEKOR!B22="","",SEKOR!B22)</f>
        <v>  234708</v>
      </c>
      <c r="C27" s="127" t="str">
        <f>IF(SEKOR!C22="","",SEKOR!C22)</f>
        <v>  Rayshar Andhika Pratama</v>
      </c>
      <c r="D27" s="55">
        <f>IF(C27="","",SEKOR!BN22)</f>
        <v>10</v>
      </c>
      <c r="E27" s="55">
        <f>IF(C27="","",SEKOR!BO22)</f>
        <v>29</v>
      </c>
      <c r="F27" s="58">
        <f>SEKOR!BP22</f>
        <v>25</v>
      </c>
      <c r="G27" s="55" t="str">
        <f>IF($F27="","",IF(SEKOR!BU22&gt;=1,"TUNTAS","TIDAK TUNTAS"))</f>
        <v>TIDAK TUNTAS</v>
      </c>
    </row>
    <row r="28" spans="1:7" s="56" customFormat="1" ht="26.25" customHeight="1" x14ac:dyDescent="0.25">
      <c r="A28" s="126">
        <f>IF(Ujian!A30="","",Ujian!A30)</f>
        <v>21</v>
      </c>
      <c r="B28" s="127" t="str">
        <f>IF(SEKOR!B23="","",SEKOR!B23)</f>
        <v>  234711</v>
      </c>
      <c r="C28" s="127" t="str">
        <f>IF(SEKOR!C23="","",SEKOR!C23)</f>
        <v>  Rino Fiansyah</v>
      </c>
      <c r="D28" s="55">
        <f>IF(C28="","",SEKOR!BN23)</f>
        <v>16</v>
      </c>
      <c r="E28" s="55">
        <f>IF(C28="","",SEKOR!BO23)</f>
        <v>24</v>
      </c>
      <c r="F28" s="58">
        <f>SEKOR!BP23</f>
        <v>40</v>
      </c>
      <c r="G28" s="55" t="str">
        <f>IF($F28="","",IF(SEKOR!BU23&gt;=1,"TUNTAS","TIDAK TUNTAS"))</f>
        <v>TIDAK TUNTAS</v>
      </c>
    </row>
    <row r="29" spans="1:7" s="56" customFormat="1" ht="26.25" customHeight="1" x14ac:dyDescent="0.25">
      <c r="A29" s="126">
        <f>IF(Ujian!A31="","",Ujian!A31)</f>
        <v>22</v>
      </c>
      <c r="B29" s="127" t="str">
        <f>IF(SEKOR!B24="","",SEKOR!B24)</f>
        <v>  234712</v>
      </c>
      <c r="C29" s="127" t="str">
        <f>IF(SEKOR!C24="","",SEKOR!C24)</f>
        <v>  Ririn Dea Razmiarti</v>
      </c>
      <c r="D29" s="55">
        <f>IF(C29="","",SEKOR!BN24)</f>
        <v>26</v>
      </c>
      <c r="E29" s="55">
        <f>IF(C29="","",SEKOR!BO24)</f>
        <v>14</v>
      </c>
      <c r="F29" s="58">
        <f>SEKOR!BP24</f>
        <v>65</v>
      </c>
      <c r="G29" s="55" t="str">
        <f>IF($F29="","",IF(SEKOR!BU24&gt;=1,"TUNTAS","TIDAK TUNTAS"))</f>
        <v>TIDAK TUNTAS</v>
      </c>
    </row>
    <row r="30" spans="1:7" s="56" customFormat="1" ht="26.25" customHeight="1" x14ac:dyDescent="0.25">
      <c r="A30" s="126">
        <f>IF(Ujian!A32="","",Ujian!A32)</f>
        <v>23</v>
      </c>
      <c r="B30" s="127" t="str">
        <f>IF(SEKOR!B25="","",SEKOR!B25)</f>
        <v>  234719</v>
      </c>
      <c r="C30" s="127" t="str">
        <f>IF(SEKOR!C25="","",SEKOR!C25)</f>
        <v>  Suci Rahmawati</v>
      </c>
      <c r="D30" s="55">
        <f>IF(C30="","",SEKOR!BN25)</f>
        <v>21</v>
      </c>
      <c r="E30" s="55">
        <f>IF(C30="","",SEKOR!BO25)</f>
        <v>18</v>
      </c>
      <c r="F30" s="58">
        <f>SEKOR!BP25</f>
        <v>52.5</v>
      </c>
      <c r="G30" s="55" t="str">
        <f>IF($F30="","",IF(SEKOR!BU25&gt;=1,"TUNTAS","TIDAK TUNTAS"))</f>
        <v>TIDAK TUNTAS</v>
      </c>
    </row>
    <row r="31" spans="1:7" s="56" customFormat="1" ht="26.25" customHeight="1" x14ac:dyDescent="0.25">
      <c r="A31" s="126">
        <f>IF(Ujian!A33="","",Ujian!A33)</f>
        <v>24</v>
      </c>
      <c r="B31" s="127" t="str">
        <f>IF(SEKOR!B26="","",SEKOR!B26)</f>
        <v>  234721</v>
      </c>
      <c r="C31" s="127" t="str">
        <f>IF(SEKOR!C26="","",SEKOR!C26)</f>
        <v>  Syifa Aulia Rahmah</v>
      </c>
      <c r="D31" s="55">
        <f>IF(C31="","",SEKOR!BN26)</f>
        <v>19</v>
      </c>
      <c r="E31" s="55">
        <f>IF(C31="","",SEKOR!BO26)</f>
        <v>21</v>
      </c>
      <c r="F31" s="58">
        <f>SEKOR!BP26</f>
        <v>47.5</v>
      </c>
      <c r="G31" s="55" t="str">
        <f>IF($F31="","",IF(SEKOR!BU26&gt;=1,"TUNTAS","TIDAK TUNTAS"))</f>
        <v>TIDAK TUNTAS</v>
      </c>
    </row>
    <row r="32" spans="1:7" s="56" customFormat="1" ht="26.25" customHeight="1" x14ac:dyDescent="0.25">
      <c r="A32" s="126">
        <f>IF(Ujian!A34="","",Ujian!A34)</f>
        <v>25</v>
      </c>
      <c r="B32" s="127" t="str">
        <f>IF(SEKOR!B27="","",SEKOR!B27)</f>
        <v>  234727</v>
      </c>
      <c r="C32" s="127" t="str">
        <f>IF(SEKOR!C27="","",SEKOR!C27)</f>
        <v>  Zainuddin</v>
      </c>
      <c r="D32" s="55">
        <f>IF(C32="","",SEKOR!BN27)</f>
        <v>21</v>
      </c>
      <c r="E32" s="55">
        <f>IF(C32="","",SEKOR!BO27)</f>
        <v>19</v>
      </c>
      <c r="F32" s="58">
        <f>SEKOR!BP27</f>
        <v>52.5</v>
      </c>
      <c r="G32" s="55" t="str">
        <f>IF($F32="","",IF(SEKOR!BU27&gt;=1,"TUNTAS","TIDAK TUNTAS"))</f>
        <v>TIDAK TUNTAS</v>
      </c>
    </row>
    <row r="33" spans="1:7" s="56" customFormat="1" ht="26.25" customHeight="1" x14ac:dyDescent="0.25">
      <c r="A33" s="126">
        <f>IF(Ujian!A35="","",Ujian!A35)</f>
        <v>26</v>
      </c>
      <c r="B33" s="127" t="str">
        <f>IF(SEKOR!B28="","",SEKOR!B28)</f>
        <v>  1</v>
      </c>
      <c r="C33" s="127" t="str">
        <f>IF(SEKOR!C28="","",SEKOR!C28)</f>
        <v>  Latif</v>
      </c>
      <c r="D33" s="55">
        <f>IF(C33="","",SEKOR!BN28)</f>
        <v>15</v>
      </c>
      <c r="E33" s="55">
        <f>IF(C33="","",SEKOR!BO28)</f>
        <v>25</v>
      </c>
      <c r="F33" s="58">
        <f>SEKOR!BP28</f>
        <v>37.5</v>
      </c>
      <c r="G33" s="55" t="str">
        <f>IF($F33="","",IF(SEKOR!BU28&gt;=1,"TUNTAS","TIDAK TUNTAS"))</f>
        <v>TIDAK TUNTAS</v>
      </c>
    </row>
    <row r="34" spans="1:7" s="56" customFormat="1" ht="26.25" customHeight="1" x14ac:dyDescent="0.25">
      <c r="A34" s="126">
        <f>IF(Ujian!A36="","",Ujian!A36)</f>
        <v>27</v>
      </c>
      <c r="B34" s="127" t="str">
        <f>IF(SEKOR!B29="","",SEKOR!B29)</f>
        <v>  2</v>
      </c>
      <c r="C34" s="127" t="str">
        <f>IF(SEKOR!C29="","",SEKOR!C29)</f>
        <v>  Ahmad Zaidan Rizki</v>
      </c>
      <c r="D34" s="55">
        <f>IF(C34="","",SEKOR!BN29)</f>
        <v>7</v>
      </c>
      <c r="E34" s="55">
        <f>IF(C34="","",SEKOR!BO29)</f>
        <v>31</v>
      </c>
      <c r="F34" s="58">
        <f>SEKOR!BP29</f>
        <v>17.5</v>
      </c>
      <c r="G34" s="55" t="str">
        <f>IF($F34="","",IF(SEKOR!BU29&gt;=1,"TUNTAS","TIDAK TUNTAS"))</f>
        <v>TIDAK TUNTAS</v>
      </c>
    </row>
    <row r="35" spans="1:7" s="56" customFormat="1" ht="26.25" customHeight="1" x14ac:dyDescent="0.25">
      <c r="A35" s="126">
        <f>IF(Ujian!A37="","",Ujian!A37)</f>
        <v>28</v>
      </c>
      <c r="B35" s="127" t="str">
        <f>IF(SEKOR!B30="","",SEKOR!B30)</f>
        <v>  234587</v>
      </c>
      <c r="C35" s="127" t="str">
        <f>IF(SEKOR!C30="","",SEKOR!C30)</f>
        <v>  Ahmad Rifani</v>
      </c>
      <c r="D35" s="55">
        <f>IF(C35="","",SEKOR!BN30)</f>
        <v>26</v>
      </c>
      <c r="E35" s="55">
        <f>IF(C35="","",SEKOR!BO30)</f>
        <v>14</v>
      </c>
      <c r="F35" s="58">
        <f>SEKOR!BP30</f>
        <v>65</v>
      </c>
      <c r="G35" s="55" t="str">
        <f>IF($F35="","",IF(SEKOR!BU30&gt;=1,"TUNTAS","TIDAK TUNTAS"))</f>
        <v>TIDAK TUNTAS</v>
      </c>
    </row>
    <row r="36" spans="1:7" s="56" customFormat="1" ht="26.25" customHeight="1" x14ac:dyDescent="0.25">
      <c r="A36" s="126">
        <f>IF(Ujian!A38="","",Ujian!A38)</f>
        <v>29</v>
      </c>
      <c r="B36" s="127" t="str">
        <f>IF(SEKOR!B31="","",SEKOR!B31)</f>
        <v>  234591</v>
      </c>
      <c r="C36" s="127" t="str">
        <f>IF(SEKOR!C31="","",SEKOR!C31)</f>
        <v>  Alfi Wahyuni</v>
      </c>
      <c r="D36" s="55">
        <f>IF(C36="","",SEKOR!BN31)</f>
        <v>16</v>
      </c>
      <c r="E36" s="55">
        <f>IF(C36="","",SEKOR!BO31)</f>
        <v>23</v>
      </c>
      <c r="F36" s="58">
        <f>SEKOR!BP31</f>
        <v>40</v>
      </c>
      <c r="G36" s="55" t="str">
        <f>IF($F36="","",IF(SEKOR!BU31&gt;=1,"TUNTAS","TIDAK TUNTAS"))</f>
        <v>TIDAK TUNTAS</v>
      </c>
    </row>
    <row r="37" spans="1:7" s="56" customFormat="1" ht="26.25" customHeight="1" x14ac:dyDescent="0.25">
      <c r="A37" s="126">
        <f>IF(Ujian!A39="","",Ujian!A39)</f>
        <v>30</v>
      </c>
      <c r="B37" s="127" t="str">
        <f>IF(SEKOR!B32="","",SEKOR!B32)</f>
        <v>  234594</v>
      </c>
      <c r="C37" s="127" t="str">
        <f>IF(SEKOR!C32="","",SEKOR!C32)</f>
        <v>  Alya Nur</v>
      </c>
      <c r="D37" s="55">
        <f>IF(C37="","",SEKOR!BN32)</f>
        <v>21</v>
      </c>
      <c r="E37" s="55">
        <f>IF(C37="","",SEKOR!BO32)</f>
        <v>19</v>
      </c>
      <c r="F37" s="58">
        <f>SEKOR!BP32</f>
        <v>52.5</v>
      </c>
      <c r="G37" s="55" t="str">
        <f>IF($F37="","",IF(SEKOR!BU32&gt;=1,"TUNTAS","TIDAK TUNTAS"))</f>
        <v>TIDAK TUNTAS</v>
      </c>
    </row>
    <row r="38" spans="1:7" s="56" customFormat="1" ht="26.25" customHeight="1" x14ac:dyDescent="0.25">
      <c r="A38" s="126">
        <f>IF(Ujian!A40="","",Ujian!A40)</f>
        <v>31</v>
      </c>
      <c r="B38" s="127" t="str">
        <f>IF(SEKOR!B33="","",SEKOR!B33)</f>
        <v>  234600</v>
      </c>
      <c r="C38" s="127" t="str">
        <f>IF(SEKOR!C33="","",SEKOR!C33)</f>
        <v>  Aulia Astuti</v>
      </c>
      <c r="D38" s="55">
        <f>IF(C38="","",SEKOR!BN33)</f>
        <v>15</v>
      </c>
      <c r="E38" s="55">
        <f>IF(C38="","",SEKOR!BO33)</f>
        <v>25</v>
      </c>
      <c r="F38" s="58">
        <f>SEKOR!BP33</f>
        <v>37.5</v>
      </c>
      <c r="G38" s="55" t="str">
        <f>IF($F38="","",IF(SEKOR!BU33&gt;=1,"TUNTAS","TIDAK TUNTAS"))</f>
        <v>TIDAK TUNTAS</v>
      </c>
    </row>
    <row r="39" spans="1:7" s="56" customFormat="1" ht="26.25" customHeight="1" x14ac:dyDescent="0.25">
      <c r="A39" s="126">
        <f>IF(Ujian!A41="","",Ujian!A41)</f>
        <v>32</v>
      </c>
      <c r="B39" s="127" t="str">
        <f>IF(SEKOR!B34="","",SEKOR!B34)</f>
        <v>  224430</v>
      </c>
      <c r="C39" s="127" t="str">
        <f>IF(SEKOR!C34="","",SEKOR!C34)</f>
        <v>  Febriana Nor As Shoufa</v>
      </c>
      <c r="D39" s="55">
        <f>IF(C39="","",SEKOR!BN34)</f>
        <v>15</v>
      </c>
      <c r="E39" s="55">
        <f>IF(C39="","",SEKOR!BO34)</f>
        <v>25</v>
      </c>
      <c r="F39" s="58">
        <f>SEKOR!BP34</f>
        <v>37.5</v>
      </c>
      <c r="G39" s="55" t="str">
        <f>IF($F39="","",IF(SEKOR!BU34&gt;=1,"TUNTAS","TIDAK TUNTAS"))</f>
        <v>TIDAK TUNTAS</v>
      </c>
    </row>
    <row r="40" spans="1:7" s="56" customFormat="1" ht="26.25" customHeight="1" x14ac:dyDescent="0.25">
      <c r="A40" s="126">
        <f>IF(Ujian!A42="","",Ujian!A42)</f>
        <v>33</v>
      </c>
      <c r="B40" s="127" t="str">
        <f>IF(SEKOR!B35="","",SEKOR!B35)</f>
        <v>  234609</v>
      </c>
      <c r="C40" s="127" t="str">
        <f>IF(SEKOR!C35="","",SEKOR!C35)</f>
        <v>  Fitra Syahara</v>
      </c>
      <c r="D40" s="55">
        <f>IF(C40="","",SEKOR!BN35)</f>
        <v>11</v>
      </c>
      <c r="E40" s="55">
        <f>IF(C40="","",SEKOR!BO35)</f>
        <v>29</v>
      </c>
      <c r="F40" s="58">
        <f>SEKOR!BP35</f>
        <v>27.500000000000004</v>
      </c>
      <c r="G40" s="55" t="str">
        <f>IF($F40="","",IF(SEKOR!BU35&gt;=1,"TUNTAS","TIDAK TUNTAS"))</f>
        <v>TIDAK TUNTAS</v>
      </c>
    </row>
    <row r="41" spans="1:7" s="56" customFormat="1" ht="26.25" customHeight="1" x14ac:dyDescent="0.25">
      <c r="A41" s="126">
        <f>IF(Ujian!A43="","",Ujian!A43)</f>
        <v>34</v>
      </c>
      <c r="B41" s="127" t="str">
        <f>IF(SEKOR!B36="","",SEKOR!B36)</f>
        <v>  234617</v>
      </c>
      <c r="C41" s="127" t="str">
        <f>IF(SEKOR!C36="","",SEKOR!C36)</f>
        <v>  Ikhsan Fadillah</v>
      </c>
      <c r="D41" s="55">
        <f>IF(C41="","",SEKOR!BN36)</f>
        <v>20</v>
      </c>
      <c r="E41" s="55">
        <f>IF(C41="","",SEKOR!BO36)</f>
        <v>20</v>
      </c>
      <c r="F41" s="58">
        <f>SEKOR!BP36</f>
        <v>50</v>
      </c>
      <c r="G41" s="55" t="str">
        <f>IF($F41="","",IF(SEKOR!BU36&gt;=1,"TUNTAS","TIDAK TUNTAS"))</f>
        <v>TIDAK TUNTAS</v>
      </c>
    </row>
    <row r="42" spans="1:7" s="56" customFormat="1" ht="26.25" customHeight="1" x14ac:dyDescent="0.25">
      <c r="A42" s="126">
        <f>IF(Ujian!A44="","",Ujian!A44)</f>
        <v>35</v>
      </c>
      <c r="B42" s="127" t="str">
        <f>IF(SEKOR!B37="","",SEKOR!B37)</f>
        <v>  234618</v>
      </c>
      <c r="C42" s="127" t="str">
        <f>IF(SEKOR!C37="","",SEKOR!C37)</f>
        <v>  Iqbal Fahrezi</v>
      </c>
      <c r="D42" s="55">
        <f>IF(C42="","",SEKOR!BN37)</f>
        <v>29</v>
      </c>
      <c r="E42" s="55">
        <f>IF(C42="","",SEKOR!BO37)</f>
        <v>11</v>
      </c>
      <c r="F42" s="58">
        <f>SEKOR!BP37</f>
        <v>72.5</v>
      </c>
      <c r="G42" s="55" t="str">
        <f>IF($F42="","",IF(SEKOR!BU37&gt;=1,"TUNTAS","TIDAK TUNTAS"))</f>
        <v>TUNTAS</v>
      </c>
    </row>
    <row r="43" spans="1:7" s="56" customFormat="1" ht="26.25" customHeight="1" x14ac:dyDescent="0.25">
      <c r="A43" s="126">
        <f>IF(Ujian!A45="","",Ujian!A45)</f>
        <v>36</v>
      </c>
      <c r="B43" s="127" t="str">
        <f>IF(SEKOR!B38="","",SEKOR!B38)</f>
        <v>  234620</v>
      </c>
      <c r="C43" s="127" t="str">
        <f>IF(SEKOR!C38="","",SEKOR!C38)</f>
        <v>  Isti Qomah</v>
      </c>
      <c r="D43" s="55">
        <f>IF(C43="","",SEKOR!BN38)</f>
        <v>26</v>
      </c>
      <c r="E43" s="55">
        <f>IF(C43="","",SEKOR!BO38)</f>
        <v>14</v>
      </c>
      <c r="F43" s="58">
        <f>SEKOR!BP38</f>
        <v>65</v>
      </c>
      <c r="G43" s="55" t="str">
        <f>IF($F43="","",IF(SEKOR!BU38&gt;=1,"TUNTAS","TIDAK TUNTAS"))</f>
        <v>TIDAK TUNTAS</v>
      </c>
    </row>
    <row r="44" spans="1:7" s="56" customFormat="1" ht="26.25" customHeight="1" x14ac:dyDescent="0.25">
      <c r="A44" s="126">
        <f>IF(Ujian!A46="","",Ujian!A46)</f>
        <v>37</v>
      </c>
      <c r="B44" s="127" t="str">
        <f>IF(SEKOR!B39="","",SEKOR!B39)</f>
        <v>  234621</v>
      </c>
      <c r="C44" s="127" t="str">
        <f>IF(SEKOR!C39="","",SEKOR!C39)</f>
        <v>  Jamiatul Putri</v>
      </c>
      <c r="D44" s="55">
        <f>IF(C44="","",SEKOR!BN39)</f>
        <v>16</v>
      </c>
      <c r="E44" s="55">
        <f>IF(C44="","",SEKOR!BO39)</f>
        <v>24</v>
      </c>
      <c r="F44" s="58">
        <f>SEKOR!BP39</f>
        <v>40</v>
      </c>
      <c r="G44" s="55" t="str">
        <f>IF($F44="","",IF(SEKOR!BU39&gt;=1,"TUNTAS","TIDAK TUNTAS"))</f>
        <v>TIDAK TUNTAS</v>
      </c>
    </row>
    <row r="45" spans="1:7" s="56" customFormat="1" ht="26.25" customHeight="1" x14ac:dyDescent="0.25">
      <c r="A45" s="126">
        <f>IF(Ujian!A47="","",Ujian!A47)</f>
        <v>38</v>
      </c>
      <c r="B45" s="127" t="str">
        <f>IF(SEKOR!B40="","",SEKOR!B40)</f>
        <v>  234658</v>
      </c>
      <c r="C45" s="127" t="str">
        <f>IF(SEKOR!C40="","",SEKOR!C40)</f>
        <v>  M. Hasan</v>
      </c>
      <c r="D45" s="55">
        <f>IF(C45="","",SEKOR!BN40)</f>
        <v>29</v>
      </c>
      <c r="E45" s="55">
        <f>IF(C45="","",SEKOR!BO40)</f>
        <v>11</v>
      </c>
      <c r="F45" s="58">
        <f>SEKOR!BP40</f>
        <v>72.5</v>
      </c>
      <c r="G45" s="55" t="str">
        <f>IF($F45="","",IF(SEKOR!BU40&gt;=1,"TUNTAS","TIDAK TUNTAS"))</f>
        <v>TUNTAS</v>
      </c>
    </row>
    <row r="46" spans="1:7" s="56" customFormat="1" ht="26.25" customHeight="1" x14ac:dyDescent="0.25">
      <c r="A46" s="126">
        <f>IF(Ujian!A48="","",Ujian!A48)</f>
        <v>39</v>
      </c>
      <c r="B46" s="127" t="str">
        <f>IF(SEKOR!B41="","",SEKOR!B41)</f>
        <v>  234639</v>
      </c>
      <c r="C46" s="127" t="str">
        <f>IF(SEKOR!C41="","",SEKOR!C41)</f>
        <v>  Monalisa</v>
      </c>
      <c r="D46" s="55">
        <f>IF(C46="","",SEKOR!BN41)</f>
        <v>12</v>
      </c>
      <c r="E46" s="55">
        <f>IF(C46="","",SEKOR!BO41)</f>
        <v>28</v>
      </c>
      <c r="F46" s="58">
        <f>SEKOR!BP41</f>
        <v>30</v>
      </c>
      <c r="G46" s="55" t="str">
        <f>IF($F46="","",IF(SEKOR!BU41&gt;=1,"TUNTAS","TIDAK TUNTAS"))</f>
        <v>TIDAK TUNTAS</v>
      </c>
    </row>
    <row r="47" spans="1:7" s="56" customFormat="1" ht="26.25" customHeight="1" x14ac:dyDescent="0.25">
      <c r="A47" s="126">
        <f>IF(Ujian!A49="","",Ujian!A49)</f>
        <v>40</v>
      </c>
      <c r="B47" s="127" t="str">
        <f>IF(SEKOR!B42="","",SEKOR!B42)</f>
        <v>  234640</v>
      </c>
      <c r="C47" s="127" t="str">
        <f>IF(SEKOR!C42="","",SEKOR!C42)</f>
        <v>  Muflihah</v>
      </c>
      <c r="D47" s="55">
        <f>IF(C47="","",SEKOR!BN42)</f>
        <v>15</v>
      </c>
      <c r="E47" s="55">
        <f>IF(C47="","",SEKOR!BO42)</f>
        <v>25</v>
      </c>
      <c r="F47" s="58">
        <f>SEKOR!BP42</f>
        <v>37.5</v>
      </c>
      <c r="G47" s="55" t="str">
        <f>IF($F47="","",IF(SEKOR!BU42&gt;=1,"TUNTAS","TIDAK TUNTAS"))</f>
        <v>TIDAK TUNTAS</v>
      </c>
    </row>
    <row r="48" spans="1:7" s="56" customFormat="1" ht="26.25" customHeight="1" x14ac:dyDescent="0.25">
      <c r="A48" s="126">
        <f>IF(Ujian!A50="","",Ujian!A50)</f>
        <v>41</v>
      </c>
      <c r="B48" s="127" t="str">
        <f>IF(SEKOR!B43="","",SEKOR!B43)</f>
        <v>  234655</v>
      </c>
      <c r="C48" s="127" t="str">
        <f>IF(SEKOR!C43="","",SEKOR!C43)</f>
        <v>  Muhammad Hafiz</v>
      </c>
      <c r="D48" s="55">
        <f>IF(C48="","",SEKOR!BN43)</f>
        <v>21</v>
      </c>
      <c r="E48" s="55">
        <f>IF(C48="","",SEKOR!BO43)</f>
        <v>19</v>
      </c>
      <c r="F48" s="58">
        <f>SEKOR!BP43</f>
        <v>52.5</v>
      </c>
      <c r="G48" s="55" t="str">
        <f>IF($F48="","",IF(SEKOR!BU43&gt;=1,"TUNTAS","TIDAK TUNTAS"))</f>
        <v>TIDAK TUNTAS</v>
      </c>
    </row>
    <row r="49" spans="1:7" s="56" customFormat="1" ht="26.25" customHeight="1" x14ac:dyDescent="0.25">
      <c r="A49" s="126">
        <f>IF(Ujian!A51="","",Ujian!A51)</f>
        <v>42</v>
      </c>
      <c r="B49" s="127" t="str">
        <f>IF(SEKOR!B44="","",SEKOR!B44)</f>
        <v>  234657</v>
      </c>
      <c r="C49" s="127" t="str">
        <f>IF(SEKOR!C44="","",SEKOR!C44)</f>
        <v>  Muhammad Hariadi Hana</v>
      </c>
      <c r="D49" s="55">
        <f>IF(C49="","",SEKOR!BN44)</f>
        <v>29</v>
      </c>
      <c r="E49" s="55">
        <f>IF(C49="","",SEKOR!BO44)</f>
        <v>11</v>
      </c>
      <c r="F49" s="58">
        <f>SEKOR!BP44</f>
        <v>72.5</v>
      </c>
      <c r="G49" s="55" t="str">
        <f>IF($F49="","",IF(SEKOR!BU44&gt;=1,"TUNTAS","TIDAK TUNTAS"))</f>
        <v>TUNTAS</v>
      </c>
    </row>
    <row r="50" spans="1:7" s="56" customFormat="1" ht="26.25" customHeight="1" x14ac:dyDescent="0.25">
      <c r="A50" s="126">
        <f>IF(Ujian!A52="","",Ujian!A52)</f>
        <v>43</v>
      </c>
      <c r="B50" s="127" t="str">
        <f>IF(SEKOR!B45="","",SEKOR!B45)</f>
        <v>  234659</v>
      </c>
      <c r="C50" s="127" t="str">
        <f>IF(SEKOR!C45="","",SEKOR!C45)</f>
        <v>  Muhammad Ihza Al Muhajir</v>
      </c>
      <c r="D50" s="55">
        <f>IF(C50="","",SEKOR!BN45)</f>
        <v>27</v>
      </c>
      <c r="E50" s="55">
        <f>IF(C50="","",SEKOR!BO45)</f>
        <v>13</v>
      </c>
      <c r="F50" s="58">
        <f>SEKOR!BP45</f>
        <v>67.5</v>
      </c>
      <c r="G50" s="55" t="str">
        <f>IF($F50="","",IF(SEKOR!BU45&gt;=1,"TUNTAS","TIDAK TUNTAS"))</f>
        <v>TIDAK TUNTAS</v>
      </c>
    </row>
    <row r="51" spans="1:7" s="56" customFormat="1" ht="26.25" customHeight="1" x14ac:dyDescent="0.25">
      <c r="A51" s="126">
        <f>IF(Ujian!A53="","",Ujian!A53)</f>
        <v>44</v>
      </c>
      <c r="B51" s="127" t="str">
        <f>IF(SEKOR!B46="","",SEKOR!B46)</f>
        <v>  234668</v>
      </c>
      <c r="C51" s="127" t="str">
        <f>IF(SEKOR!C46="","",SEKOR!C46)</f>
        <v>  Muhammad Ramadan</v>
      </c>
      <c r="D51" s="55">
        <f>IF(C51="","",SEKOR!BN46)</f>
        <v>9</v>
      </c>
      <c r="E51" s="55">
        <f>IF(C51="","",SEKOR!BO46)</f>
        <v>31</v>
      </c>
      <c r="F51" s="58">
        <f>SEKOR!BP46</f>
        <v>22.5</v>
      </c>
      <c r="G51" s="55" t="str">
        <f>IF($F51="","",IF(SEKOR!BU46&gt;=1,"TUNTAS","TIDAK TUNTAS"))</f>
        <v>TIDAK TUNTAS</v>
      </c>
    </row>
    <row r="52" spans="1:7" s="56" customFormat="1" ht="26.25" customHeight="1" x14ac:dyDescent="0.25">
      <c r="A52" s="126">
        <f>IF(Ujian!A54="","",Ujian!A54)</f>
        <v>45</v>
      </c>
      <c r="B52" s="127" t="str">
        <f>IF(SEKOR!B47="","",SEKOR!B47)</f>
        <v>  234673</v>
      </c>
      <c r="C52" s="127" t="str">
        <f>IF(SEKOR!C47="","",SEKOR!C47)</f>
        <v>  Muhammad Rizky</v>
      </c>
      <c r="D52" s="55">
        <f>IF(C52="","",SEKOR!BN47)</f>
        <v>15</v>
      </c>
      <c r="E52" s="55">
        <f>IF(C52="","",SEKOR!BO47)</f>
        <v>23</v>
      </c>
      <c r="F52" s="58">
        <f>SEKOR!BP47</f>
        <v>37.5</v>
      </c>
      <c r="G52" s="55" t="str">
        <f>IF($F52="","",IF(SEKOR!BU47&gt;=1,"TUNTAS","TIDAK TUNTAS"))</f>
        <v>TIDAK TUNTAS</v>
      </c>
    </row>
    <row r="53" spans="1:7" s="56" customFormat="1" ht="26.25" customHeight="1" x14ac:dyDescent="0.25">
      <c r="A53" s="126">
        <f>IF(Ujian!A55="","",Ujian!A55)</f>
        <v>46</v>
      </c>
      <c r="B53" s="127" t="str">
        <f>IF(SEKOR!B48="","",SEKOR!B48)</f>
        <v>  234677</v>
      </c>
      <c r="C53" s="127" t="str">
        <f>IF(SEKOR!C48="","",SEKOR!C48)</f>
        <v>  Munirah</v>
      </c>
      <c r="D53" s="55">
        <f>IF(C53="","",SEKOR!BN48)</f>
        <v>24</v>
      </c>
      <c r="E53" s="55">
        <f>IF(C53="","",SEKOR!BO48)</f>
        <v>16</v>
      </c>
      <c r="F53" s="58">
        <f>SEKOR!BP48</f>
        <v>60</v>
      </c>
      <c r="G53" s="55" t="str">
        <f>IF($F53="","",IF(SEKOR!BU48&gt;=1,"TUNTAS","TIDAK TUNTAS"))</f>
        <v>TIDAK TUNTAS</v>
      </c>
    </row>
    <row r="54" spans="1:7" s="56" customFormat="1" ht="26.25" customHeight="1" x14ac:dyDescent="0.25">
      <c r="A54" s="126">
        <f>IF(Ujian!A56="","",Ujian!A56)</f>
        <v>47</v>
      </c>
      <c r="B54" s="127" t="str">
        <f>IF(SEKOR!B49="","",SEKOR!B49)</f>
        <v>  234690</v>
      </c>
      <c r="C54" s="127" t="str">
        <f>IF(SEKOR!C49="","",SEKOR!C49)</f>
        <v>  Nor Rachma</v>
      </c>
      <c r="D54" s="55">
        <f>IF(C54="","",SEKOR!BN49)</f>
        <v>30</v>
      </c>
      <c r="E54" s="55">
        <f>IF(C54="","",SEKOR!BO49)</f>
        <v>10</v>
      </c>
      <c r="F54" s="58">
        <f>SEKOR!BP49</f>
        <v>75</v>
      </c>
      <c r="G54" s="55" t="str">
        <f>IF($F54="","",IF(SEKOR!BU49&gt;=1,"TUNTAS","TIDAK TUNTAS"))</f>
        <v>TUNTAS</v>
      </c>
    </row>
    <row r="55" spans="1:7" s="56" customFormat="1" ht="26.25" customHeight="1" x14ac:dyDescent="0.25">
      <c r="A55" s="126">
        <f>IF(Ujian!A57="","",Ujian!A57)</f>
        <v>48</v>
      </c>
      <c r="B55" s="127" t="str">
        <f>IF(SEKOR!B50="","",SEKOR!B50)</f>
        <v>  234691</v>
      </c>
      <c r="C55" s="127" t="str">
        <f>IF(SEKOR!C50="","",SEKOR!C50)</f>
        <v>  Norbaiti</v>
      </c>
      <c r="D55" s="55">
        <f>IF(C55="","",SEKOR!BN50)</f>
        <v>21</v>
      </c>
      <c r="E55" s="55">
        <f>IF(C55="","",SEKOR!BO50)</f>
        <v>19</v>
      </c>
      <c r="F55" s="58">
        <f>SEKOR!BP50</f>
        <v>52.5</v>
      </c>
      <c r="G55" s="55" t="str">
        <f>IF($F55="","",IF(SEKOR!BU50&gt;=1,"TUNTAS","TIDAK TUNTAS"))</f>
        <v>TIDAK TUNTAS</v>
      </c>
    </row>
    <row r="56" spans="1:7" s="56" customFormat="1" ht="26.25" customHeight="1" x14ac:dyDescent="0.25">
      <c r="A56" s="126">
        <f>IF(Ujian!A58="","",Ujian!A58)</f>
        <v>49</v>
      </c>
      <c r="B56" s="127" t="str">
        <f>IF(SEKOR!B51="","",SEKOR!B51)</f>
        <v>  234692</v>
      </c>
      <c r="C56" s="127" t="str">
        <f>IF(SEKOR!C51="","",SEKOR!C51)</f>
        <v>  Norsehan</v>
      </c>
      <c r="D56" s="55">
        <f>IF(C56="","",SEKOR!BN51)</f>
        <v>7</v>
      </c>
      <c r="E56" s="55">
        <f>IF(C56="","",SEKOR!BO51)</f>
        <v>33</v>
      </c>
      <c r="F56" s="58">
        <f>SEKOR!BP51</f>
        <v>17.5</v>
      </c>
      <c r="G56" s="55" t="str">
        <f>IF($F56="","",IF(SEKOR!BU51&gt;=1,"TUNTAS","TIDAK TUNTAS"))</f>
        <v>TIDAK TUNTAS</v>
      </c>
    </row>
    <row r="57" spans="1:7" s="56" customFormat="1" ht="26.25" customHeight="1" x14ac:dyDescent="0.25">
      <c r="A57" s="126">
        <f>IF(Ujian!A59="","",Ujian!A59)</f>
        <v>50</v>
      </c>
      <c r="B57" s="127" t="str">
        <f>IF(SEKOR!B52="","",SEKOR!B52)</f>
        <v>  234699</v>
      </c>
      <c r="C57" s="127" t="str">
        <f>IF(SEKOR!C52="","",SEKOR!C52)</f>
        <v>  Padil Anwar</v>
      </c>
      <c r="D57" s="55">
        <f>IF(C57="","",SEKOR!BN52)</f>
        <v>12</v>
      </c>
      <c r="E57" s="55">
        <f>IF(C57="","",SEKOR!BO52)</f>
        <v>28</v>
      </c>
      <c r="F57" s="58">
        <f>SEKOR!BP52</f>
        <v>30</v>
      </c>
      <c r="G57" s="55" t="str">
        <f>IF($F57="","",IF(SEKOR!BU52&gt;=1,"TUNTAS","TIDAK TUNTAS"))</f>
        <v>TIDAK TUNTAS</v>
      </c>
    </row>
    <row r="58" spans="1:7" s="56" customFormat="1" ht="26.25" customHeight="1" x14ac:dyDescent="0.25">
      <c r="A58" s="126">
        <f>IF(Ujian!A60="","",Ujian!A60)</f>
        <v>51</v>
      </c>
      <c r="B58" s="127" t="str">
        <f>IF(SEKOR!B53="","",SEKOR!B53)</f>
        <v>  234702</v>
      </c>
      <c r="C58" s="127" t="str">
        <f>IF(SEKOR!C53="","",SEKOR!C53)</f>
        <v>  Rafi Ahmad</v>
      </c>
      <c r="D58" s="55">
        <f>IF(C58="","",SEKOR!BN53)</f>
        <v>25</v>
      </c>
      <c r="E58" s="55">
        <f>IF(C58="","",SEKOR!BO53)</f>
        <v>15</v>
      </c>
      <c r="F58" s="58">
        <f>SEKOR!BP53</f>
        <v>62.5</v>
      </c>
      <c r="G58" s="55" t="str">
        <f>IF($F58="","",IF(SEKOR!BU53&gt;=1,"TUNTAS","TIDAK TUNTAS"))</f>
        <v>TIDAK TUNTAS</v>
      </c>
    </row>
    <row r="59" spans="1:7" s="56" customFormat="1" ht="26.25" customHeight="1" x14ac:dyDescent="0.25">
      <c r="A59" s="126">
        <f>IF(Ujian!A61="","",Ujian!A61)</f>
        <v>52</v>
      </c>
      <c r="B59" s="127" t="str">
        <f>IF(SEKOR!B54="","",SEKOR!B54)</f>
        <v>  234704</v>
      </c>
      <c r="C59" s="127" t="str">
        <f>IF(SEKOR!C54="","",SEKOR!C54)</f>
        <v>  Rahmadiyanur</v>
      </c>
      <c r="D59" s="55">
        <f>IF(C59="","",SEKOR!BN54)</f>
        <v>31</v>
      </c>
      <c r="E59" s="55">
        <f>IF(C59="","",SEKOR!BO54)</f>
        <v>9</v>
      </c>
      <c r="F59" s="58">
        <f>SEKOR!BP54</f>
        <v>77.5</v>
      </c>
      <c r="G59" s="55" t="str">
        <f>IF($F59="","",IF(SEKOR!BU54&gt;=1,"TUNTAS","TIDAK TUNTAS"))</f>
        <v>TUNTAS</v>
      </c>
    </row>
    <row r="60" spans="1:7" s="56" customFormat="1" ht="26.25" customHeight="1" x14ac:dyDescent="0.25">
      <c r="A60" s="126">
        <f>IF(Ujian!A62="","",Ujian!A62)</f>
        <v>53</v>
      </c>
      <c r="B60" s="127" t="str">
        <f>IF(SEKOR!B55="","",SEKOR!B55)</f>
        <v>  234715</v>
      </c>
      <c r="C60" s="127" t="str">
        <f>IF(SEKOR!C55="","",SEKOR!C55)</f>
        <v>  Sadiah</v>
      </c>
      <c r="D60" s="55">
        <f>IF(C60="","",SEKOR!BN55)</f>
        <v>7</v>
      </c>
      <c r="E60" s="55">
        <f>IF(C60="","",SEKOR!BO55)</f>
        <v>32</v>
      </c>
      <c r="F60" s="58">
        <f>SEKOR!BP55</f>
        <v>17.5</v>
      </c>
      <c r="G60" s="55" t="str">
        <f>IF($F60="","",IF(SEKOR!BU55&gt;=1,"TUNTAS","TIDAK TUNTAS"))</f>
        <v>TIDAK TUNTAS</v>
      </c>
    </row>
    <row r="61" spans="1:7" s="56" customFormat="1" ht="26.25" customHeight="1" x14ac:dyDescent="0.25">
      <c r="A61" s="126">
        <f>IF(Ujian!A63="","",Ujian!A63)</f>
        <v>54</v>
      </c>
      <c r="B61" s="127" t="str">
        <f>IF(SEKOR!B56="","",SEKOR!B56)</f>
        <v>  234718</v>
      </c>
      <c r="C61" s="127" t="str">
        <f>IF(SEKOR!C56="","",SEKOR!C56)</f>
        <v>  Siti Zubaidah</v>
      </c>
      <c r="D61" s="55">
        <f>IF(C61="","",SEKOR!BN56)</f>
        <v>14</v>
      </c>
      <c r="E61" s="55">
        <f>IF(C61="","",SEKOR!BO56)</f>
        <v>26</v>
      </c>
      <c r="F61" s="58">
        <f>SEKOR!BP56</f>
        <v>35</v>
      </c>
      <c r="G61" s="55" t="str">
        <f>IF($F61="","",IF(SEKOR!BU56&gt;=1,"TUNTAS","TIDAK TUNTAS"))</f>
        <v>TIDAK TUNTAS</v>
      </c>
    </row>
    <row r="62" spans="1:7" s="56" customFormat="1" ht="26.25" customHeight="1" x14ac:dyDescent="0.25">
      <c r="A62" s="126">
        <f>IF(Ujian!A64="","",Ujian!A64)</f>
        <v>55</v>
      </c>
      <c r="B62" s="127" t="str">
        <f>IF(SEKOR!B57="","",SEKOR!B57)</f>
        <v>  234724</v>
      </c>
      <c r="C62" s="127" t="str">
        <f>IF(SEKOR!C57="","",SEKOR!C57)</f>
        <v>  Wahyu Ramadani</v>
      </c>
      <c r="D62" s="55">
        <f>IF(C62="","",SEKOR!BN57)</f>
        <v>25</v>
      </c>
      <c r="E62" s="55">
        <f>IF(C62="","",SEKOR!BO57)</f>
        <v>15</v>
      </c>
      <c r="F62" s="58">
        <f>SEKOR!BP57</f>
        <v>62.5</v>
      </c>
      <c r="G62" s="55" t="str">
        <f>IF($F62="","",IF(SEKOR!BU57&gt;=1,"TUNTAS","TIDAK TUNTAS"))</f>
        <v>TIDAK TUNTAS</v>
      </c>
    </row>
    <row r="63" spans="1:7" s="56" customFormat="1" ht="26.25" customHeight="1" x14ac:dyDescent="0.25">
      <c r="A63" s="126">
        <f>IF(Ujian!A65="","",Ujian!A65)</f>
        <v>56</v>
      </c>
      <c r="B63" s="127" t="str">
        <f>IF(SEKOR!B58="","",SEKOR!B58)</f>
        <v>  234728</v>
      </c>
      <c r="C63" s="127" t="str">
        <f>IF(SEKOR!C58="","",SEKOR!C58)</f>
        <v>  Zaskia Hardiyanti</v>
      </c>
      <c r="D63" s="55">
        <f>IF(C63="","",SEKOR!BN58)</f>
        <v>17</v>
      </c>
      <c r="E63" s="55">
        <f>IF(C63="","",SEKOR!BO58)</f>
        <v>23</v>
      </c>
      <c r="F63" s="58">
        <f>SEKOR!BP58</f>
        <v>42.5</v>
      </c>
      <c r="G63" s="55" t="str">
        <f>IF($F63="","",IF(SEKOR!BU58&gt;=1,"TUNTAS","TIDAK TUNTAS"))</f>
        <v>TIDAK TUNTAS</v>
      </c>
    </row>
    <row r="64" spans="1:7" s="56" customFormat="1" ht="26.25" hidden="1" customHeight="1" x14ac:dyDescent="0.25">
      <c r="A64" s="126" t="str">
        <f>IF(Ujian!A66="","",Ujian!A66)</f>
        <v/>
      </c>
      <c r="B64" s="127" t="str">
        <f>IF(SEKOR!B59="","",SEKOR!B59)</f>
        <v/>
      </c>
      <c r="C64" s="127" t="str">
        <f>IF(SEKOR!C59="","",SEKOR!C59)</f>
        <v/>
      </c>
      <c r="D64" s="55" t="str">
        <f>IF(C64="","",SEKOR!BN59)</f>
        <v/>
      </c>
      <c r="E64" s="55" t="str">
        <f>IF(C64="","",SEKOR!BO59)</f>
        <v/>
      </c>
      <c r="F64" s="58" t="str">
        <f>SEKOR!BP59</f>
        <v/>
      </c>
      <c r="G64" s="55" t="str">
        <f>IF($F64="","",IF(SEKOR!BU59&gt;=1,"TUNTAS","TIDAK TUNTAS"))</f>
        <v/>
      </c>
    </row>
    <row r="65" spans="1:7" s="56" customFormat="1" ht="26.25" hidden="1" customHeight="1" x14ac:dyDescent="0.25">
      <c r="A65" s="126" t="str">
        <f>IF(Ujian!A67="","",Ujian!A67)</f>
        <v/>
      </c>
      <c r="B65" s="127" t="str">
        <f>IF(SEKOR!B60="","",SEKOR!B60)</f>
        <v/>
      </c>
      <c r="C65" s="127" t="str">
        <f>IF(SEKOR!C60="","",SEKOR!C60)</f>
        <v/>
      </c>
      <c r="D65" s="55" t="str">
        <f>IF(C65="","",SEKOR!BN60)</f>
        <v/>
      </c>
      <c r="E65" s="55" t="str">
        <f>IF(C65="","",SEKOR!BO60)</f>
        <v/>
      </c>
      <c r="F65" s="58" t="str">
        <f>SEKOR!BP60</f>
        <v/>
      </c>
      <c r="G65" s="55" t="str">
        <f>IF($F65="","",IF(SEKOR!BU60&gt;=1,"TUNTAS","TIDAK TUNTAS"))</f>
        <v/>
      </c>
    </row>
    <row r="66" spans="1:7" s="56" customFormat="1" ht="26.25" hidden="1" customHeight="1" x14ac:dyDescent="0.25">
      <c r="A66" s="126" t="str">
        <f>IF(Ujian!A68="","",Ujian!A68)</f>
        <v/>
      </c>
      <c r="B66" s="127" t="str">
        <f>IF(SEKOR!B61="","",SEKOR!B61)</f>
        <v/>
      </c>
      <c r="C66" s="127" t="str">
        <f>IF(SEKOR!C61="","",SEKOR!C61)</f>
        <v/>
      </c>
      <c r="D66" s="55" t="str">
        <f>IF(C66="","",SEKOR!BN61)</f>
        <v/>
      </c>
      <c r="E66" s="55" t="str">
        <f>IF(C66="","",SEKOR!BO61)</f>
        <v/>
      </c>
      <c r="F66" s="58" t="str">
        <f>SEKOR!BP61</f>
        <v/>
      </c>
      <c r="G66" s="55" t="str">
        <f>IF($F66="","",IF(SEKOR!BU61&gt;=1,"TUNTAS","TIDAK TUNTAS"))</f>
        <v/>
      </c>
    </row>
    <row r="67" spans="1:7" s="56" customFormat="1" ht="26.25" hidden="1" customHeight="1" x14ac:dyDescent="0.25">
      <c r="A67" s="126" t="str">
        <f>IF(Ujian!A69="","",Ujian!A69)</f>
        <v/>
      </c>
      <c r="B67" s="127" t="str">
        <f>IF(SEKOR!B62="","",SEKOR!B62)</f>
        <v/>
      </c>
      <c r="C67" s="127" t="str">
        <f>IF(SEKOR!C62="","",SEKOR!C62)</f>
        <v/>
      </c>
      <c r="D67" s="55" t="str">
        <f>IF(C67="","",SEKOR!BN62)</f>
        <v/>
      </c>
      <c r="E67" s="55" t="str">
        <f>IF(C67="","",SEKOR!BO62)</f>
        <v/>
      </c>
      <c r="F67" s="58" t="str">
        <f>SEKOR!BP62</f>
        <v/>
      </c>
      <c r="G67" s="55" t="str">
        <f>IF($F67="","",IF(SEKOR!BU62&gt;=1,"TUNTAS","TIDAK TUNTAS"))</f>
        <v/>
      </c>
    </row>
    <row r="68" spans="1:7" s="56" customFormat="1" ht="26.25" hidden="1" customHeight="1" x14ac:dyDescent="0.25">
      <c r="A68" s="126" t="str">
        <f>IF(Ujian!A70="","",Ujian!A70)</f>
        <v/>
      </c>
      <c r="B68" s="127" t="str">
        <f>IF(SEKOR!B63="","",SEKOR!B63)</f>
        <v/>
      </c>
      <c r="C68" s="127" t="str">
        <f>IF(SEKOR!C63="","",SEKOR!C63)</f>
        <v/>
      </c>
      <c r="D68" s="55" t="str">
        <f>IF(C68="","",SEKOR!BN63)</f>
        <v/>
      </c>
      <c r="E68" s="55" t="str">
        <f>IF(C68="","",SEKOR!BO63)</f>
        <v/>
      </c>
      <c r="F68" s="58" t="str">
        <f>SEKOR!BP63</f>
        <v/>
      </c>
      <c r="G68" s="55" t="str">
        <f>IF($F68="","",IF(SEKOR!BU63&gt;=1,"TUNTAS","TIDAK TUNTAS"))</f>
        <v/>
      </c>
    </row>
    <row r="69" spans="1:7" s="56" customFormat="1" ht="26.25" hidden="1" customHeight="1" x14ac:dyDescent="0.25">
      <c r="A69" s="126" t="str">
        <f>IF(Ujian!A71="","",Ujian!A71)</f>
        <v/>
      </c>
      <c r="B69" s="127" t="str">
        <f>IF(SEKOR!B64="","",SEKOR!B64)</f>
        <v/>
      </c>
      <c r="C69" s="127" t="str">
        <f>IF(SEKOR!C64="","",SEKOR!C64)</f>
        <v/>
      </c>
      <c r="D69" s="55" t="str">
        <f>IF(C69="","",SEKOR!BN64)</f>
        <v/>
      </c>
      <c r="E69" s="55" t="str">
        <f>IF(C69="","",SEKOR!BO64)</f>
        <v/>
      </c>
      <c r="F69" s="58" t="str">
        <f>SEKOR!BP64</f>
        <v/>
      </c>
      <c r="G69" s="55" t="str">
        <f>IF($F69="","",IF(SEKOR!BU64&gt;=1,"TUNTAS","TIDAK TUNTAS"))</f>
        <v/>
      </c>
    </row>
    <row r="70" spans="1:7" s="56" customFormat="1" ht="26.25" hidden="1" customHeight="1" x14ac:dyDescent="0.25">
      <c r="A70" s="126" t="str">
        <f>IF(Ujian!A72="","",Ujian!A72)</f>
        <v/>
      </c>
      <c r="B70" s="127" t="str">
        <f>IF(SEKOR!B65="","",SEKOR!B65)</f>
        <v/>
      </c>
      <c r="C70" s="127" t="str">
        <f>IF(SEKOR!C65="","",SEKOR!C65)</f>
        <v/>
      </c>
      <c r="D70" s="55" t="str">
        <f>IF(C70="","",SEKOR!BN65)</f>
        <v/>
      </c>
      <c r="E70" s="55" t="str">
        <f>IF(C70="","",SEKOR!BO65)</f>
        <v/>
      </c>
      <c r="F70" s="58" t="str">
        <f>SEKOR!BP65</f>
        <v/>
      </c>
      <c r="G70" s="55" t="str">
        <f>IF($F70="","",IF(SEKOR!BU65&gt;=1,"TUNTAS","TIDAK TUNTAS"))</f>
        <v/>
      </c>
    </row>
    <row r="71" spans="1:7" s="56" customFormat="1" ht="26.25" hidden="1" customHeight="1" x14ac:dyDescent="0.25">
      <c r="A71" s="126" t="str">
        <f>IF(Ujian!A73="","",Ujian!A73)</f>
        <v/>
      </c>
      <c r="B71" s="127" t="str">
        <f>IF(SEKOR!B66="","",SEKOR!B66)</f>
        <v/>
      </c>
      <c r="C71" s="127" t="str">
        <f>IF(SEKOR!C66="","",SEKOR!C66)</f>
        <v/>
      </c>
      <c r="D71" s="55" t="str">
        <f>IF(C71="","",SEKOR!BN66)</f>
        <v/>
      </c>
      <c r="E71" s="55" t="str">
        <f>IF(C71="","",SEKOR!BO66)</f>
        <v/>
      </c>
      <c r="F71" s="58" t="str">
        <f>SEKOR!BP66</f>
        <v/>
      </c>
      <c r="G71" s="55" t="str">
        <f>IF($F71="","",IF(SEKOR!BU66&gt;=1,"TUNTAS","TIDAK TUNTAS"))</f>
        <v/>
      </c>
    </row>
    <row r="72" spans="1:7" s="56" customFormat="1" ht="26.25" hidden="1" customHeight="1" x14ac:dyDescent="0.25">
      <c r="A72" s="126" t="str">
        <f>IF(Ujian!A74="","",Ujian!A74)</f>
        <v/>
      </c>
      <c r="B72" s="127" t="str">
        <f>IF(SEKOR!B67="","",SEKOR!B67)</f>
        <v/>
      </c>
      <c r="C72" s="127" t="str">
        <f>IF(SEKOR!C67="","",SEKOR!C67)</f>
        <v/>
      </c>
      <c r="D72" s="55" t="str">
        <f>IF(C72="","",SEKOR!BN67)</f>
        <v/>
      </c>
      <c r="E72" s="55" t="str">
        <f>IF(C72="","",SEKOR!BO67)</f>
        <v/>
      </c>
      <c r="F72" s="58" t="str">
        <f>SEKOR!BP67</f>
        <v/>
      </c>
      <c r="G72" s="55" t="str">
        <f>IF($F72="","",IF(SEKOR!BU67&gt;=1,"TUNTAS","TIDAK TUNTAS"))</f>
        <v/>
      </c>
    </row>
    <row r="73" spans="1:7" s="56" customFormat="1" ht="26.25" hidden="1" customHeight="1" x14ac:dyDescent="0.25">
      <c r="A73" s="126" t="str">
        <f>IF(Ujian!A75="","",Ujian!A75)</f>
        <v/>
      </c>
      <c r="B73" s="127" t="str">
        <f>IF(SEKOR!B68="","",SEKOR!B68)</f>
        <v/>
      </c>
      <c r="C73" s="127" t="str">
        <f>IF(SEKOR!C68="","",SEKOR!C68)</f>
        <v/>
      </c>
      <c r="D73" s="55" t="str">
        <f>IF(C73="","",SEKOR!BN68)</f>
        <v/>
      </c>
      <c r="E73" s="55" t="str">
        <f>IF(C73="","",SEKOR!BO68)</f>
        <v/>
      </c>
      <c r="F73" s="58" t="str">
        <f>SEKOR!BP68</f>
        <v/>
      </c>
      <c r="G73" s="55" t="str">
        <f>IF($F73="","",IF(SEKOR!BU68&gt;=1,"TUNTAS","TIDAK TUNTAS"))</f>
        <v/>
      </c>
    </row>
    <row r="74" spans="1:7" s="56" customFormat="1" ht="26.25" hidden="1" customHeight="1" x14ac:dyDescent="0.25">
      <c r="A74" s="126" t="str">
        <f>IF(Ujian!A76="","",Ujian!A76)</f>
        <v/>
      </c>
      <c r="B74" s="127" t="str">
        <f>IF(SEKOR!B69="","",SEKOR!B69)</f>
        <v/>
      </c>
      <c r="C74" s="127" t="str">
        <f>IF(SEKOR!C69="","",SEKOR!C69)</f>
        <v/>
      </c>
      <c r="D74" s="55" t="str">
        <f>IF(C74="","",SEKOR!BN69)</f>
        <v/>
      </c>
      <c r="E74" s="55" t="str">
        <f>IF(C74="","",SEKOR!BO69)</f>
        <v/>
      </c>
      <c r="F74" s="58" t="str">
        <f>SEKOR!BP69</f>
        <v/>
      </c>
      <c r="G74" s="55" t="str">
        <f>IF($F74="","",IF(SEKOR!BU69&gt;=1,"TUNTAS","TIDAK TUNTAS"))</f>
        <v/>
      </c>
    </row>
    <row r="75" spans="1:7" s="56" customFormat="1" ht="26.25" hidden="1" customHeight="1" x14ac:dyDescent="0.25">
      <c r="A75" s="126" t="str">
        <f>IF(Ujian!A77="","",Ujian!A77)</f>
        <v/>
      </c>
      <c r="B75" s="127" t="str">
        <f>IF(SEKOR!B70="","",SEKOR!B70)</f>
        <v/>
      </c>
      <c r="C75" s="127" t="str">
        <f>IF(SEKOR!C70="","",SEKOR!C70)</f>
        <v/>
      </c>
      <c r="D75" s="55" t="str">
        <f>IF(C75="","",SEKOR!BN70)</f>
        <v/>
      </c>
      <c r="E75" s="55" t="str">
        <f>IF(C75="","",SEKOR!BO70)</f>
        <v/>
      </c>
      <c r="F75" s="58" t="str">
        <f>SEKOR!BP70</f>
        <v/>
      </c>
      <c r="G75" s="55" t="str">
        <f>IF($F75="","",IF(SEKOR!BU70&gt;=1,"TUNTAS","TIDAK TUNTAS"))</f>
        <v/>
      </c>
    </row>
    <row r="76" spans="1:7" s="56" customFormat="1" ht="26.25" hidden="1" customHeight="1" x14ac:dyDescent="0.25">
      <c r="A76" s="126" t="str">
        <f>IF(Ujian!A78="","",Ujian!A78)</f>
        <v/>
      </c>
      <c r="B76" s="127" t="str">
        <f>IF(SEKOR!B71="","",SEKOR!B71)</f>
        <v/>
      </c>
      <c r="C76" s="127" t="str">
        <f>IF(SEKOR!C71="","",SEKOR!C71)</f>
        <v/>
      </c>
      <c r="D76" s="55" t="str">
        <f>IF(C76="","",SEKOR!BN71)</f>
        <v/>
      </c>
      <c r="E76" s="55" t="str">
        <f>IF(C76="","",SEKOR!BO71)</f>
        <v/>
      </c>
      <c r="F76" s="58" t="str">
        <f>SEKOR!BP71</f>
        <v/>
      </c>
      <c r="G76" s="55" t="str">
        <f>IF($F76="","",IF(SEKOR!BU71&gt;=1,"TUNTAS","TIDAK TUNTAS"))</f>
        <v/>
      </c>
    </row>
    <row r="77" spans="1:7" s="56" customFormat="1" ht="26.25" hidden="1" customHeight="1" x14ac:dyDescent="0.25">
      <c r="A77" s="126" t="str">
        <f>IF(Ujian!A79="","",Ujian!A79)</f>
        <v/>
      </c>
      <c r="B77" s="127" t="str">
        <f>IF(SEKOR!B72="","",SEKOR!B72)</f>
        <v/>
      </c>
      <c r="C77" s="127" t="str">
        <f>IF(SEKOR!C72="","",SEKOR!C72)</f>
        <v/>
      </c>
      <c r="D77" s="55" t="str">
        <f>IF(C77="","",SEKOR!BN72)</f>
        <v/>
      </c>
      <c r="E77" s="55" t="str">
        <f>IF(C77="","",SEKOR!BO72)</f>
        <v/>
      </c>
      <c r="F77" s="58" t="str">
        <f>SEKOR!BP72</f>
        <v/>
      </c>
      <c r="G77" s="55" t="str">
        <f>IF($F77="","",IF(SEKOR!BU72&gt;=1,"TUNTAS","TIDAK TUNTAS"))</f>
        <v/>
      </c>
    </row>
    <row r="78" spans="1:7" s="56" customFormat="1" ht="26.25" hidden="1" customHeight="1" x14ac:dyDescent="0.25">
      <c r="A78" s="126" t="str">
        <f>IF(Ujian!A80="","",Ujian!A80)</f>
        <v/>
      </c>
      <c r="B78" s="127" t="str">
        <f>IF(SEKOR!B73="","",SEKOR!B73)</f>
        <v/>
      </c>
      <c r="C78" s="127" t="str">
        <f>IF(SEKOR!C73="","",SEKOR!C73)</f>
        <v/>
      </c>
      <c r="D78" s="55" t="str">
        <f>IF(C78="","",SEKOR!BN73)</f>
        <v/>
      </c>
      <c r="E78" s="55" t="str">
        <f>IF(C78="","",SEKOR!BO73)</f>
        <v/>
      </c>
      <c r="F78" s="58" t="str">
        <f>SEKOR!BP73</f>
        <v/>
      </c>
      <c r="G78" s="55" t="str">
        <f>IF($F78="","",IF(SEKOR!BU73&gt;=1,"TUNTAS","TIDAK TUNTAS"))</f>
        <v/>
      </c>
    </row>
    <row r="79" spans="1:7" s="56" customFormat="1" ht="26.25" hidden="1" customHeight="1" x14ac:dyDescent="0.25">
      <c r="A79" s="126" t="str">
        <f>IF(Ujian!A81="","",Ujian!A81)</f>
        <v/>
      </c>
      <c r="B79" s="127" t="str">
        <f>IF(SEKOR!B74="","",SEKOR!B74)</f>
        <v/>
      </c>
      <c r="C79" s="127" t="str">
        <f>IF(SEKOR!C74="","",SEKOR!C74)</f>
        <v/>
      </c>
      <c r="D79" s="55" t="str">
        <f>IF(C79="","",SEKOR!BN74)</f>
        <v/>
      </c>
      <c r="E79" s="55" t="str">
        <f>IF(C79="","",SEKOR!BO74)</f>
        <v/>
      </c>
      <c r="F79" s="58" t="str">
        <f>SEKOR!BP74</f>
        <v/>
      </c>
      <c r="G79" s="55" t="str">
        <f>IF($F79="","",IF(SEKOR!BU74&gt;=1,"TUNTAS","TIDAK TUNTAS"))</f>
        <v/>
      </c>
    </row>
    <row r="80" spans="1:7" s="56" customFormat="1" ht="26.25" hidden="1" customHeight="1" x14ac:dyDescent="0.25">
      <c r="A80" s="126" t="str">
        <f>IF(Ujian!A82="","",Ujian!A82)</f>
        <v/>
      </c>
      <c r="B80" s="127" t="str">
        <f>IF(SEKOR!B75="","",SEKOR!B75)</f>
        <v/>
      </c>
      <c r="C80" s="127" t="str">
        <f>IF(SEKOR!C75="","",SEKOR!C75)</f>
        <v/>
      </c>
      <c r="D80" s="55" t="str">
        <f>IF(C80="","",SEKOR!BN75)</f>
        <v/>
      </c>
      <c r="E80" s="55" t="str">
        <f>IF(C80="","",SEKOR!BO75)</f>
        <v/>
      </c>
      <c r="F80" s="58" t="str">
        <f>SEKOR!BP75</f>
        <v/>
      </c>
      <c r="G80" s="55" t="str">
        <f>IF($F80="","",IF(SEKOR!BU75&gt;=1,"TUNTAS","TIDAK TUNTAS"))</f>
        <v/>
      </c>
    </row>
    <row r="81" spans="1:7" s="56" customFormat="1" ht="26.25" hidden="1" customHeight="1" x14ac:dyDescent="0.25">
      <c r="A81" s="126" t="str">
        <f>IF(Ujian!A83="","",Ujian!A83)</f>
        <v/>
      </c>
      <c r="B81" s="127" t="str">
        <f>IF(SEKOR!B76="","",SEKOR!B76)</f>
        <v/>
      </c>
      <c r="C81" s="127" t="str">
        <f>IF(SEKOR!C76="","",SEKOR!C76)</f>
        <v/>
      </c>
      <c r="D81" s="55" t="str">
        <f>IF(C81="","",SEKOR!BN76)</f>
        <v/>
      </c>
      <c r="E81" s="55" t="str">
        <f>IF(C81="","",SEKOR!BO76)</f>
        <v/>
      </c>
      <c r="F81" s="58" t="str">
        <f>SEKOR!BP76</f>
        <v/>
      </c>
      <c r="G81" s="55" t="str">
        <f>IF($F81="","",IF(SEKOR!BU76&gt;=1,"TUNTAS","TIDAK TUNTAS"))</f>
        <v/>
      </c>
    </row>
    <row r="82" spans="1:7" s="56" customFormat="1" ht="26.25" hidden="1" customHeight="1" x14ac:dyDescent="0.25">
      <c r="A82" s="126" t="str">
        <f>IF(Ujian!A84="","",Ujian!A84)</f>
        <v/>
      </c>
      <c r="B82" s="127" t="str">
        <f>IF(SEKOR!B77="","",SEKOR!B77)</f>
        <v/>
      </c>
      <c r="C82" s="127" t="str">
        <f>IF(SEKOR!C77="","",SEKOR!C77)</f>
        <v/>
      </c>
      <c r="D82" s="55" t="str">
        <f>IF(C82="","",SEKOR!BN77)</f>
        <v/>
      </c>
      <c r="E82" s="55" t="str">
        <f>IF(C82="","",SEKOR!BO77)</f>
        <v/>
      </c>
      <c r="F82" s="58" t="str">
        <f>SEKOR!BP77</f>
        <v/>
      </c>
      <c r="G82" s="55" t="str">
        <f>IF($F82="","",IF(SEKOR!BU77&gt;=1,"TUNTAS","TIDAK TUNTAS"))</f>
        <v/>
      </c>
    </row>
    <row r="83" spans="1:7" s="56" customFormat="1" ht="26.25" hidden="1" customHeight="1" x14ac:dyDescent="0.25">
      <c r="A83" s="126" t="str">
        <f>IF(Ujian!A85="","",Ujian!A85)</f>
        <v/>
      </c>
      <c r="B83" s="127" t="str">
        <f>IF(SEKOR!B78="","",SEKOR!B78)</f>
        <v/>
      </c>
      <c r="C83" s="127" t="str">
        <f>IF(SEKOR!C78="","",SEKOR!C78)</f>
        <v/>
      </c>
      <c r="D83" s="55" t="str">
        <f>IF(C83="","",SEKOR!BN78)</f>
        <v/>
      </c>
      <c r="E83" s="55" t="str">
        <f>IF(C83="","",SEKOR!BO78)</f>
        <v/>
      </c>
      <c r="F83" s="58" t="str">
        <f>SEKOR!BP78</f>
        <v/>
      </c>
      <c r="G83" s="55" t="str">
        <f>IF($F83="","",IF(SEKOR!BU78&gt;=1,"TUNTAS","TIDAK TUNTAS"))</f>
        <v/>
      </c>
    </row>
    <row r="84" spans="1:7" s="56" customFormat="1" ht="26.25" hidden="1" customHeight="1" x14ac:dyDescent="0.25">
      <c r="A84" s="126" t="str">
        <f>IF(Ujian!A86="","",Ujian!A86)</f>
        <v/>
      </c>
      <c r="B84" s="127" t="str">
        <f>IF(SEKOR!B79="","",SEKOR!B79)</f>
        <v/>
      </c>
      <c r="C84" s="127" t="str">
        <f>IF(SEKOR!C79="","",SEKOR!C79)</f>
        <v/>
      </c>
      <c r="D84" s="55" t="str">
        <f>IF(C84="","",SEKOR!BN79)</f>
        <v/>
      </c>
      <c r="E84" s="55" t="str">
        <f>IF(C84="","",SEKOR!BO79)</f>
        <v/>
      </c>
      <c r="F84" s="58" t="str">
        <f>SEKOR!BP79</f>
        <v/>
      </c>
      <c r="G84" s="55" t="str">
        <f>IF($F84="","",IF(SEKOR!BU79&gt;=1,"TUNTAS","TIDAK TUNTAS"))</f>
        <v/>
      </c>
    </row>
    <row r="85" spans="1:7" s="56" customFormat="1" ht="26.25" hidden="1" customHeight="1" x14ac:dyDescent="0.25">
      <c r="A85" s="126" t="str">
        <f>IF(Ujian!A87="","",Ujian!A87)</f>
        <v/>
      </c>
      <c r="B85" s="127" t="str">
        <f>IF(SEKOR!B80="","",SEKOR!B80)</f>
        <v/>
      </c>
      <c r="C85" s="127" t="str">
        <f>IF(SEKOR!C80="","",SEKOR!C80)</f>
        <v/>
      </c>
      <c r="D85" s="55" t="str">
        <f>IF(C85="","",SEKOR!BN80)</f>
        <v/>
      </c>
      <c r="E85" s="55" t="str">
        <f>IF(C85="","",SEKOR!BO80)</f>
        <v/>
      </c>
      <c r="F85" s="58" t="str">
        <f>SEKOR!BP80</f>
        <v/>
      </c>
      <c r="G85" s="55" t="str">
        <f>IF($F85="","",IF(SEKOR!BU80&gt;=1,"TUNTAS","TIDAK TUNTAS"))</f>
        <v/>
      </c>
    </row>
    <row r="86" spans="1:7" s="56" customFormat="1" ht="26.25" hidden="1" customHeight="1" x14ac:dyDescent="0.25">
      <c r="A86" s="126" t="str">
        <f>IF(Ujian!A88="","",Ujian!A88)</f>
        <v/>
      </c>
      <c r="B86" s="127" t="str">
        <f>IF(SEKOR!B81="","",SEKOR!B81)</f>
        <v/>
      </c>
      <c r="C86" s="127" t="str">
        <f>IF(SEKOR!C81="","",SEKOR!C81)</f>
        <v/>
      </c>
      <c r="D86" s="55" t="str">
        <f>IF(C86="","",SEKOR!BN81)</f>
        <v/>
      </c>
      <c r="E86" s="55" t="str">
        <f>IF(C86="","",SEKOR!BO81)</f>
        <v/>
      </c>
      <c r="F86" s="58" t="str">
        <f>SEKOR!BP81</f>
        <v/>
      </c>
      <c r="G86" s="55" t="str">
        <f>IF($F86="","",IF(SEKOR!BU81&gt;=1,"TUNTAS","TIDAK TUNTAS"))</f>
        <v/>
      </c>
    </row>
    <row r="87" spans="1:7" s="56" customFormat="1" ht="26.25" hidden="1" customHeight="1" x14ac:dyDescent="0.25">
      <c r="A87" s="126" t="str">
        <f>IF(Ujian!A89="","",Ujian!A89)</f>
        <v/>
      </c>
      <c r="B87" s="127" t="str">
        <f>IF(SEKOR!B82="","",SEKOR!B82)</f>
        <v/>
      </c>
      <c r="C87" s="127" t="str">
        <f>IF(SEKOR!C82="","",SEKOR!C82)</f>
        <v/>
      </c>
      <c r="D87" s="55" t="str">
        <f>IF(C87="","",SEKOR!BN82)</f>
        <v/>
      </c>
      <c r="E87" s="55" t="str">
        <f>IF(C87="","",SEKOR!BO82)</f>
        <v/>
      </c>
      <c r="F87" s="58" t="str">
        <f>SEKOR!BP82</f>
        <v/>
      </c>
      <c r="G87" s="55" t="str">
        <f>IF($F87="","",IF(SEKOR!BU82&gt;=1,"TUNTAS","TIDAK TUNTAS"))</f>
        <v/>
      </c>
    </row>
    <row r="88" spans="1:7" s="56" customFormat="1" ht="26.25" hidden="1" customHeight="1" x14ac:dyDescent="0.25">
      <c r="A88" s="126" t="str">
        <f>IF(Ujian!A90="","",Ujian!A90)</f>
        <v/>
      </c>
      <c r="B88" s="127" t="str">
        <f>IF(SEKOR!B83="","",SEKOR!B83)</f>
        <v/>
      </c>
      <c r="C88" s="127" t="str">
        <f>IF(SEKOR!C83="","",SEKOR!C83)</f>
        <v/>
      </c>
      <c r="D88" s="55" t="str">
        <f>IF(C88="","",SEKOR!BN83)</f>
        <v/>
      </c>
      <c r="E88" s="55" t="str">
        <f>IF(C88="","",SEKOR!BO83)</f>
        <v/>
      </c>
      <c r="F88" s="58" t="str">
        <f>SEKOR!BP83</f>
        <v/>
      </c>
      <c r="G88" s="55" t="str">
        <f>IF($F88="","",IF(SEKOR!BU83&gt;=1,"TUNTAS","TIDAK TUNTAS"))</f>
        <v/>
      </c>
    </row>
    <row r="89" spans="1:7" s="56" customFormat="1" ht="26.25" hidden="1" customHeight="1" x14ac:dyDescent="0.25">
      <c r="A89" s="126" t="str">
        <f>IF(Ujian!A91="","",Ujian!A91)</f>
        <v/>
      </c>
      <c r="B89" s="127" t="str">
        <f>IF(SEKOR!B84="","",SEKOR!B84)</f>
        <v/>
      </c>
      <c r="C89" s="127" t="str">
        <f>IF(SEKOR!C84="","",SEKOR!C84)</f>
        <v/>
      </c>
      <c r="D89" s="55" t="str">
        <f>IF(C89="","",SEKOR!BN84)</f>
        <v/>
      </c>
      <c r="E89" s="55" t="str">
        <f>IF(C89="","",SEKOR!BO84)</f>
        <v/>
      </c>
      <c r="F89" s="58" t="str">
        <f>SEKOR!BP84</f>
        <v/>
      </c>
      <c r="G89" s="55" t="str">
        <f>IF($F89="","",IF(SEKOR!BU84&gt;=1,"TUNTAS","TIDAK TUNTAS"))</f>
        <v/>
      </c>
    </row>
    <row r="90" spans="1:7" s="56" customFormat="1" ht="26.25" hidden="1" customHeight="1" x14ac:dyDescent="0.25">
      <c r="A90" s="126" t="str">
        <f>IF(Ujian!A92="","",Ujian!A92)</f>
        <v/>
      </c>
      <c r="B90" s="127" t="str">
        <f>IF(SEKOR!B85="","",SEKOR!B85)</f>
        <v/>
      </c>
      <c r="C90" s="127" t="str">
        <f>IF(SEKOR!C85="","",SEKOR!C85)</f>
        <v/>
      </c>
      <c r="D90" s="55" t="str">
        <f>IF(C90="","",SEKOR!BN85)</f>
        <v/>
      </c>
      <c r="E90" s="55" t="str">
        <f>IF(C90="","",SEKOR!BO85)</f>
        <v/>
      </c>
      <c r="F90" s="58" t="str">
        <f>SEKOR!BP85</f>
        <v/>
      </c>
      <c r="G90" s="55" t="str">
        <f>IF($F90="","",IF(SEKOR!BU85&gt;=1,"TUNTAS","TIDAK TUNTAS"))</f>
        <v/>
      </c>
    </row>
    <row r="91" spans="1:7" s="56" customFormat="1" ht="26.25" hidden="1" customHeight="1" x14ac:dyDescent="0.25">
      <c r="A91" s="126" t="str">
        <f>IF(Ujian!A93="","",Ujian!A93)</f>
        <v/>
      </c>
      <c r="B91" s="127" t="str">
        <f>IF(SEKOR!B86="","",SEKOR!B86)</f>
        <v/>
      </c>
      <c r="C91" s="127" t="str">
        <f>IF(SEKOR!C86="","",SEKOR!C86)</f>
        <v/>
      </c>
      <c r="D91" s="55" t="str">
        <f>IF(C91="","",SEKOR!BN86)</f>
        <v/>
      </c>
      <c r="E91" s="55" t="str">
        <f>IF(C91="","",SEKOR!BO86)</f>
        <v/>
      </c>
      <c r="F91" s="58" t="str">
        <f>SEKOR!BP86</f>
        <v/>
      </c>
      <c r="G91" s="55" t="str">
        <f>IF($F91="","",IF(SEKOR!BU86&gt;=1,"TUNTAS","TIDAK TUNTAS"))</f>
        <v/>
      </c>
    </row>
    <row r="92" spans="1:7" s="56" customFormat="1" ht="26.25" hidden="1" customHeight="1" x14ac:dyDescent="0.25">
      <c r="A92" s="126" t="str">
        <f>IF(Ujian!A94="","",Ujian!A94)</f>
        <v/>
      </c>
      <c r="B92" s="127" t="str">
        <f>IF(SEKOR!B87="","",SEKOR!B87)</f>
        <v/>
      </c>
      <c r="C92" s="127" t="str">
        <f>IF(SEKOR!C87="","",SEKOR!C87)</f>
        <v/>
      </c>
      <c r="D92" s="55" t="str">
        <f>IF(C92="","",SEKOR!BN87)</f>
        <v/>
      </c>
      <c r="E92" s="55" t="str">
        <f>IF(C92="","",SEKOR!BO87)</f>
        <v/>
      </c>
      <c r="F92" s="58" t="str">
        <f>SEKOR!BP87</f>
        <v/>
      </c>
      <c r="G92" s="55" t="str">
        <f>IF($F92="","",IF(SEKOR!BU87&gt;=1,"TUNTAS","TIDAK TUNTAS"))</f>
        <v/>
      </c>
    </row>
    <row r="93" spans="1:7" s="56" customFormat="1" ht="26.25" hidden="1" customHeight="1" x14ac:dyDescent="0.25">
      <c r="A93" s="126" t="str">
        <f>IF(Ujian!A95="","",Ujian!A95)</f>
        <v/>
      </c>
      <c r="B93" s="127" t="str">
        <f>IF(SEKOR!B88="","",SEKOR!B88)</f>
        <v/>
      </c>
      <c r="C93" s="127" t="str">
        <f>IF(SEKOR!C88="","",SEKOR!C88)</f>
        <v/>
      </c>
      <c r="D93" s="55" t="str">
        <f>IF(C93="","",SEKOR!BN88)</f>
        <v/>
      </c>
      <c r="E93" s="55" t="str">
        <f>IF(C93="","",SEKOR!BO88)</f>
        <v/>
      </c>
      <c r="F93" s="58" t="str">
        <f>SEKOR!BP88</f>
        <v/>
      </c>
      <c r="G93" s="55" t="str">
        <f>IF($F93="","",IF(SEKOR!BU88&gt;=1,"TUNTAS","TIDAK TUNTAS"))</f>
        <v/>
      </c>
    </row>
    <row r="94" spans="1:7" s="56" customFormat="1" ht="26.25" hidden="1" customHeight="1" x14ac:dyDescent="0.25">
      <c r="A94" s="126" t="str">
        <f>IF(Ujian!A96="","",Ujian!A96)</f>
        <v/>
      </c>
      <c r="B94" s="127" t="str">
        <f>IF(SEKOR!B89="","",SEKOR!B89)</f>
        <v/>
      </c>
      <c r="C94" s="127" t="str">
        <f>IF(SEKOR!C89="","",SEKOR!C89)</f>
        <v/>
      </c>
      <c r="D94" s="55" t="str">
        <f>IF(C94="","",SEKOR!BN89)</f>
        <v/>
      </c>
      <c r="E94" s="55" t="str">
        <f>IF(C94="","",SEKOR!BO89)</f>
        <v/>
      </c>
      <c r="F94" s="58" t="str">
        <f>SEKOR!BP89</f>
        <v/>
      </c>
      <c r="G94" s="55" t="str">
        <f>IF($F94="","",IF(SEKOR!BU89&gt;=1,"TUNTAS","TIDAK TUNTAS"))</f>
        <v/>
      </c>
    </row>
    <row r="95" spans="1:7" s="56" customFormat="1" ht="26.25" hidden="1" customHeight="1" x14ac:dyDescent="0.25">
      <c r="A95" s="126" t="str">
        <f>IF(Ujian!A97="","",Ujian!A97)</f>
        <v/>
      </c>
      <c r="B95" s="127" t="str">
        <f>IF(SEKOR!B90="","",SEKOR!B90)</f>
        <v/>
      </c>
      <c r="C95" s="127" t="str">
        <f>IF(SEKOR!C90="","",SEKOR!C90)</f>
        <v/>
      </c>
      <c r="D95" s="55" t="str">
        <f>IF(C95="","",SEKOR!BN90)</f>
        <v/>
      </c>
      <c r="E95" s="55" t="str">
        <f>IF(C95="","",SEKOR!BO90)</f>
        <v/>
      </c>
      <c r="F95" s="58" t="str">
        <f>SEKOR!BP90</f>
        <v/>
      </c>
      <c r="G95" s="55" t="str">
        <f>IF($F95="","",IF(SEKOR!BU90&gt;=1,"TUNTAS","TIDAK TUNTAS"))</f>
        <v/>
      </c>
    </row>
    <row r="96" spans="1:7" s="56" customFormat="1" ht="26.25" hidden="1" customHeight="1" x14ac:dyDescent="0.25">
      <c r="A96" s="126" t="str">
        <f>IF(Ujian!A98="","",Ujian!A98)</f>
        <v/>
      </c>
      <c r="B96" s="127" t="str">
        <f>IF(SEKOR!B91="","",SEKOR!B91)</f>
        <v/>
      </c>
      <c r="C96" s="127" t="str">
        <f>IF(SEKOR!C91="","",SEKOR!C91)</f>
        <v/>
      </c>
      <c r="D96" s="55" t="str">
        <f>IF(C96="","",SEKOR!BN91)</f>
        <v/>
      </c>
      <c r="E96" s="55" t="str">
        <f>IF(C96="","",SEKOR!BO91)</f>
        <v/>
      </c>
      <c r="F96" s="58" t="str">
        <f>SEKOR!BP91</f>
        <v/>
      </c>
      <c r="G96" s="55" t="str">
        <f>IF($F96="","",IF(SEKOR!BU91&gt;=1,"TUNTAS","TIDAK TUNTAS"))</f>
        <v/>
      </c>
    </row>
    <row r="97" spans="1:7" s="56" customFormat="1" ht="26.25" hidden="1" customHeight="1" x14ac:dyDescent="0.25">
      <c r="A97" s="126" t="str">
        <f>IF(Ujian!A99="","",Ujian!A99)</f>
        <v/>
      </c>
      <c r="B97" s="127" t="str">
        <f>IF(SEKOR!B92="","",SEKOR!B92)</f>
        <v/>
      </c>
      <c r="C97" s="127" t="str">
        <f>IF(SEKOR!C92="","",SEKOR!C92)</f>
        <v/>
      </c>
      <c r="D97" s="55" t="str">
        <f>IF(C97="","",SEKOR!BN92)</f>
        <v/>
      </c>
      <c r="E97" s="55" t="str">
        <f>IF(C97="","",SEKOR!BO92)</f>
        <v/>
      </c>
      <c r="F97" s="58" t="str">
        <f>SEKOR!BP92</f>
        <v/>
      </c>
      <c r="G97" s="55" t="str">
        <f>IF($F97="","",IF(SEKOR!BU92&gt;=1,"TUNTAS","TIDAK TUNTAS"))</f>
        <v/>
      </c>
    </row>
    <row r="98" spans="1:7" s="56" customFormat="1" ht="26.25" hidden="1" customHeight="1" x14ac:dyDescent="0.25">
      <c r="A98" s="126" t="str">
        <f>IF(Ujian!A100="","",Ujian!A100)</f>
        <v/>
      </c>
      <c r="B98" s="127" t="str">
        <f>IF(SEKOR!B93="","",SEKOR!B93)</f>
        <v/>
      </c>
      <c r="C98" s="127" t="str">
        <f>IF(SEKOR!C93="","",SEKOR!C93)</f>
        <v/>
      </c>
      <c r="D98" s="55" t="str">
        <f>IF(C98="","",SEKOR!BN93)</f>
        <v/>
      </c>
      <c r="E98" s="55" t="str">
        <f>IF(C98="","",SEKOR!BO93)</f>
        <v/>
      </c>
      <c r="F98" s="58" t="str">
        <f>SEKOR!BP93</f>
        <v/>
      </c>
      <c r="G98" s="55" t="str">
        <f>IF($F98="","",IF(SEKOR!BU93&gt;=1,"TUNTAS","TIDAK TUNTAS"))</f>
        <v/>
      </c>
    </row>
    <row r="99" spans="1:7" s="56" customFormat="1" ht="26.25" hidden="1" customHeight="1" x14ac:dyDescent="0.25">
      <c r="A99" s="126" t="str">
        <f>IF(Ujian!A101="","",Ujian!A101)</f>
        <v/>
      </c>
      <c r="B99" s="127" t="str">
        <f>IF(SEKOR!B94="","",SEKOR!B94)</f>
        <v/>
      </c>
      <c r="C99" s="127" t="str">
        <f>IF(SEKOR!C94="","",SEKOR!C94)</f>
        <v/>
      </c>
      <c r="D99" s="55" t="str">
        <f>IF(C99="","",SEKOR!BN94)</f>
        <v/>
      </c>
      <c r="E99" s="55" t="str">
        <f>IF(C99="","",SEKOR!BO94)</f>
        <v/>
      </c>
      <c r="F99" s="58" t="str">
        <f>SEKOR!BP94</f>
        <v/>
      </c>
      <c r="G99" s="55" t="str">
        <f>IF($F99="","",IF(SEKOR!BU94&gt;=1,"TUNTAS","TIDAK TUNTAS"))</f>
        <v/>
      </c>
    </row>
    <row r="100" spans="1:7" s="56" customFormat="1" ht="26.25" hidden="1" customHeight="1" x14ac:dyDescent="0.25">
      <c r="A100" s="126" t="str">
        <f>IF(Ujian!A102="","",Ujian!A102)</f>
        <v/>
      </c>
      <c r="B100" s="127" t="str">
        <f>IF(SEKOR!B95="","",SEKOR!B95)</f>
        <v/>
      </c>
      <c r="C100" s="127" t="str">
        <f>IF(SEKOR!C95="","",SEKOR!C95)</f>
        <v/>
      </c>
      <c r="D100" s="55" t="str">
        <f>IF(C100="","",SEKOR!BN95)</f>
        <v/>
      </c>
      <c r="E100" s="55" t="str">
        <f>IF(C100="","",SEKOR!BO95)</f>
        <v/>
      </c>
      <c r="F100" s="58" t="str">
        <f>SEKOR!BP95</f>
        <v/>
      </c>
      <c r="G100" s="55" t="str">
        <f>IF($F100="","",IF(SEKOR!BU95&gt;=1,"TUNTAS","TIDAK TUNTAS"))</f>
        <v/>
      </c>
    </row>
    <row r="101" spans="1:7" s="56" customFormat="1" ht="26.25" hidden="1" customHeight="1" x14ac:dyDescent="0.25">
      <c r="A101" s="126" t="str">
        <f>IF(Ujian!A103="","",Ujian!A103)</f>
        <v/>
      </c>
      <c r="B101" s="127" t="str">
        <f>IF(SEKOR!B96="","",SEKOR!B96)</f>
        <v/>
      </c>
      <c r="C101" s="127" t="str">
        <f>IF(SEKOR!C96="","",SEKOR!C96)</f>
        <v/>
      </c>
      <c r="D101" s="55" t="str">
        <f>IF(C101="","",SEKOR!BN96)</f>
        <v/>
      </c>
      <c r="E101" s="55" t="str">
        <f>IF(C101="","",SEKOR!BO96)</f>
        <v/>
      </c>
      <c r="F101" s="58" t="str">
        <f>SEKOR!BP96</f>
        <v/>
      </c>
      <c r="G101" s="55" t="str">
        <f>IF($F101="","",IF(SEKOR!BU96&gt;=1,"TUNTAS","TIDAK TUNTAS"))</f>
        <v/>
      </c>
    </row>
    <row r="102" spans="1:7" s="56" customFormat="1" ht="26.25" hidden="1" customHeight="1" x14ac:dyDescent="0.25">
      <c r="A102" s="126" t="str">
        <f>IF(Ujian!A104="","",Ujian!A104)</f>
        <v/>
      </c>
      <c r="B102" s="127" t="str">
        <f>IF(SEKOR!B97="","",SEKOR!B97)</f>
        <v/>
      </c>
      <c r="C102" s="127" t="str">
        <f>IF(SEKOR!C97="","",SEKOR!C97)</f>
        <v/>
      </c>
      <c r="D102" s="55" t="str">
        <f>IF(C102="","",SEKOR!BN97)</f>
        <v/>
      </c>
      <c r="E102" s="55" t="str">
        <f>IF(C102="","",SEKOR!BO97)</f>
        <v/>
      </c>
      <c r="F102" s="58" t="str">
        <f>SEKOR!BP97</f>
        <v/>
      </c>
      <c r="G102" s="55" t="str">
        <f>IF($F102="","",IF(SEKOR!BU97&gt;=1,"TUNTAS","TIDAK TUNTAS"))</f>
        <v/>
      </c>
    </row>
    <row r="103" spans="1:7" s="56" customFormat="1" ht="26.25" hidden="1" customHeight="1" x14ac:dyDescent="0.25">
      <c r="A103" s="126" t="str">
        <f>IF(Ujian!A105="","",Ujian!A105)</f>
        <v/>
      </c>
      <c r="B103" s="127" t="str">
        <f>IF(SEKOR!B98="","",SEKOR!B98)</f>
        <v/>
      </c>
      <c r="C103" s="127" t="str">
        <f>IF(SEKOR!C98="","",SEKOR!C98)</f>
        <v/>
      </c>
      <c r="D103" s="55" t="str">
        <f>IF(C103="","",SEKOR!BN98)</f>
        <v/>
      </c>
      <c r="E103" s="55" t="str">
        <f>IF(C103="","",SEKOR!BO98)</f>
        <v/>
      </c>
      <c r="F103" s="58" t="str">
        <f>SEKOR!BP98</f>
        <v/>
      </c>
      <c r="G103" s="55" t="str">
        <f>IF($F103="","",IF(SEKOR!BU98&gt;=1,"TUNTAS","TIDAK TUNTAS"))</f>
        <v/>
      </c>
    </row>
    <row r="104" spans="1:7" s="56" customFormat="1" ht="26.25" hidden="1" customHeight="1" x14ac:dyDescent="0.25">
      <c r="A104" s="126" t="str">
        <f>IF(Ujian!A106="","",Ujian!A106)</f>
        <v/>
      </c>
      <c r="B104" s="127" t="str">
        <f>IF(SEKOR!B99="","",SEKOR!B99)</f>
        <v/>
      </c>
      <c r="C104" s="127" t="str">
        <f>IF(SEKOR!C99="","",SEKOR!C99)</f>
        <v/>
      </c>
      <c r="D104" s="55" t="str">
        <f>IF(C104="","",SEKOR!BN99)</f>
        <v/>
      </c>
      <c r="E104" s="55" t="str">
        <f>IF(C104="","",SEKOR!BO99)</f>
        <v/>
      </c>
      <c r="F104" s="58" t="str">
        <f>SEKOR!BP99</f>
        <v/>
      </c>
      <c r="G104" s="55" t="str">
        <f>IF($F104="","",IF(SEKOR!BU99&gt;=1,"TUNTAS","TIDAK TUNTAS"))</f>
        <v/>
      </c>
    </row>
    <row r="105" spans="1:7" s="56" customFormat="1" ht="26.25" hidden="1" customHeight="1" x14ac:dyDescent="0.25">
      <c r="A105" s="126" t="str">
        <f>IF(Ujian!A107="","",Ujian!A107)</f>
        <v/>
      </c>
      <c r="B105" s="127" t="str">
        <f>IF(SEKOR!B100="","",SEKOR!B100)</f>
        <v/>
      </c>
      <c r="C105" s="127" t="str">
        <f>IF(SEKOR!C100="","",SEKOR!C100)</f>
        <v/>
      </c>
      <c r="D105" s="55" t="str">
        <f>IF(C105="","",SEKOR!BN100)</f>
        <v/>
      </c>
      <c r="E105" s="55" t="str">
        <f>IF(C105="","",SEKOR!BO100)</f>
        <v/>
      </c>
      <c r="F105" s="58" t="str">
        <f>SEKOR!BP100</f>
        <v/>
      </c>
      <c r="G105" s="55" t="str">
        <f>IF($F105="","",IF(SEKOR!BU100&gt;=1,"TUNTAS","TIDAK TUNTAS"))</f>
        <v/>
      </c>
    </row>
    <row r="106" spans="1:7" s="56" customFormat="1" ht="26.25" hidden="1" customHeight="1" x14ac:dyDescent="0.25">
      <c r="A106" s="126" t="str">
        <f>IF(Ujian!A108="","",Ujian!A108)</f>
        <v/>
      </c>
      <c r="B106" s="127" t="str">
        <f>IF(SEKOR!B101="","",SEKOR!B101)</f>
        <v/>
      </c>
      <c r="C106" s="127" t="str">
        <f>IF(SEKOR!C101="","",SEKOR!C101)</f>
        <v/>
      </c>
      <c r="D106" s="55" t="str">
        <f>IF(C106="","",SEKOR!BN101)</f>
        <v/>
      </c>
      <c r="E106" s="55" t="str">
        <f>IF(C106="","",SEKOR!BO101)</f>
        <v/>
      </c>
      <c r="F106" s="58" t="str">
        <f>SEKOR!BP101</f>
        <v/>
      </c>
      <c r="G106" s="55" t="str">
        <f>IF($F106="","",IF(SEKOR!BU101&gt;=1,"TUNTAS","TIDAK TUNTAS"))</f>
        <v/>
      </c>
    </row>
    <row r="107" spans="1:7" s="56" customFormat="1" ht="26.25" hidden="1" customHeight="1" x14ac:dyDescent="0.25">
      <c r="A107" s="126" t="str">
        <f>IF(Ujian!A109="","",Ujian!A109)</f>
        <v/>
      </c>
      <c r="B107" s="127" t="str">
        <f>IF(SEKOR!B102="","",SEKOR!B102)</f>
        <v/>
      </c>
      <c r="C107" s="127" t="str">
        <f>IF(SEKOR!C102="","",SEKOR!C102)</f>
        <v/>
      </c>
      <c r="D107" s="55" t="str">
        <f>IF(C107="","",SEKOR!BN102)</f>
        <v/>
      </c>
      <c r="E107" s="55" t="str">
        <f>IF(C107="","",SEKOR!BO102)</f>
        <v/>
      </c>
      <c r="F107" s="58" t="str">
        <f>SEKOR!BP102</f>
        <v/>
      </c>
      <c r="G107" s="55" t="str">
        <f>IF($F107="","",IF(SEKOR!BU102&gt;=1,"TUNTAS","TIDAK TUNTAS"))</f>
        <v/>
      </c>
    </row>
    <row r="108" spans="1:7" s="56" customFormat="1" ht="26.25" hidden="1" customHeight="1" x14ac:dyDescent="0.25">
      <c r="A108" s="126" t="str">
        <f>IF(Ujian!A110="","",Ujian!A110)</f>
        <v/>
      </c>
      <c r="B108" s="127" t="str">
        <f>IF(SEKOR!B103="","",SEKOR!B103)</f>
        <v/>
      </c>
      <c r="C108" s="127" t="str">
        <f>IF(SEKOR!C103="","",SEKOR!C103)</f>
        <v/>
      </c>
      <c r="D108" s="55" t="str">
        <f>IF(C108="","",SEKOR!BN103)</f>
        <v/>
      </c>
      <c r="E108" s="55" t="str">
        <f>IF(C108="","",SEKOR!BO103)</f>
        <v/>
      </c>
      <c r="F108" s="58" t="str">
        <f>SEKOR!BP103</f>
        <v/>
      </c>
      <c r="G108" s="55" t="str">
        <f>IF($F108="","",IF(SEKOR!BU103&gt;=1,"TUNTAS","TIDAK TUNTAS"))</f>
        <v/>
      </c>
    </row>
    <row r="109" spans="1:7" s="56" customFormat="1" ht="26.25" hidden="1" customHeight="1" x14ac:dyDescent="0.25">
      <c r="A109" s="126" t="str">
        <f>IF(Ujian!A111="","",Ujian!A111)</f>
        <v/>
      </c>
      <c r="B109" s="127" t="str">
        <f>IF(SEKOR!B104="","",SEKOR!B104)</f>
        <v/>
      </c>
      <c r="C109" s="127" t="str">
        <f>IF(SEKOR!C104="","",SEKOR!C104)</f>
        <v/>
      </c>
      <c r="D109" s="55" t="str">
        <f>IF(C109="","",SEKOR!BN104)</f>
        <v/>
      </c>
      <c r="E109" s="55" t="str">
        <f>IF(C109="","",SEKOR!BO104)</f>
        <v/>
      </c>
      <c r="F109" s="58" t="str">
        <f>SEKOR!BP104</f>
        <v/>
      </c>
      <c r="G109" s="55" t="str">
        <f>IF($F109="","",IF(SEKOR!BU104&gt;=1,"TUNTAS","TIDAK TUNTAS"))</f>
        <v/>
      </c>
    </row>
    <row r="110" spans="1:7" s="56" customFormat="1" ht="26.25" hidden="1" customHeight="1" x14ac:dyDescent="0.25">
      <c r="A110" s="126" t="str">
        <f>IF(Ujian!A112="","",Ujian!A112)</f>
        <v/>
      </c>
      <c r="B110" s="127" t="str">
        <f>IF(SEKOR!B105="","",SEKOR!B105)</f>
        <v/>
      </c>
      <c r="C110" s="127" t="str">
        <f>IF(SEKOR!C105="","",SEKOR!C105)</f>
        <v/>
      </c>
      <c r="D110" s="55" t="str">
        <f>IF(C110="","",SEKOR!BN105)</f>
        <v/>
      </c>
      <c r="E110" s="55" t="str">
        <f>IF(C110="","",SEKOR!BO105)</f>
        <v/>
      </c>
      <c r="F110" s="58" t="str">
        <f>SEKOR!BP105</f>
        <v/>
      </c>
      <c r="G110" s="55" t="str">
        <f>IF($F110="","",IF(SEKOR!BU105&gt;=1,"TUNTAS","TIDAK TUNTAS"))</f>
        <v/>
      </c>
    </row>
    <row r="111" spans="1:7" s="56" customFormat="1" ht="26.25" hidden="1" customHeight="1" x14ac:dyDescent="0.25">
      <c r="A111" s="126" t="str">
        <f>IF(Ujian!A113="","",Ujian!A113)</f>
        <v/>
      </c>
      <c r="B111" s="127" t="str">
        <f>IF(SEKOR!B106="","",SEKOR!B106)</f>
        <v/>
      </c>
      <c r="C111" s="127" t="str">
        <f>IF(SEKOR!C106="","",SEKOR!C106)</f>
        <v/>
      </c>
      <c r="D111" s="55" t="str">
        <f>IF(C111="","",SEKOR!BN106)</f>
        <v/>
      </c>
      <c r="E111" s="55" t="str">
        <f>IF(C111="","",SEKOR!BO106)</f>
        <v/>
      </c>
      <c r="F111" s="58" t="str">
        <f>SEKOR!BP106</f>
        <v/>
      </c>
      <c r="G111" s="55" t="str">
        <f>IF($F111="","",IF(SEKOR!BU106&gt;=1,"TUNTAS","TIDAK TUNTAS"))</f>
        <v/>
      </c>
    </row>
    <row r="112" spans="1:7" s="56" customFormat="1" ht="26.25" hidden="1" customHeight="1" x14ac:dyDescent="0.25">
      <c r="A112" s="126" t="str">
        <f>IF(Ujian!A114="","",Ujian!A114)</f>
        <v/>
      </c>
      <c r="B112" s="127" t="str">
        <f>IF(SEKOR!B107="","",SEKOR!B107)</f>
        <v/>
      </c>
      <c r="C112" s="127" t="str">
        <f>IF(SEKOR!C107="","",SEKOR!C107)</f>
        <v/>
      </c>
      <c r="D112" s="55" t="str">
        <f>IF(C112="","",SEKOR!BN107)</f>
        <v/>
      </c>
      <c r="E112" s="55" t="str">
        <f>IF(C112="","",SEKOR!BO107)</f>
        <v/>
      </c>
      <c r="F112" s="58" t="str">
        <f>SEKOR!BP107</f>
        <v/>
      </c>
      <c r="G112" s="55" t="str">
        <f>IF($F112="","",IF(SEKOR!BU107&gt;=1,"TUNTAS","TIDAK TUNTAS"))</f>
        <v/>
      </c>
    </row>
    <row r="113" spans="1:7" s="56" customFormat="1" ht="26.25" hidden="1" customHeight="1" x14ac:dyDescent="0.25">
      <c r="A113" s="126" t="str">
        <f>IF(Ujian!A115="","",Ujian!A115)</f>
        <v/>
      </c>
      <c r="B113" s="127" t="str">
        <f>IF(SEKOR!B108="","",SEKOR!B108)</f>
        <v/>
      </c>
      <c r="C113" s="127" t="str">
        <f>IF(SEKOR!C108="","",SEKOR!C108)</f>
        <v/>
      </c>
      <c r="D113" s="55" t="str">
        <f>IF(C113="","",SEKOR!BN108)</f>
        <v/>
      </c>
      <c r="E113" s="55" t="str">
        <f>IF(C113="","",SEKOR!BO108)</f>
        <v/>
      </c>
      <c r="F113" s="58" t="str">
        <f>SEKOR!BP108</f>
        <v/>
      </c>
      <c r="G113" s="55" t="str">
        <f>IF($F113="","",IF(SEKOR!BU108&gt;=1,"TUNTAS","TIDAK TUNTAS"))</f>
        <v/>
      </c>
    </row>
    <row r="114" spans="1:7" s="56" customFormat="1" ht="26.25" hidden="1" customHeight="1" x14ac:dyDescent="0.25">
      <c r="A114" s="126" t="str">
        <f>IF(Ujian!A116="","",Ujian!A116)</f>
        <v/>
      </c>
      <c r="B114" s="127" t="str">
        <f>IF(SEKOR!B109="","",SEKOR!B109)</f>
        <v/>
      </c>
      <c r="C114" s="127" t="str">
        <f>IF(SEKOR!C109="","",SEKOR!C109)</f>
        <v/>
      </c>
      <c r="D114" s="55" t="str">
        <f>IF(C114="","",SEKOR!BN109)</f>
        <v/>
      </c>
      <c r="E114" s="55" t="str">
        <f>IF(C114="","",SEKOR!BO109)</f>
        <v/>
      </c>
      <c r="F114" s="58" t="str">
        <f>SEKOR!BP109</f>
        <v/>
      </c>
      <c r="G114" s="55" t="str">
        <f>IF($F114="","",IF(SEKOR!BU109&gt;=1,"TUNTAS","TIDAK TUNTAS"))</f>
        <v/>
      </c>
    </row>
    <row r="115" spans="1:7" s="56" customFormat="1" ht="26.25" hidden="1" customHeight="1" x14ac:dyDescent="0.25">
      <c r="A115" s="126" t="str">
        <f>IF(Ujian!A117="","",Ujian!A117)</f>
        <v/>
      </c>
      <c r="B115" s="127" t="str">
        <f>IF(SEKOR!B110="","",SEKOR!B110)</f>
        <v/>
      </c>
      <c r="C115" s="127" t="str">
        <f>IF(SEKOR!C110="","",SEKOR!C110)</f>
        <v/>
      </c>
      <c r="D115" s="55" t="str">
        <f>IF(C115="","",SEKOR!BN110)</f>
        <v/>
      </c>
      <c r="E115" s="55" t="str">
        <f>IF(C115="","",SEKOR!BO110)</f>
        <v/>
      </c>
      <c r="F115" s="58" t="str">
        <f>SEKOR!BP110</f>
        <v/>
      </c>
      <c r="G115" s="55" t="str">
        <f>IF($F115="","",IF(SEKOR!BU110&gt;=1,"TUNTAS","TIDAK TUNTAS"))</f>
        <v/>
      </c>
    </row>
    <row r="116" spans="1:7" s="56" customFormat="1" ht="26.25" hidden="1" customHeight="1" x14ac:dyDescent="0.25">
      <c r="A116" s="126" t="str">
        <f>IF(Ujian!A118="","",Ujian!A118)</f>
        <v/>
      </c>
      <c r="B116" s="127" t="str">
        <f>IF(SEKOR!B111="","",SEKOR!B111)</f>
        <v/>
      </c>
      <c r="C116" s="127" t="str">
        <f>IF(SEKOR!C111="","",SEKOR!C111)</f>
        <v/>
      </c>
      <c r="D116" s="55" t="str">
        <f>IF(C116="","",SEKOR!BN111)</f>
        <v/>
      </c>
      <c r="E116" s="55" t="str">
        <f>IF(C116="","",SEKOR!BO111)</f>
        <v/>
      </c>
      <c r="F116" s="58" t="str">
        <f>SEKOR!BP111</f>
        <v/>
      </c>
      <c r="G116" s="55" t="str">
        <f>IF($F116="","",IF(SEKOR!BU111&gt;=1,"TUNTAS","TIDAK TUNTAS"))</f>
        <v/>
      </c>
    </row>
    <row r="117" spans="1:7" s="56" customFormat="1" ht="26.25" hidden="1" customHeight="1" x14ac:dyDescent="0.25">
      <c r="A117" s="126" t="str">
        <f>IF(Ujian!A119="","",Ujian!A119)</f>
        <v/>
      </c>
      <c r="B117" s="127" t="str">
        <f>IF(SEKOR!B112="","",SEKOR!B112)</f>
        <v/>
      </c>
      <c r="C117" s="127" t="str">
        <f>IF(SEKOR!C112="","",SEKOR!C112)</f>
        <v/>
      </c>
      <c r="D117" s="55" t="str">
        <f>IF(C117="","",SEKOR!BN112)</f>
        <v/>
      </c>
      <c r="E117" s="55" t="str">
        <f>IF(C117="","",SEKOR!BO112)</f>
        <v/>
      </c>
      <c r="F117" s="58" t="str">
        <f>SEKOR!BP112</f>
        <v/>
      </c>
      <c r="G117" s="55" t="str">
        <f>IF($F117="","",IF(SEKOR!BU112&gt;=1,"TUNTAS","TIDAK TUNTAS"))</f>
        <v/>
      </c>
    </row>
    <row r="118" spans="1:7" s="56" customFormat="1" ht="26.25" hidden="1" customHeight="1" x14ac:dyDescent="0.25">
      <c r="A118" s="126" t="str">
        <f>IF(Ujian!A120="","",Ujian!A120)</f>
        <v/>
      </c>
      <c r="B118" s="127" t="str">
        <f>IF(SEKOR!B113="","",SEKOR!B113)</f>
        <v/>
      </c>
      <c r="C118" s="127" t="str">
        <f>IF(SEKOR!C113="","",SEKOR!C113)</f>
        <v/>
      </c>
      <c r="D118" s="55" t="str">
        <f>IF(C118="","",SEKOR!BN113)</f>
        <v/>
      </c>
      <c r="E118" s="55" t="str">
        <f>IF(C118="","",SEKOR!BO113)</f>
        <v/>
      </c>
      <c r="F118" s="58" t="str">
        <f>SEKOR!BP113</f>
        <v/>
      </c>
      <c r="G118" s="55" t="str">
        <f>IF($F118="","",IF(SEKOR!BU113&gt;=1,"TUNTAS","TIDAK TUNTAS"))</f>
        <v/>
      </c>
    </row>
    <row r="119" spans="1:7" s="56" customFormat="1" ht="26.25" hidden="1" customHeight="1" x14ac:dyDescent="0.25">
      <c r="A119" s="126" t="str">
        <f>IF(Ujian!A121="","",Ujian!A121)</f>
        <v/>
      </c>
      <c r="B119" s="127" t="str">
        <f>IF(SEKOR!B114="","",SEKOR!B114)</f>
        <v/>
      </c>
      <c r="C119" s="127" t="str">
        <f>IF(SEKOR!C114="","",SEKOR!C114)</f>
        <v/>
      </c>
      <c r="D119" s="55" t="str">
        <f>IF(C119="","",SEKOR!BN114)</f>
        <v/>
      </c>
      <c r="E119" s="55" t="str">
        <f>IF(C119="","",SEKOR!BO114)</f>
        <v/>
      </c>
      <c r="F119" s="58" t="str">
        <f>SEKOR!BP114</f>
        <v/>
      </c>
      <c r="G119" s="55" t="str">
        <f>IF($F119="","",IF(SEKOR!BU114&gt;=1,"TUNTAS","TIDAK TUNTAS"))</f>
        <v/>
      </c>
    </row>
    <row r="120" spans="1:7" s="56" customFormat="1" ht="26.25" hidden="1" customHeight="1" x14ac:dyDescent="0.25">
      <c r="A120" s="126" t="str">
        <f>IF(Ujian!A122="","",Ujian!A122)</f>
        <v/>
      </c>
      <c r="B120" s="127" t="str">
        <f>IF(SEKOR!B115="","",SEKOR!B115)</f>
        <v/>
      </c>
      <c r="C120" s="127" t="str">
        <f>IF(SEKOR!C115="","",SEKOR!C115)</f>
        <v/>
      </c>
      <c r="D120" s="55" t="str">
        <f>IF(C120="","",SEKOR!BN115)</f>
        <v/>
      </c>
      <c r="E120" s="55" t="str">
        <f>IF(C120="","",SEKOR!BO115)</f>
        <v/>
      </c>
      <c r="F120" s="58" t="str">
        <f>SEKOR!BP115</f>
        <v/>
      </c>
      <c r="G120" s="55" t="str">
        <f>IF($F120="","",IF(SEKOR!BU115&gt;=1,"TUNTAS","TIDAK TUNTAS"))</f>
        <v/>
      </c>
    </row>
    <row r="121" spans="1:7" s="56" customFormat="1" ht="26.25" hidden="1" customHeight="1" x14ac:dyDescent="0.25">
      <c r="A121" s="126" t="str">
        <f>IF(Ujian!A123="","",Ujian!A123)</f>
        <v/>
      </c>
      <c r="B121" s="127" t="str">
        <f>IF(SEKOR!B116="","",SEKOR!B116)</f>
        <v/>
      </c>
      <c r="C121" s="127" t="str">
        <f>IF(SEKOR!C116="","",SEKOR!C116)</f>
        <v/>
      </c>
      <c r="D121" s="55" t="str">
        <f>IF(C121="","",SEKOR!BN116)</f>
        <v/>
      </c>
      <c r="E121" s="55" t="str">
        <f>IF(C121="","",SEKOR!BO116)</f>
        <v/>
      </c>
      <c r="F121" s="58" t="str">
        <f>SEKOR!BP116</f>
        <v/>
      </c>
      <c r="G121" s="55" t="str">
        <f>IF($F121="","",IF(SEKOR!BU116&gt;=1,"TUNTAS","TIDAK TUNTAS"))</f>
        <v/>
      </c>
    </row>
    <row r="122" spans="1:7" s="56" customFormat="1" ht="26.25" hidden="1" customHeight="1" x14ac:dyDescent="0.25">
      <c r="A122" s="126" t="str">
        <f>IF(Ujian!A124="","",Ujian!A124)</f>
        <v/>
      </c>
      <c r="B122" s="127" t="str">
        <f>IF(SEKOR!B117="","",SEKOR!B117)</f>
        <v/>
      </c>
      <c r="C122" s="127" t="str">
        <f>IF(SEKOR!C117="","",SEKOR!C117)</f>
        <v/>
      </c>
      <c r="D122" s="55" t="str">
        <f>IF(C122="","",SEKOR!BN117)</f>
        <v/>
      </c>
      <c r="E122" s="55" t="str">
        <f>IF(C122="","",SEKOR!BO117)</f>
        <v/>
      </c>
      <c r="F122" s="58" t="str">
        <f>SEKOR!BP117</f>
        <v/>
      </c>
      <c r="G122" s="55" t="str">
        <f>IF($F122="","",IF(SEKOR!BU117&gt;=1,"TUNTAS","TIDAK TUNTAS"))</f>
        <v/>
      </c>
    </row>
    <row r="123" spans="1:7" s="56" customFormat="1" ht="26.25" hidden="1" customHeight="1" x14ac:dyDescent="0.25">
      <c r="A123" s="126" t="str">
        <f>IF(Ujian!A125="","",Ujian!A125)</f>
        <v/>
      </c>
      <c r="B123" s="127" t="str">
        <f>IF(SEKOR!B118="","",SEKOR!B118)</f>
        <v/>
      </c>
      <c r="C123" s="127" t="str">
        <f>IF(SEKOR!C118="","",SEKOR!C118)</f>
        <v/>
      </c>
      <c r="D123" s="55" t="str">
        <f>IF(C123="","",SEKOR!BN118)</f>
        <v/>
      </c>
      <c r="E123" s="55" t="str">
        <f>IF(C123="","",SEKOR!BO118)</f>
        <v/>
      </c>
      <c r="F123" s="58" t="str">
        <f>SEKOR!BP118</f>
        <v/>
      </c>
      <c r="G123" s="55" t="str">
        <f>IF($F123="","",IF(SEKOR!BU118&gt;=1,"TUNTAS","TIDAK TUNTAS"))</f>
        <v/>
      </c>
    </row>
    <row r="124" spans="1:7" s="56" customFormat="1" ht="26.25" hidden="1" customHeight="1" x14ac:dyDescent="0.25">
      <c r="A124" s="126" t="str">
        <f>IF(Ujian!A126="","",Ujian!A126)</f>
        <v/>
      </c>
      <c r="B124" s="127" t="str">
        <f>IF(SEKOR!B119="","",SEKOR!B119)</f>
        <v/>
      </c>
      <c r="C124" s="127" t="str">
        <f>IF(SEKOR!C119="","",SEKOR!C119)</f>
        <v/>
      </c>
      <c r="D124" s="55" t="str">
        <f>IF(C124="","",SEKOR!BN119)</f>
        <v/>
      </c>
      <c r="E124" s="55" t="str">
        <f>IF(C124="","",SEKOR!BO119)</f>
        <v/>
      </c>
      <c r="F124" s="58" t="str">
        <f>SEKOR!BP119</f>
        <v/>
      </c>
      <c r="G124" s="55" t="str">
        <f>IF($F124="","",IF(SEKOR!BU119&gt;=1,"TUNTAS","TIDAK TUNTAS"))</f>
        <v/>
      </c>
    </row>
    <row r="125" spans="1:7" s="56" customFormat="1" ht="26.25" hidden="1" customHeight="1" x14ac:dyDescent="0.25">
      <c r="A125" s="126" t="str">
        <f>IF(Ujian!A127="","",Ujian!A127)</f>
        <v/>
      </c>
      <c r="B125" s="127" t="str">
        <f>IF(SEKOR!B120="","",SEKOR!B120)</f>
        <v/>
      </c>
      <c r="C125" s="127" t="str">
        <f>IF(SEKOR!C120="","",SEKOR!C120)</f>
        <v/>
      </c>
      <c r="D125" s="55" t="str">
        <f>IF(C125="","",SEKOR!BN120)</f>
        <v/>
      </c>
      <c r="E125" s="55" t="str">
        <f>IF(C125="","",SEKOR!BO120)</f>
        <v/>
      </c>
      <c r="F125" s="58" t="str">
        <f>SEKOR!BP120</f>
        <v/>
      </c>
      <c r="G125" s="55" t="str">
        <f>IF($F125="","",IF(SEKOR!BU120&gt;=1,"TUNTAS","TIDAK TUNTAS"))</f>
        <v/>
      </c>
    </row>
    <row r="126" spans="1:7" s="56" customFormat="1" ht="26.25" hidden="1" customHeight="1" x14ac:dyDescent="0.25">
      <c r="A126" s="126" t="str">
        <f>IF(Ujian!A128="","",Ujian!A128)</f>
        <v/>
      </c>
      <c r="B126" s="127" t="str">
        <f>IF(SEKOR!B121="","",SEKOR!B121)</f>
        <v/>
      </c>
      <c r="C126" s="127" t="str">
        <f>IF(SEKOR!C121="","",SEKOR!C121)</f>
        <v/>
      </c>
      <c r="D126" s="55" t="str">
        <f>IF(C126="","",SEKOR!BN121)</f>
        <v/>
      </c>
      <c r="E126" s="55" t="str">
        <f>IF(C126="","",SEKOR!BO121)</f>
        <v/>
      </c>
      <c r="F126" s="58" t="str">
        <f>SEKOR!BP121</f>
        <v/>
      </c>
      <c r="G126" s="55" t="str">
        <f>IF($F126="","",IF(SEKOR!BU121&gt;=1,"TUNTAS","TIDAK TUNTAS"))</f>
        <v/>
      </c>
    </row>
    <row r="127" spans="1:7" s="56" customFormat="1" ht="26.25" hidden="1" customHeight="1" x14ac:dyDescent="0.25">
      <c r="A127" s="126" t="str">
        <f>IF(Ujian!A129="","",Ujian!A129)</f>
        <v/>
      </c>
      <c r="B127" s="127" t="str">
        <f>IF(SEKOR!B122="","",SEKOR!B122)</f>
        <v/>
      </c>
      <c r="C127" s="127" t="str">
        <f>IF(SEKOR!C122="","",SEKOR!C122)</f>
        <v/>
      </c>
      <c r="D127" s="55" t="str">
        <f>IF(C127="","",SEKOR!BN122)</f>
        <v/>
      </c>
      <c r="E127" s="55" t="str">
        <f>IF(C127="","",SEKOR!BO122)</f>
        <v/>
      </c>
      <c r="F127" s="58" t="str">
        <f>SEKOR!BP122</f>
        <v/>
      </c>
      <c r="G127" s="55" t="str">
        <f>IF($F127="","",IF(SEKOR!BU122&gt;=1,"TUNTAS","TIDAK TUNTAS"))</f>
        <v/>
      </c>
    </row>
    <row r="128" spans="1:7" s="56" customFormat="1" ht="26.25" hidden="1" customHeight="1" x14ac:dyDescent="0.25">
      <c r="A128" s="126" t="str">
        <f>IF(Ujian!A130="","",Ujian!A130)</f>
        <v/>
      </c>
      <c r="B128" s="127" t="str">
        <f>IF(SEKOR!B123="","",SEKOR!B123)</f>
        <v/>
      </c>
      <c r="C128" s="127" t="str">
        <f>IF(SEKOR!C123="","",SEKOR!C123)</f>
        <v/>
      </c>
      <c r="D128" s="55" t="str">
        <f>IF(C128="","",SEKOR!BN123)</f>
        <v/>
      </c>
      <c r="E128" s="55" t="str">
        <f>IF(C128="","",SEKOR!BO123)</f>
        <v/>
      </c>
      <c r="F128" s="58" t="str">
        <f>SEKOR!BP123</f>
        <v/>
      </c>
      <c r="G128" s="55" t="str">
        <f>IF($F128="","",IF(SEKOR!BU123&gt;=1,"TUNTAS","TIDAK TUNTAS"))</f>
        <v/>
      </c>
    </row>
    <row r="129" spans="1:7" s="56" customFormat="1" ht="26.25" hidden="1" customHeight="1" x14ac:dyDescent="0.25">
      <c r="A129" s="126" t="str">
        <f>IF(Ujian!A131="","",Ujian!A131)</f>
        <v/>
      </c>
      <c r="B129" s="127" t="str">
        <f>IF(SEKOR!B124="","",SEKOR!B124)</f>
        <v/>
      </c>
      <c r="C129" s="127" t="str">
        <f>IF(SEKOR!C124="","",SEKOR!C124)</f>
        <v/>
      </c>
      <c r="D129" s="55" t="str">
        <f>IF(C129="","",SEKOR!BN124)</f>
        <v/>
      </c>
      <c r="E129" s="55" t="str">
        <f>IF(C129="","",SEKOR!BO124)</f>
        <v/>
      </c>
      <c r="F129" s="58" t="str">
        <f>SEKOR!BP124</f>
        <v/>
      </c>
      <c r="G129" s="55" t="str">
        <f>IF($F129="","",IF(SEKOR!BU124&gt;=1,"TUNTAS","TIDAK TUNTAS"))</f>
        <v/>
      </c>
    </row>
    <row r="130" spans="1:7" s="56" customFormat="1" ht="26.25" hidden="1" customHeight="1" x14ac:dyDescent="0.25">
      <c r="A130" s="126" t="str">
        <f>IF(Ujian!A132="","",Ujian!A132)</f>
        <v/>
      </c>
      <c r="B130" s="127" t="str">
        <f>IF(SEKOR!B125="","",SEKOR!B125)</f>
        <v/>
      </c>
      <c r="C130" s="127" t="str">
        <f>IF(SEKOR!C125="","",SEKOR!C125)</f>
        <v/>
      </c>
      <c r="D130" s="55" t="str">
        <f>IF(C130="","",SEKOR!BN125)</f>
        <v/>
      </c>
      <c r="E130" s="55" t="str">
        <f>IF(C130="","",SEKOR!BO125)</f>
        <v/>
      </c>
      <c r="F130" s="58" t="str">
        <f>SEKOR!BP125</f>
        <v/>
      </c>
      <c r="G130" s="55" t="str">
        <f>IF($F130="","",IF(SEKOR!BU125&gt;=1,"TUNTAS","TIDAK TUNTAS"))</f>
        <v/>
      </c>
    </row>
    <row r="131" spans="1:7" s="56" customFormat="1" ht="26.25" hidden="1" customHeight="1" x14ac:dyDescent="0.25">
      <c r="A131" s="126" t="str">
        <f>IF(Ujian!A133="","",Ujian!A133)</f>
        <v/>
      </c>
      <c r="B131" s="127" t="str">
        <f>IF(SEKOR!B126="","",SEKOR!B126)</f>
        <v/>
      </c>
      <c r="C131" s="127" t="str">
        <f>IF(SEKOR!C126="","",SEKOR!C126)</f>
        <v/>
      </c>
      <c r="D131" s="55" t="str">
        <f>IF(C131="","",SEKOR!BN126)</f>
        <v/>
      </c>
      <c r="E131" s="55" t="str">
        <f>IF(C131="","",SEKOR!BO126)</f>
        <v/>
      </c>
      <c r="F131" s="58" t="str">
        <f>SEKOR!BP126</f>
        <v/>
      </c>
      <c r="G131" s="55" t="str">
        <f>IF($F131="","",IF(SEKOR!BU126&gt;=1,"TUNTAS","TIDAK TUNTAS"))</f>
        <v/>
      </c>
    </row>
    <row r="132" spans="1:7" s="56" customFormat="1" ht="26.25" hidden="1" customHeight="1" x14ac:dyDescent="0.25">
      <c r="A132" s="126" t="str">
        <f>IF(Ujian!A134="","",Ujian!A134)</f>
        <v/>
      </c>
      <c r="B132" s="127" t="str">
        <f>IF(SEKOR!B127="","",SEKOR!B127)</f>
        <v/>
      </c>
      <c r="C132" s="127" t="str">
        <f>IF(SEKOR!C127="","",SEKOR!C127)</f>
        <v/>
      </c>
      <c r="D132" s="55" t="str">
        <f>IF(C132="","",SEKOR!BN127)</f>
        <v/>
      </c>
      <c r="E132" s="55" t="str">
        <f>IF(C132="","",SEKOR!BO127)</f>
        <v/>
      </c>
      <c r="F132" s="58" t="str">
        <f>SEKOR!BP127</f>
        <v/>
      </c>
      <c r="G132" s="55" t="str">
        <f>IF($F132="","",IF(SEKOR!BU127&gt;=1,"TUNTAS","TIDAK TUNTAS"))</f>
        <v/>
      </c>
    </row>
    <row r="133" spans="1:7" s="56" customFormat="1" ht="26.25" hidden="1" customHeight="1" x14ac:dyDescent="0.25">
      <c r="A133" s="126" t="str">
        <f>IF(Ujian!A135="","",Ujian!A135)</f>
        <v/>
      </c>
      <c r="B133" s="127" t="str">
        <f>IF(SEKOR!B128="","",SEKOR!B128)</f>
        <v/>
      </c>
      <c r="C133" s="127" t="str">
        <f>IF(SEKOR!C128="","",SEKOR!C128)</f>
        <v/>
      </c>
      <c r="D133" s="55" t="str">
        <f>IF(C133="","",SEKOR!BN128)</f>
        <v/>
      </c>
      <c r="E133" s="55" t="str">
        <f>IF(C133="","",SEKOR!BO128)</f>
        <v/>
      </c>
      <c r="F133" s="58" t="str">
        <f>SEKOR!BP128</f>
        <v/>
      </c>
      <c r="G133" s="55" t="str">
        <f>IF($F133="","",IF(SEKOR!BU128&gt;=1,"TUNTAS","TIDAK TUNTAS"))</f>
        <v/>
      </c>
    </row>
    <row r="134" spans="1:7" s="56" customFormat="1" ht="26.25" hidden="1" customHeight="1" x14ac:dyDescent="0.25">
      <c r="A134" s="126" t="str">
        <f>IF(Ujian!A136="","",Ujian!A136)</f>
        <v/>
      </c>
      <c r="B134" s="127" t="str">
        <f>IF(SEKOR!B129="","",SEKOR!B129)</f>
        <v/>
      </c>
      <c r="C134" s="127" t="str">
        <f>IF(SEKOR!C129="","",SEKOR!C129)</f>
        <v/>
      </c>
      <c r="D134" s="55" t="str">
        <f>IF(C134="","",SEKOR!BN129)</f>
        <v/>
      </c>
      <c r="E134" s="55" t="str">
        <f>IF(C134="","",SEKOR!BO129)</f>
        <v/>
      </c>
      <c r="F134" s="58" t="str">
        <f>SEKOR!BP129</f>
        <v/>
      </c>
      <c r="G134" s="55" t="str">
        <f>IF($F134="","",IF(SEKOR!BU129&gt;=1,"TUNTAS","TIDAK TUNTAS"))</f>
        <v/>
      </c>
    </row>
    <row r="135" spans="1:7" s="56" customFormat="1" ht="26.25" hidden="1" customHeight="1" x14ac:dyDescent="0.25">
      <c r="A135" s="126" t="str">
        <f>IF(Ujian!A137="","",Ujian!A137)</f>
        <v/>
      </c>
      <c r="B135" s="127" t="str">
        <f>IF(SEKOR!B130="","",SEKOR!B130)</f>
        <v/>
      </c>
      <c r="C135" s="127" t="str">
        <f>IF(SEKOR!C130="","",SEKOR!C130)</f>
        <v/>
      </c>
      <c r="D135" s="55" t="str">
        <f>IF(C135="","",SEKOR!BN130)</f>
        <v/>
      </c>
      <c r="E135" s="55" t="str">
        <f>IF(C135="","",SEKOR!BO130)</f>
        <v/>
      </c>
      <c r="F135" s="58" t="str">
        <f>SEKOR!BP130</f>
        <v/>
      </c>
      <c r="G135" s="55" t="str">
        <f>IF($F135="","",IF(SEKOR!BU130&gt;=1,"TUNTAS","TIDAK TUNTAS"))</f>
        <v/>
      </c>
    </row>
    <row r="136" spans="1:7" s="56" customFormat="1" ht="26.25" hidden="1" customHeight="1" x14ac:dyDescent="0.25">
      <c r="A136" s="126" t="str">
        <f>IF(Ujian!A138="","",Ujian!A138)</f>
        <v/>
      </c>
      <c r="B136" s="127" t="str">
        <f>IF(SEKOR!B131="","",SEKOR!B131)</f>
        <v/>
      </c>
      <c r="C136" s="127" t="str">
        <f>IF(SEKOR!C131="","",SEKOR!C131)</f>
        <v/>
      </c>
      <c r="D136" s="55" t="str">
        <f>IF(C136="","",SEKOR!BN131)</f>
        <v/>
      </c>
      <c r="E136" s="55" t="str">
        <f>IF(C136="","",SEKOR!BO131)</f>
        <v/>
      </c>
      <c r="F136" s="58" t="str">
        <f>SEKOR!BP131</f>
        <v/>
      </c>
      <c r="G136" s="55" t="str">
        <f>IF($F136="","",IF(SEKOR!BU131&gt;=1,"TUNTAS","TIDAK TUNTAS"))</f>
        <v/>
      </c>
    </row>
    <row r="137" spans="1:7" s="56" customFormat="1" ht="26.25" hidden="1" customHeight="1" x14ac:dyDescent="0.25">
      <c r="A137" s="126" t="str">
        <f>IF(Ujian!A139="","",Ujian!A139)</f>
        <v/>
      </c>
      <c r="B137" s="127" t="str">
        <f>IF(SEKOR!B132="","",SEKOR!B132)</f>
        <v/>
      </c>
      <c r="C137" s="127" t="str">
        <f>IF(SEKOR!C132="","",SEKOR!C132)</f>
        <v/>
      </c>
      <c r="D137" s="55" t="str">
        <f>IF(C137="","",SEKOR!BN132)</f>
        <v/>
      </c>
      <c r="E137" s="55" t="str">
        <f>IF(C137="","",SEKOR!BO132)</f>
        <v/>
      </c>
      <c r="F137" s="58" t="str">
        <f>SEKOR!BP132</f>
        <v/>
      </c>
      <c r="G137" s="55" t="str">
        <f>IF($F137="","",IF(SEKOR!BU132&gt;=1,"TUNTAS","TIDAK TUNTAS"))</f>
        <v/>
      </c>
    </row>
    <row r="138" spans="1:7" s="56" customFormat="1" ht="26.25" hidden="1" customHeight="1" x14ac:dyDescent="0.25">
      <c r="A138" s="126" t="str">
        <f>IF(Ujian!A140="","",Ujian!A140)</f>
        <v/>
      </c>
      <c r="B138" s="127" t="str">
        <f>IF(SEKOR!B133="","",SEKOR!B133)</f>
        <v/>
      </c>
      <c r="C138" s="127" t="str">
        <f>IF(SEKOR!C133="","",SEKOR!C133)</f>
        <v/>
      </c>
      <c r="D138" s="55" t="str">
        <f>IF(C138="","",SEKOR!BN133)</f>
        <v/>
      </c>
      <c r="E138" s="55" t="str">
        <f>IF(C138="","",SEKOR!BO133)</f>
        <v/>
      </c>
      <c r="F138" s="58" t="str">
        <f>SEKOR!BP133</f>
        <v/>
      </c>
      <c r="G138" s="55" t="str">
        <f>IF($F138="","",IF(SEKOR!BU133&gt;=1,"TUNTAS","TIDAK TUNTAS"))</f>
        <v/>
      </c>
    </row>
    <row r="139" spans="1:7" s="56" customFormat="1" ht="26.25" hidden="1" customHeight="1" x14ac:dyDescent="0.25">
      <c r="A139" s="126" t="str">
        <f>IF(Ujian!A141="","",Ujian!A141)</f>
        <v/>
      </c>
      <c r="B139" s="127" t="str">
        <f>IF(SEKOR!B134="","",SEKOR!B134)</f>
        <v/>
      </c>
      <c r="C139" s="127" t="str">
        <f>IF(SEKOR!C134="","",SEKOR!C134)</f>
        <v/>
      </c>
      <c r="D139" s="55" t="str">
        <f>IF(C139="","",SEKOR!BN134)</f>
        <v/>
      </c>
      <c r="E139" s="55" t="str">
        <f>IF(C139="","",SEKOR!BO134)</f>
        <v/>
      </c>
      <c r="F139" s="58" t="str">
        <f>SEKOR!BP134</f>
        <v/>
      </c>
      <c r="G139" s="55" t="str">
        <f>IF($F139="","",IF(SEKOR!BU134&gt;=1,"TUNTAS","TIDAK TUNTAS"))</f>
        <v/>
      </c>
    </row>
    <row r="140" spans="1:7" s="56" customFormat="1" ht="26.25" hidden="1" customHeight="1" x14ac:dyDescent="0.25">
      <c r="A140" s="126" t="str">
        <f>IF(Ujian!A142="","",Ujian!A142)</f>
        <v/>
      </c>
      <c r="B140" s="127" t="str">
        <f>IF(SEKOR!B135="","",SEKOR!B135)</f>
        <v/>
      </c>
      <c r="C140" s="127" t="str">
        <f>IF(SEKOR!C135="","",SEKOR!C135)</f>
        <v/>
      </c>
      <c r="D140" s="55" t="str">
        <f>IF(C140="","",SEKOR!BN135)</f>
        <v/>
      </c>
      <c r="E140" s="55" t="str">
        <f>IF(C140="","",SEKOR!BO135)</f>
        <v/>
      </c>
      <c r="F140" s="58" t="str">
        <f>SEKOR!BP135</f>
        <v/>
      </c>
      <c r="G140" s="55" t="str">
        <f>IF($F140="","",IF(SEKOR!BU135&gt;=1,"TUNTAS","TIDAK TUNTAS"))</f>
        <v/>
      </c>
    </row>
    <row r="141" spans="1:7" s="56" customFormat="1" ht="26.25" hidden="1" customHeight="1" x14ac:dyDescent="0.25">
      <c r="A141" s="126" t="str">
        <f>IF(Ujian!A143="","",Ujian!A143)</f>
        <v/>
      </c>
      <c r="B141" s="127" t="str">
        <f>IF(SEKOR!B136="","",SEKOR!B136)</f>
        <v/>
      </c>
      <c r="C141" s="127" t="str">
        <f>IF(SEKOR!C136="","",SEKOR!C136)</f>
        <v/>
      </c>
      <c r="D141" s="55" t="str">
        <f>IF(C141="","",SEKOR!BN136)</f>
        <v/>
      </c>
      <c r="E141" s="55" t="str">
        <f>IF(C141="","",SEKOR!BO136)</f>
        <v/>
      </c>
      <c r="F141" s="58" t="str">
        <f>SEKOR!BP136</f>
        <v/>
      </c>
      <c r="G141" s="55" t="str">
        <f>IF($F141="","",IF(SEKOR!BU136&gt;=1,"TUNTAS","TIDAK TUNTAS"))</f>
        <v/>
      </c>
    </row>
    <row r="142" spans="1:7" s="56" customFormat="1" ht="26.25" hidden="1" customHeight="1" x14ac:dyDescent="0.25">
      <c r="A142" s="126" t="str">
        <f>IF(Ujian!A144="","",Ujian!A144)</f>
        <v/>
      </c>
      <c r="B142" s="127" t="str">
        <f>IF(SEKOR!B137="","",SEKOR!B137)</f>
        <v/>
      </c>
      <c r="C142" s="127" t="str">
        <f>IF(SEKOR!C137="","",SEKOR!C137)</f>
        <v/>
      </c>
      <c r="D142" s="55" t="str">
        <f>IF(C142="","",SEKOR!BN137)</f>
        <v/>
      </c>
      <c r="E142" s="55" t="str">
        <f>IF(C142="","",SEKOR!BO137)</f>
        <v/>
      </c>
      <c r="F142" s="58" t="str">
        <f>SEKOR!BP137</f>
        <v/>
      </c>
      <c r="G142" s="55" t="str">
        <f>IF($F142="","",IF(SEKOR!BU137&gt;=1,"TUNTAS","TIDAK TUNTAS"))</f>
        <v/>
      </c>
    </row>
    <row r="143" spans="1:7" s="56" customFormat="1" ht="26.25" hidden="1" customHeight="1" x14ac:dyDescent="0.25">
      <c r="A143" s="126" t="str">
        <f>IF(Ujian!A145="","",Ujian!A145)</f>
        <v/>
      </c>
      <c r="B143" s="127" t="str">
        <f>IF(SEKOR!B138="","",SEKOR!B138)</f>
        <v/>
      </c>
      <c r="C143" s="127" t="str">
        <f>IF(SEKOR!C138="","",SEKOR!C138)</f>
        <v/>
      </c>
      <c r="D143" s="55" t="str">
        <f>IF(C143="","",SEKOR!BN138)</f>
        <v/>
      </c>
      <c r="E143" s="55" t="str">
        <f>IF(C143="","",SEKOR!BO138)</f>
        <v/>
      </c>
      <c r="F143" s="58" t="str">
        <f>SEKOR!BP138</f>
        <v/>
      </c>
      <c r="G143" s="55" t="str">
        <f>IF($F143="","",IF(SEKOR!BU138&gt;=1,"TUNTAS","TIDAK TUNTAS"))</f>
        <v/>
      </c>
    </row>
    <row r="144" spans="1:7" s="56" customFormat="1" ht="26.25" hidden="1" customHeight="1" x14ac:dyDescent="0.25">
      <c r="A144" s="126" t="str">
        <f>IF(Ujian!A146="","",Ujian!A146)</f>
        <v/>
      </c>
      <c r="B144" s="127" t="str">
        <f>IF(SEKOR!B139="","",SEKOR!B139)</f>
        <v/>
      </c>
      <c r="C144" s="127" t="str">
        <f>IF(SEKOR!C139="","",SEKOR!C139)</f>
        <v/>
      </c>
      <c r="D144" s="55" t="str">
        <f>IF(C144="","",SEKOR!BN139)</f>
        <v/>
      </c>
      <c r="E144" s="55" t="str">
        <f>IF(C144="","",SEKOR!BO139)</f>
        <v/>
      </c>
      <c r="F144" s="58" t="str">
        <f>SEKOR!BP139</f>
        <v/>
      </c>
      <c r="G144" s="55" t="str">
        <f>IF($F144="","",IF(SEKOR!BU139&gt;=1,"TUNTAS","TIDAK TUNTAS"))</f>
        <v/>
      </c>
    </row>
    <row r="145" spans="1:7" s="56" customFormat="1" ht="26.25" hidden="1" customHeight="1" x14ac:dyDescent="0.25">
      <c r="A145" s="126" t="str">
        <f>IF(Ujian!A147="","",Ujian!A147)</f>
        <v/>
      </c>
      <c r="B145" s="127" t="str">
        <f>IF(SEKOR!B140="","",SEKOR!B140)</f>
        <v/>
      </c>
      <c r="C145" s="127" t="str">
        <f>IF(SEKOR!C140="","",SEKOR!C140)</f>
        <v/>
      </c>
      <c r="D145" s="55" t="str">
        <f>IF(C145="","",SEKOR!BN140)</f>
        <v/>
      </c>
      <c r="E145" s="55" t="str">
        <f>IF(C145="","",SEKOR!BO140)</f>
        <v/>
      </c>
      <c r="F145" s="58" t="str">
        <f>SEKOR!BP140</f>
        <v/>
      </c>
      <c r="G145" s="55" t="str">
        <f>IF($F145="","",IF(SEKOR!BU140&gt;=1,"TUNTAS","TIDAK TUNTAS"))</f>
        <v/>
      </c>
    </row>
    <row r="146" spans="1:7" s="56" customFormat="1" ht="26.25" hidden="1" customHeight="1" x14ac:dyDescent="0.25">
      <c r="A146" s="126" t="str">
        <f>IF(Ujian!A148="","",Ujian!A148)</f>
        <v/>
      </c>
      <c r="B146" s="127" t="str">
        <f>IF(SEKOR!B141="","",SEKOR!B141)</f>
        <v/>
      </c>
      <c r="C146" s="127" t="str">
        <f>IF(SEKOR!C141="","",SEKOR!C141)</f>
        <v/>
      </c>
      <c r="D146" s="55" t="str">
        <f>IF(C146="","",SEKOR!BN141)</f>
        <v/>
      </c>
      <c r="E146" s="55" t="str">
        <f>IF(C146="","",SEKOR!BO141)</f>
        <v/>
      </c>
      <c r="F146" s="58" t="str">
        <f>SEKOR!BP141</f>
        <v/>
      </c>
      <c r="G146" s="55" t="str">
        <f>IF($F146="","",IF(SEKOR!BU141&gt;=1,"TUNTAS","TIDAK TUNTAS"))</f>
        <v/>
      </c>
    </row>
    <row r="147" spans="1:7" s="56" customFormat="1" ht="26.25" hidden="1" customHeight="1" x14ac:dyDescent="0.25">
      <c r="A147" s="126" t="str">
        <f>IF(Ujian!A149="","",Ujian!A149)</f>
        <v/>
      </c>
      <c r="B147" s="127" t="str">
        <f>IF(SEKOR!B142="","",SEKOR!B142)</f>
        <v/>
      </c>
      <c r="C147" s="127" t="str">
        <f>IF(SEKOR!C142="","",SEKOR!C142)</f>
        <v/>
      </c>
      <c r="D147" s="55" t="str">
        <f>IF(C147="","",SEKOR!BN142)</f>
        <v/>
      </c>
      <c r="E147" s="55" t="str">
        <f>IF(C147="","",SEKOR!BO142)</f>
        <v/>
      </c>
      <c r="F147" s="58" t="str">
        <f>SEKOR!BP142</f>
        <v/>
      </c>
      <c r="G147" s="55" t="str">
        <f>IF($F147="","",IF(SEKOR!BU142&gt;=1,"TUNTAS","TIDAK TUNTAS"))</f>
        <v/>
      </c>
    </row>
    <row r="148" spans="1:7" s="56" customFormat="1" ht="26.25" hidden="1" customHeight="1" x14ac:dyDescent="0.25">
      <c r="A148" s="126" t="str">
        <f>IF(Ujian!A150="","",Ujian!A150)</f>
        <v/>
      </c>
      <c r="B148" s="127" t="str">
        <f>IF(SEKOR!B143="","",SEKOR!B143)</f>
        <v/>
      </c>
      <c r="C148" s="127" t="str">
        <f>IF(SEKOR!C143="","",SEKOR!C143)</f>
        <v/>
      </c>
      <c r="D148" s="55" t="str">
        <f>IF(C148="","",SEKOR!BN143)</f>
        <v/>
      </c>
      <c r="E148" s="55" t="str">
        <f>IF(C148="","",SEKOR!BO143)</f>
        <v/>
      </c>
      <c r="F148" s="58" t="str">
        <f>SEKOR!BP143</f>
        <v/>
      </c>
      <c r="G148" s="55" t="str">
        <f>IF($F148="","",IF(SEKOR!BU143&gt;=1,"TUNTAS","TIDAK TUNTAS"))</f>
        <v/>
      </c>
    </row>
    <row r="149" spans="1:7" s="56" customFormat="1" ht="26.25" hidden="1" customHeight="1" x14ac:dyDescent="0.25">
      <c r="A149" s="126" t="str">
        <f>IF(Ujian!A151="","",Ujian!A151)</f>
        <v/>
      </c>
      <c r="B149" s="127" t="str">
        <f>IF(SEKOR!B144="","",SEKOR!B144)</f>
        <v/>
      </c>
      <c r="C149" s="127" t="str">
        <f>IF(SEKOR!C144="","",SEKOR!C144)</f>
        <v/>
      </c>
      <c r="D149" s="55" t="str">
        <f>IF(C149="","",SEKOR!BN144)</f>
        <v/>
      </c>
      <c r="E149" s="55" t="str">
        <f>IF(C149="","",SEKOR!BO144)</f>
        <v/>
      </c>
      <c r="F149" s="58" t="str">
        <f>SEKOR!BP144</f>
        <v/>
      </c>
      <c r="G149" s="55" t="str">
        <f>IF($F149="","",IF(SEKOR!BU144&gt;=1,"TUNTAS","TIDAK TUNTAS"))</f>
        <v/>
      </c>
    </row>
    <row r="150" spans="1:7" s="56" customFormat="1" ht="26.25" hidden="1" customHeight="1" x14ac:dyDescent="0.25">
      <c r="A150" s="126" t="str">
        <f>IF(Ujian!A152="","",Ujian!A152)</f>
        <v/>
      </c>
      <c r="B150" s="127" t="str">
        <f>IF(SEKOR!B145="","",SEKOR!B145)</f>
        <v/>
      </c>
      <c r="C150" s="127" t="str">
        <f>IF(SEKOR!C145="","",SEKOR!C145)</f>
        <v/>
      </c>
      <c r="D150" s="55" t="str">
        <f>IF(C150="","",SEKOR!BN145)</f>
        <v/>
      </c>
      <c r="E150" s="55" t="str">
        <f>IF(C150="","",SEKOR!BO145)</f>
        <v/>
      </c>
      <c r="F150" s="58" t="str">
        <f>SEKOR!BP145</f>
        <v/>
      </c>
      <c r="G150" s="55" t="str">
        <f>IF($F150="","",IF(SEKOR!BU145&gt;=1,"TUNTAS","TIDAK TUNTAS"))</f>
        <v/>
      </c>
    </row>
    <row r="151" spans="1:7" s="56" customFormat="1" ht="26.25" hidden="1" customHeight="1" x14ac:dyDescent="0.25">
      <c r="A151" s="126" t="str">
        <f>IF(Ujian!A153="","",Ujian!A153)</f>
        <v/>
      </c>
      <c r="B151" s="127" t="str">
        <f>IF(SEKOR!B146="","",SEKOR!B146)</f>
        <v/>
      </c>
      <c r="C151" s="127" t="str">
        <f>IF(SEKOR!C146="","",SEKOR!C146)</f>
        <v/>
      </c>
      <c r="D151" s="55" t="str">
        <f>IF(C151="","",SEKOR!BN146)</f>
        <v/>
      </c>
      <c r="E151" s="55" t="str">
        <f>IF(C151="","",SEKOR!BO146)</f>
        <v/>
      </c>
      <c r="F151" s="58" t="str">
        <f>SEKOR!BP146</f>
        <v/>
      </c>
      <c r="G151" s="55" t="str">
        <f>IF($F151="","",IF(SEKOR!BU146&gt;=1,"TUNTAS","TIDAK TUNTAS"))</f>
        <v/>
      </c>
    </row>
    <row r="152" spans="1:7" s="56" customFormat="1" ht="26.25" hidden="1" customHeight="1" x14ac:dyDescent="0.25">
      <c r="A152" s="126" t="str">
        <f>IF(Ujian!A154="","",Ujian!A154)</f>
        <v/>
      </c>
      <c r="B152" s="127" t="str">
        <f>IF(SEKOR!B147="","",SEKOR!B147)</f>
        <v/>
      </c>
      <c r="C152" s="127" t="str">
        <f>IF(SEKOR!C147="","",SEKOR!C147)</f>
        <v/>
      </c>
      <c r="D152" s="55" t="str">
        <f>IF(C152="","",SEKOR!BN147)</f>
        <v/>
      </c>
      <c r="E152" s="55" t="str">
        <f>IF(C152="","",SEKOR!BO147)</f>
        <v/>
      </c>
      <c r="F152" s="58" t="str">
        <f>SEKOR!BP147</f>
        <v/>
      </c>
      <c r="G152" s="55" t="str">
        <f>IF($F152="","",IF(SEKOR!BU147&gt;=1,"TUNTAS","TIDAK TUNTAS"))</f>
        <v/>
      </c>
    </row>
    <row r="153" spans="1:7" s="56" customFormat="1" ht="26.25" hidden="1" customHeight="1" x14ac:dyDescent="0.25">
      <c r="A153" s="126" t="str">
        <f>IF(Ujian!A155="","",Ujian!A155)</f>
        <v/>
      </c>
      <c r="B153" s="127" t="str">
        <f>IF(SEKOR!B148="","",SEKOR!B148)</f>
        <v/>
      </c>
      <c r="C153" s="127" t="str">
        <f>IF(SEKOR!C148="","",SEKOR!C148)</f>
        <v/>
      </c>
      <c r="D153" s="55" t="str">
        <f>IF(C153="","",SEKOR!BN148)</f>
        <v/>
      </c>
      <c r="E153" s="55" t="str">
        <f>IF(C153="","",SEKOR!BO148)</f>
        <v/>
      </c>
      <c r="F153" s="58" t="str">
        <f>SEKOR!BP148</f>
        <v/>
      </c>
      <c r="G153" s="55" t="str">
        <f>IF($F153="","",IF(SEKOR!BU148&gt;=1,"TUNTAS","TIDAK TUNTAS"))</f>
        <v/>
      </c>
    </row>
    <row r="154" spans="1:7" s="56" customFormat="1" ht="26.25" hidden="1" customHeight="1" x14ac:dyDescent="0.25">
      <c r="A154" s="126" t="str">
        <f>IF(Ujian!A156="","",Ujian!A156)</f>
        <v/>
      </c>
      <c r="B154" s="127" t="str">
        <f>IF(SEKOR!B149="","",SEKOR!B149)</f>
        <v/>
      </c>
      <c r="C154" s="127" t="str">
        <f>IF(SEKOR!C149="","",SEKOR!C149)</f>
        <v/>
      </c>
      <c r="D154" s="55" t="str">
        <f>IF(C154="","",SEKOR!BN149)</f>
        <v/>
      </c>
      <c r="E154" s="55" t="str">
        <f>IF(C154="","",SEKOR!BO149)</f>
        <v/>
      </c>
      <c r="F154" s="58" t="str">
        <f>SEKOR!BP149</f>
        <v/>
      </c>
      <c r="G154" s="55" t="str">
        <f>IF($F154="","",IF(SEKOR!BU149&gt;=1,"TUNTAS","TIDAK TUNTAS"))</f>
        <v/>
      </c>
    </row>
    <row r="155" spans="1:7" s="56" customFormat="1" ht="26.25" hidden="1" customHeight="1" x14ac:dyDescent="0.25">
      <c r="A155" s="126" t="str">
        <f>IF(Ujian!A157="","",Ujian!A157)</f>
        <v/>
      </c>
      <c r="B155" s="127" t="str">
        <f>IF(SEKOR!B150="","",SEKOR!B150)</f>
        <v/>
      </c>
      <c r="C155" s="127" t="str">
        <f>IF(SEKOR!C150="","",SEKOR!C150)</f>
        <v/>
      </c>
      <c r="D155" s="55" t="str">
        <f>IF(C155="","",SEKOR!BN150)</f>
        <v/>
      </c>
      <c r="E155" s="55" t="str">
        <f>IF(C155="","",SEKOR!BO150)</f>
        <v/>
      </c>
      <c r="F155" s="58" t="str">
        <f>SEKOR!BP150</f>
        <v/>
      </c>
      <c r="G155" s="55" t="str">
        <f>IF($F155="","",IF(SEKOR!BU150&gt;=1,"TUNTAS","TIDAK TUNTAS"))</f>
        <v/>
      </c>
    </row>
    <row r="156" spans="1:7" s="56" customFormat="1" ht="26.25" hidden="1" customHeight="1" x14ac:dyDescent="0.25">
      <c r="A156" s="126" t="str">
        <f>IF(Ujian!A158="","",Ujian!A158)</f>
        <v/>
      </c>
      <c r="B156" s="127" t="str">
        <f>IF(SEKOR!B151="","",SEKOR!B151)</f>
        <v/>
      </c>
      <c r="C156" s="127" t="str">
        <f>IF(SEKOR!C151="","",SEKOR!C151)</f>
        <v/>
      </c>
      <c r="D156" s="55" t="str">
        <f>IF(C156="","",SEKOR!BN151)</f>
        <v/>
      </c>
      <c r="E156" s="55" t="str">
        <f>IF(C156="","",SEKOR!BO151)</f>
        <v/>
      </c>
      <c r="F156" s="58" t="str">
        <f>SEKOR!BP151</f>
        <v/>
      </c>
      <c r="G156" s="55" t="str">
        <f>IF($F156="","",IF(SEKOR!BU151&gt;=1,"TUNTAS","TIDAK TUNTAS"))</f>
        <v/>
      </c>
    </row>
    <row r="157" spans="1:7" s="56" customFormat="1" ht="26.25" hidden="1" customHeight="1" x14ac:dyDescent="0.25">
      <c r="A157" s="126" t="str">
        <f>IF(Ujian!A159="","",Ujian!A159)</f>
        <v/>
      </c>
      <c r="B157" s="127" t="str">
        <f>IF(SEKOR!B152="","",SEKOR!B152)</f>
        <v/>
      </c>
      <c r="C157" s="127" t="str">
        <f>IF(SEKOR!C152="","",SEKOR!C152)</f>
        <v/>
      </c>
      <c r="D157" s="55" t="str">
        <f>IF(C157="","",SEKOR!BN152)</f>
        <v/>
      </c>
      <c r="E157" s="55" t="str">
        <f>IF(C157="","",SEKOR!BO152)</f>
        <v/>
      </c>
      <c r="F157" s="58" t="str">
        <f>SEKOR!BP152</f>
        <v/>
      </c>
      <c r="G157" s="55" t="str">
        <f>IF($F157="","",IF(SEKOR!BU152&gt;=1,"TUNTAS","TIDAK TUNTAS"))</f>
        <v/>
      </c>
    </row>
    <row r="158" spans="1:7" s="56" customFormat="1" ht="26.25" hidden="1" customHeight="1" x14ac:dyDescent="0.25">
      <c r="A158" s="126" t="str">
        <f>IF(Ujian!A160="","",Ujian!A160)</f>
        <v/>
      </c>
      <c r="B158" s="127" t="str">
        <f>IF(SEKOR!B153="","",SEKOR!B153)</f>
        <v/>
      </c>
      <c r="C158" s="127" t="str">
        <f>IF(SEKOR!C153="","",SEKOR!C153)</f>
        <v/>
      </c>
      <c r="D158" s="55" t="str">
        <f>IF(C158="","",SEKOR!BN153)</f>
        <v/>
      </c>
      <c r="E158" s="55" t="str">
        <f>IF(C158="","",SEKOR!BO153)</f>
        <v/>
      </c>
      <c r="F158" s="58" t="str">
        <f>SEKOR!BP153</f>
        <v/>
      </c>
      <c r="G158" s="55" t="str">
        <f>IF($F158="","",IF(SEKOR!BU153&gt;=1,"TUNTAS","TIDAK TUNTAS"))</f>
        <v/>
      </c>
    </row>
    <row r="159" spans="1:7" s="56" customFormat="1" ht="26.25" hidden="1" customHeight="1" x14ac:dyDescent="0.25">
      <c r="A159" s="126" t="str">
        <f>IF(Ujian!A161="","",Ujian!A161)</f>
        <v/>
      </c>
      <c r="B159" s="127" t="str">
        <f>IF(SEKOR!B154="","",SEKOR!B154)</f>
        <v/>
      </c>
      <c r="C159" s="127" t="str">
        <f>IF(SEKOR!C154="","",SEKOR!C154)</f>
        <v/>
      </c>
      <c r="D159" s="55" t="str">
        <f>IF(C159="","",SEKOR!BN154)</f>
        <v/>
      </c>
      <c r="E159" s="55" t="str">
        <f>IF(C159="","",SEKOR!BO154)</f>
        <v/>
      </c>
      <c r="F159" s="58" t="str">
        <f>SEKOR!BP154</f>
        <v/>
      </c>
      <c r="G159" s="55" t="str">
        <f>IF($F159="","",IF(SEKOR!BU154&gt;=1,"TUNTAS","TIDAK TUNTAS"))</f>
        <v/>
      </c>
    </row>
    <row r="160" spans="1:7" s="56" customFormat="1" ht="26.25" hidden="1" customHeight="1" x14ac:dyDescent="0.25">
      <c r="A160" s="126" t="str">
        <f>IF(Ujian!A162="","",Ujian!A162)</f>
        <v/>
      </c>
      <c r="B160" s="127" t="str">
        <f>IF(SEKOR!B155="","",SEKOR!B155)</f>
        <v/>
      </c>
      <c r="C160" s="127" t="str">
        <f>IF(SEKOR!C155="","",SEKOR!C155)</f>
        <v/>
      </c>
      <c r="D160" s="55" t="str">
        <f>IF(C160="","",SEKOR!BN155)</f>
        <v/>
      </c>
      <c r="E160" s="55" t="str">
        <f>IF(C160="","",SEKOR!BO155)</f>
        <v/>
      </c>
      <c r="F160" s="58" t="str">
        <f>SEKOR!BP155</f>
        <v/>
      </c>
      <c r="G160" s="55" t="str">
        <f>IF($F160="","",IF(SEKOR!BU155&gt;=1,"TUNTAS","TIDAK TUNTAS"))</f>
        <v/>
      </c>
    </row>
    <row r="161" spans="1:7" s="56" customFormat="1" ht="26.25" hidden="1" customHeight="1" x14ac:dyDescent="0.25">
      <c r="A161" s="126" t="str">
        <f>IF(Ujian!A163="","",Ujian!A163)</f>
        <v/>
      </c>
      <c r="B161" s="127" t="str">
        <f>IF(SEKOR!B156="","",SEKOR!B156)</f>
        <v/>
      </c>
      <c r="C161" s="127" t="str">
        <f>IF(SEKOR!C156="","",SEKOR!C156)</f>
        <v/>
      </c>
      <c r="D161" s="55" t="str">
        <f>IF(C161="","",SEKOR!BN156)</f>
        <v/>
      </c>
      <c r="E161" s="55" t="str">
        <f>IF(C161="","",SEKOR!BO156)</f>
        <v/>
      </c>
      <c r="F161" s="58" t="str">
        <f>SEKOR!BP156</f>
        <v/>
      </c>
      <c r="G161" s="55" t="str">
        <f>IF($F161="","",IF(SEKOR!BU156&gt;=1,"TUNTAS","TIDAK TUNTAS"))</f>
        <v/>
      </c>
    </row>
    <row r="162" spans="1:7" s="56" customFormat="1" ht="26.25" hidden="1" customHeight="1" x14ac:dyDescent="0.25">
      <c r="A162" s="126" t="str">
        <f>IF(Ujian!A164="","",Ujian!A164)</f>
        <v/>
      </c>
      <c r="B162" s="127" t="str">
        <f>IF(SEKOR!B157="","",SEKOR!B157)</f>
        <v/>
      </c>
      <c r="C162" s="127" t="str">
        <f>IF(SEKOR!C157="","",SEKOR!C157)</f>
        <v/>
      </c>
      <c r="D162" s="55" t="str">
        <f>IF(C162="","",SEKOR!BN157)</f>
        <v/>
      </c>
      <c r="E162" s="55" t="str">
        <f>IF(C162="","",SEKOR!BO157)</f>
        <v/>
      </c>
      <c r="F162" s="58" t="str">
        <f>SEKOR!BP157</f>
        <v/>
      </c>
      <c r="G162" s="55" t="str">
        <f>IF($F162="","",IF(SEKOR!BU157&gt;=1,"TUNTAS","TIDAK TUNTAS"))</f>
        <v/>
      </c>
    </row>
    <row r="163" spans="1:7" s="56" customFormat="1" ht="26.25" hidden="1" customHeight="1" x14ac:dyDescent="0.25">
      <c r="A163" s="126" t="str">
        <f>IF(Ujian!A165="","",Ujian!A165)</f>
        <v/>
      </c>
      <c r="B163" s="127" t="str">
        <f>IF(SEKOR!B158="","",SEKOR!B158)</f>
        <v/>
      </c>
      <c r="C163" s="127" t="str">
        <f>IF(SEKOR!C158="","",SEKOR!C158)</f>
        <v/>
      </c>
      <c r="D163" s="55" t="str">
        <f>IF(C163="","",SEKOR!BN158)</f>
        <v/>
      </c>
      <c r="E163" s="55" t="str">
        <f>IF(C163="","",SEKOR!BO158)</f>
        <v/>
      </c>
      <c r="F163" s="58" t="str">
        <f>SEKOR!BP158</f>
        <v/>
      </c>
      <c r="G163" s="55" t="str">
        <f>IF($F163="","",IF(SEKOR!BU158&gt;=1,"TUNTAS","TIDAK TUNTAS"))</f>
        <v/>
      </c>
    </row>
    <row r="164" spans="1:7" s="56" customFormat="1" ht="26.25" hidden="1" customHeight="1" x14ac:dyDescent="0.25">
      <c r="A164" s="126" t="str">
        <f>IF(Ujian!A166="","",Ujian!A166)</f>
        <v/>
      </c>
      <c r="B164" s="127" t="str">
        <f>IF(SEKOR!B159="","",SEKOR!B159)</f>
        <v/>
      </c>
      <c r="C164" s="127" t="str">
        <f>IF(SEKOR!C159="","",SEKOR!C159)</f>
        <v/>
      </c>
      <c r="D164" s="55" t="str">
        <f>IF(C164="","",SEKOR!BN159)</f>
        <v/>
      </c>
      <c r="E164" s="55" t="str">
        <f>IF(C164="","",SEKOR!BO159)</f>
        <v/>
      </c>
      <c r="F164" s="58" t="str">
        <f>SEKOR!BP159</f>
        <v/>
      </c>
      <c r="G164" s="55" t="str">
        <f>IF($F164="","",IF(SEKOR!BU159&gt;=1,"TUNTAS","TIDAK TUNTAS"))</f>
        <v/>
      </c>
    </row>
    <row r="165" spans="1:7" s="56" customFormat="1" ht="26.25" hidden="1" customHeight="1" x14ac:dyDescent="0.25">
      <c r="A165" s="126" t="str">
        <f>IF(Ujian!A167="","",Ujian!A167)</f>
        <v/>
      </c>
      <c r="B165" s="127" t="str">
        <f>IF(SEKOR!B160="","",SEKOR!B160)</f>
        <v/>
      </c>
      <c r="C165" s="127" t="str">
        <f>IF(SEKOR!C160="","",SEKOR!C160)</f>
        <v/>
      </c>
      <c r="D165" s="55" t="str">
        <f>IF(C165="","",SEKOR!BN160)</f>
        <v/>
      </c>
      <c r="E165" s="55" t="str">
        <f>IF(C165="","",SEKOR!BO160)</f>
        <v/>
      </c>
      <c r="F165" s="58" t="str">
        <f>SEKOR!BP160</f>
        <v/>
      </c>
      <c r="G165" s="55" t="str">
        <f>IF($F165="","",IF(SEKOR!BU160&gt;=1,"TUNTAS","TIDAK TUNTAS"))</f>
        <v/>
      </c>
    </row>
    <row r="166" spans="1:7" s="56" customFormat="1" ht="26.25" hidden="1" customHeight="1" x14ac:dyDescent="0.25">
      <c r="A166" s="126" t="str">
        <f>IF(Ujian!A168="","",Ujian!A168)</f>
        <v/>
      </c>
      <c r="B166" s="127" t="str">
        <f>IF(SEKOR!B161="","",SEKOR!B161)</f>
        <v/>
      </c>
      <c r="C166" s="127" t="str">
        <f>IF(SEKOR!C161="","",SEKOR!C161)</f>
        <v/>
      </c>
      <c r="D166" s="55" t="str">
        <f>IF(C166="","",SEKOR!BN161)</f>
        <v/>
      </c>
      <c r="E166" s="55" t="str">
        <f>IF(C166="","",SEKOR!BO161)</f>
        <v/>
      </c>
      <c r="F166" s="58" t="str">
        <f>SEKOR!BP161</f>
        <v/>
      </c>
      <c r="G166" s="55" t="str">
        <f>IF($F166="","",IF(SEKOR!BU161&gt;=1,"TUNTAS","TIDAK TUNTAS"))</f>
        <v/>
      </c>
    </row>
    <row r="167" spans="1:7" s="56" customFormat="1" ht="26.25" hidden="1" customHeight="1" x14ac:dyDescent="0.25">
      <c r="A167" s="126" t="str">
        <f>IF(Ujian!A169="","",Ujian!A169)</f>
        <v/>
      </c>
      <c r="B167" s="127" t="str">
        <f>IF(SEKOR!B162="","",SEKOR!B162)</f>
        <v/>
      </c>
      <c r="C167" s="127" t="str">
        <f>IF(SEKOR!C162="","",SEKOR!C162)</f>
        <v/>
      </c>
      <c r="D167" s="55" t="str">
        <f>IF(C167="","",SEKOR!BN162)</f>
        <v/>
      </c>
      <c r="E167" s="55" t="str">
        <f>IF(C167="","",SEKOR!BO162)</f>
        <v/>
      </c>
      <c r="F167" s="58" t="str">
        <f>SEKOR!BP162</f>
        <v/>
      </c>
      <c r="G167" s="55" t="str">
        <f>IF($F167="","",IF(SEKOR!BU162&gt;=1,"TUNTAS","TIDAK TUNTAS"))</f>
        <v/>
      </c>
    </row>
    <row r="168" spans="1:7" s="56" customFormat="1" ht="26.25" hidden="1" customHeight="1" x14ac:dyDescent="0.25">
      <c r="A168" s="126" t="str">
        <f>IF(Ujian!A170="","",Ujian!A170)</f>
        <v/>
      </c>
      <c r="B168" s="127" t="str">
        <f>IF(SEKOR!B163="","",SEKOR!B163)</f>
        <v/>
      </c>
      <c r="C168" s="127" t="str">
        <f>IF(SEKOR!C163="","",SEKOR!C163)</f>
        <v/>
      </c>
      <c r="D168" s="55" t="str">
        <f>IF(C168="","",SEKOR!BN163)</f>
        <v/>
      </c>
      <c r="E168" s="55" t="str">
        <f>IF(C168="","",SEKOR!BO163)</f>
        <v/>
      </c>
      <c r="F168" s="58" t="str">
        <f>SEKOR!BP163</f>
        <v/>
      </c>
      <c r="G168" s="55" t="str">
        <f>IF($F168="","",IF(SEKOR!BU163&gt;=1,"TUNTAS","TIDAK TUNTAS"))</f>
        <v/>
      </c>
    </row>
    <row r="169" spans="1:7" s="56" customFormat="1" ht="26.25" hidden="1" customHeight="1" x14ac:dyDescent="0.25">
      <c r="A169" s="126" t="str">
        <f>IF(Ujian!A171="","",Ujian!A171)</f>
        <v/>
      </c>
      <c r="B169" s="127" t="str">
        <f>IF(SEKOR!B164="","",SEKOR!B164)</f>
        <v/>
      </c>
      <c r="C169" s="127" t="str">
        <f>IF(SEKOR!C164="","",SEKOR!C164)</f>
        <v/>
      </c>
      <c r="D169" s="55" t="str">
        <f>IF(C169="","",SEKOR!BN164)</f>
        <v/>
      </c>
      <c r="E169" s="55" t="str">
        <f>IF(C169="","",SEKOR!BO164)</f>
        <v/>
      </c>
      <c r="F169" s="58" t="str">
        <f>SEKOR!BP164</f>
        <v/>
      </c>
      <c r="G169" s="55" t="str">
        <f>IF($F169="","",IF(SEKOR!BU164&gt;=1,"TUNTAS","TIDAK TUNTAS"))</f>
        <v/>
      </c>
    </row>
    <row r="170" spans="1:7" s="56" customFormat="1" ht="26.25" hidden="1" customHeight="1" x14ac:dyDescent="0.25">
      <c r="A170" s="126" t="str">
        <f>IF(Ujian!A172="","",Ujian!A172)</f>
        <v/>
      </c>
      <c r="B170" s="127" t="str">
        <f>IF(SEKOR!B165="","",SEKOR!B165)</f>
        <v/>
      </c>
      <c r="C170" s="127" t="str">
        <f>IF(SEKOR!C165="","",SEKOR!C165)</f>
        <v/>
      </c>
      <c r="D170" s="55" t="str">
        <f>IF(C170="","",SEKOR!BN165)</f>
        <v/>
      </c>
      <c r="E170" s="55" t="str">
        <f>IF(C170="","",SEKOR!BO165)</f>
        <v/>
      </c>
      <c r="F170" s="58" t="str">
        <f>SEKOR!BP165</f>
        <v/>
      </c>
      <c r="G170" s="55" t="str">
        <f>IF($F170="","",IF(SEKOR!BU165&gt;=1,"TUNTAS","TIDAK TUNTAS"))</f>
        <v/>
      </c>
    </row>
    <row r="171" spans="1:7" s="56" customFormat="1" ht="26.25" hidden="1" customHeight="1" x14ac:dyDescent="0.25">
      <c r="A171" s="126" t="str">
        <f>IF(Ujian!A173="","",Ujian!A173)</f>
        <v/>
      </c>
      <c r="B171" s="127" t="str">
        <f>IF(SEKOR!B166="","",SEKOR!B166)</f>
        <v/>
      </c>
      <c r="C171" s="127" t="str">
        <f>IF(SEKOR!C166="","",SEKOR!C166)</f>
        <v/>
      </c>
      <c r="D171" s="55" t="str">
        <f>IF(C171="","",SEKOR!BN166)</f>
        <v/>
      </c>
      <c r="E171" s="55" t="str">
        <f>IF(C171="","",SEKOR!BO166)</f>
        <v/>
      </c>
      <c r="F171" s="58" t="str">
        <f>SEKOR!BP166</f>
        <v/>
      </c>
      <c r="G171" s="55" t="str">
        <f>IF($F171="","",IF(SEKOR!BU166&gt;=1,"TUNTAS","TIDAK TUNTAS"))</f>
        <v/>
      </c>
    </row>
    <row r="172" spans="1:7" s="56" customFormat="1" ht="26.25" hidden="1" customHeight="1" x14ac:dyDescent="0.25">
      <c r="A172" s="126" t="str">
        <f>IF(Ujian!A174="","",Ujian!A174)</f>
        <v/>
      </c>
      <c r="B172" s="127" t="str">
        <f>IF(SEKOR!B167="","",SEKOR!B167)</f>
        <v/>
      </c>
      <c r="C172" s="127" t="str">
        <f>IF(SEKOR!C167="","",SEKOR!C167)</f>
        <v/>
      </c>
      <c r="D172" s="55" t="str">
        <f>IF(C172="","",SEKOR!BN167)</f>
        <v/>
      </c>
      <c r="E172" s="55" t="str">
        <f>IF(C172="","",SEKOR!BO167)</f>
        <v/>
      </c>
      <c r="F172" s="58" t="str">
        <f>SEKOR!BP167</f>
        <v/>
      </c>
      <c r="G172" s="55" t="str">
        <f>IF($F172="","",IF(SEKOR!BU167&gt;=1,"TUNTAS","TIDAK TUNTAS"))</f>
        <v/>
      </c>
    </row>
    <row r="173" spans="1:7" s="56" customFormat="1" ht="26.25" hidden="1" customHeight="1" x14ac:dyDescent="0.25">
      <c r="A173" s="126" t="str">
        <f>IF(Ujian!A175="","",Ujian!A175)</f>
        <v/>
      </c>
      <c r="B173" s="127" t="str">
        <f>IF(SEKOR!B168="","",SEKOR!B168)</f>
        <v/>
      </c>
      <c r="C173" s="127" t="str">
        <f>IF(SEKOR!C168="","",SEKOR!C168)</f>
        <v/>
      </c>
      <c r="D173" s="55" t="str">
        <f>IF(C173="","",SEKOR!BN168)</f>
        <v/>
      </c>
      <c r="E173" s="55" t="str">
        <f>IF(C173="","",SEKOR!BO168)</f>
        <v/>
      </c>
      <c r="F173" s="58" t="str">
        <f>SEKOR!BP168</f>
        <v/>
      </c>
      <c r="G173" s="55" t="str">
        <f>IF($F173="","",IF(SEKOR!BU168&gt;=1,"TUNTAS","TIDAK TUNTAS"))</f>
        <v/>
      </c>
    </row>
    <row r="174" spans="1:7" s="56" customFormat="1" ht="26.25" hidden="1" customHeight="1" x14ac:dyDescent="0.25">
      <c r="A174" s="126" t="str">
        <f>IF(Ujian!A176="","",Ujian!A176)</f>
        <v/>
      </c>
      <c r="B174" s="127" t="str">
        <f>IF(SEKOR!B169="","",SEKOR!B169)</f>
        <v/>
      </c>
      <c r="C174" s="127" t="str">
        <f>IF(SEKOR!C169="","",SEKOR!C169)</f>
        <v/>
      </c>
      <c r="D174" s="55" t="str">
        <f>IF(C174="","",SEKOR!BN169)</f>
        <v/>
      </c>
      <c r="E174" s="55" t="str">
        <f>IF(C174="","",SEKOR!BO169)</f>
        <v/>
      </c>
      <c r="F174" s="58" t="str">
        <f>SEKOR!BP169</f>
        <v/>
      </c>
      <c r="G174" s="55" t="str">
        <f>IF($F174="","",IF(SEKOR!BU169&gt;=1,"TUNTAS","TIDAK TUNTAS"))</f>
        <v/>
      </c>
    </row>
    <row r="175" spans="1:7" s="56" customFormat="1" ht="26.25" hidden="1" customHeight="1" x14ac:dyDescent="0.25">
      <c r="A175" s="126" t="str">
        <f>IF(Ujian!A177="","",Ujian!A177)</f>
        <v/>
      </c>
      <c r="B175" s="127" t="str">
        <f>IF(SEKOR!B170="","",SEKOR!B170)</f>
        <v/>
      </c>
      <c r="C175" s="127" t="str">
        <f>IF(SEKOR!C170="","",SEKOR!C170)</f>
        <v/>
      </c>
      <c r="D175" s="55" t="str">
        <f>IF(C175="","",SEKOR!BN170)</f>
        <v/>
      </c>
      <c r="E175" s="55" t="str">
        <f>IF(C175="","",SEKOR!BO170)</f>
        <v/>
      </c>
      <c r="F175" s="58" t="str">
        <f>SEKOR!BP170</f>
        <v/>
      </c>
      <c r="G175" s="55" t="str">
        <f>IF($F175="","",IF(SEKOR!BU170&gt;=1,"TUNTAS","TIDAK TUNTAS"))</f>
        <v/>
      </c>
    </row>
    <row r="176" spans="1:7" s="56" customFormat="1" ht="26.25" hidden="1" customHeight="1" x14ac:dyDescent="0.25">
      <c r="A176" s="126" t="str">
        <f>IF(Ujian!A178="","",Ujian!A178)</f>
        <v/>
      </c>
      <c r="B176" s="127" t="str">
        <f>IF(SEKOR!B171="","",SEKOR!B171)</f>
        <v/>
      </c>
      <c r="C176" s="127" t="str">
        <f>IF(SEKOR!C171="","",SEKOR!C171)</f>
        <v/>
      </c>
      <c r="D176" s="55" t="str">
        <f>IF(C176="","",SEKOR!BN171)</f>
        <v/>
      </c>
      <c r="E176" s="55" t="str">
        <f>IF(C176="","",SEKOR!BO171)</f>
        <v/>
      </c>
      <c r="F176" s="58" t="str">
        <f>SEKOR!BP171</f>
        <v/>
      </c>
      <c r="G176" s="55" t="str">
        <f>IF($F176="","",IF(SEKOR!BU171&gt;=1,"TUNTAS","TIDAK TUNTAS"))</f>
        <v/>
      </c>
    </row>
    <row r="177" spans="1:7" s="56" customFormat="1" ht="26.25" hidden="1" customHeight="1" x14ac:dyDescent="0.25">
      <c r="A177" s="126" t="str">
        <f>IF(Ujian!A179="","",Ujian!A179)</f>
        <v/>
      </c>
      <c r="B177" s="127" t="str">
        <f>IF(SEKOR!B172="","",SEKOR!B172)</f>
        <v/>
      </c>
      <c r="C177" s="127" t="str">
        <f>IF(SEKOR!C172="","",SEKOR!C172)</f>
        <v/>
      </c>
      <c r="D177" s="55" t="str">
        <f>IF(C177="","",SEKOR!BN172)</f>
        <v/>
      </c>
      <c r="E177" s="55" t="str">
        <f>IF(C177="","",SEKOR!BO172)</f>
        <v/>
      </c>
      <c r="F177" s="58" t="str">
        <f>SEKOR!BP172</f>
        <v/>
      </c>
      <c r="G177" s="55" t="str">
        <f>IF($F177="","",IF(SEKOR!BU172&gt;=1,"TUNTAS","TIDAK TUNTAS"))</f>
        <v/>
      </c>
    </row>
    <row r="178" spans="1:7" s="56" customFormat="1" ht="26.25" hidden="1" customHeight="1" x14ac:dyDescent="0.25">
      <c r="A178" s="126" t="str">
        <f>IF(Ujian!A180="","",Ujian!A180)</f>
        <v/>
      </c>
      <c r="B178" s="127" t="str">
        <f>IF(SEKOR!B173="","",SEKOR!B173)</f>
        <v/>
      </c>
      <c r="C178" s="127" t="str">
        <f>IF(SEKOR!C173="","",SEKOR!C173)</f>
        <v/>
      </c>
      <c r="D178" s="55" t="str">
        <f>IF(C178="","",SEKOR!BN173)</f>
        <v/>
      </c>
      <c r="E178" s="55" t="str">
        <f>IF(C178="","",SEKOR!BO173)</f>
        <v/>
      </c>
      <c r="F178" s="58" t="str">
        <f>SEKOR!BP173</f>
        <v/>
      </c>
      <c r="G178" s="55" t="str">
        <f>IF($F178="","",IF(SEKOR!BU173&gt;=1,"TUNTAS","TIDAK TUNTAS"))</f>
        <v/>
      </c>
    </row>
    <row r="179" spans="1:7" s="56" customFormat="1" ht="26.25" hidden="1" customHeight="1" x14ac:dyDescent="0.25">
      <c r="A179" s="126" t="str">
        <f>IF(Ujian!A181="","",Ujian!A181)</f>
        <v/>
      </c>
      <c r="B179" s="127" t="str">
        <f>IF(SEKOR!B174="","",SEKOR!B174)</f>
        <v/>
      </c>
      <c r="C179" s="127" t="str">
        <f>IF(SEKOR!C174="","",SEKOR!C174)</f>
        <v/>
      </c>
      <c r="D179" s="55" t="str">
        <f>IF(C179="","",SEKOR!BN174)</f>
        <v/>
      </c>
      <c r="E179" s="55" t="str">
        <f>IF(C179="","",SEKOR!BO174)</f>
        <v/>
      </c>
      <c r="F179" s="58" t="str">
        <f>SEKOR!BP174</f>
        <v/>
      </c>
      <c r="G179" s="55" t="str">
        <f>IF($F179="","",IF(SEKOR!BU174&gt;=1,"TUNTAS","TIDAK TUNTAS"))</f>
        <v/>
      </c>
    </row>
    <row r="180" spans="1:7" s="56" customFormat="1" ht="26.25" hidden="1" customHeight="1" x14ac:dyDescent="0.25">
      <c r="A180" s="126" t="str">
        <f>IF(Ujian!A182="","",Ujian!A182)</f>
        <v/>
      </c>
      <c r="B180" s="127" t="str">
        <f>IF(SEKOR!B175="","",SEKOR!B175)</f>
        <v/>
      </c>
      <c r="C180" s="127" t="str">
        <f>IF(SEKOR!C175="","",SEKOR!C175)</f>
        <v/>
      </c>
      <c r="D180" s="55" t="str">
        <f>IF(C180="","",SEKOR!BN175)</f>
        <v/>
      </c>
      <c r="E180" s="55" t="str">
        <f>IF(C180="","",SEKOR!BO175)</f>
        <v/>
      </c>
      <c r="F180" s="58" t="str">
        <f>SEKOR!BP175</f>
        <v/>
      </c>
      <c r="G180" s="55" t="str">
        <f>IF($F180="","",IF(SEKOR!BU175&gt;=1,"TUNTAS","TIDAK TUNTAS"))</f>
        <v/>
      </c>
    </row>
    <row r="181" spans="1:7" s="56" customFormat="1" ht="26.25" hidden="1" customHeight="1" x14ac:dyDescent="0.25">
      <c r="A181" s="126" t="str">
        <f>IF(Ujian!A183="","",Ujian!A183)</f>
        <v/>
      </c>
      <c r="B181" s="127" t="str">
        <f>IF(SEKOR!B176="","",SEKOR!B176)</f>
        <v/>
      </c>
      <c r="C181" s="127" t="str">
        <f>IF(SEKOR!C176="","",SEKOR!C176)</f>
        <v/>
      </c>
      <c r="D181" s="55" t="str">
        <f>IF(C181="","",SEKOR!BN176)</f>
        <v/>
      </c>
      <c r="E181" s="55" t="str">
        <f>IF(C181="","",SEKOR!BO176)</f>
        <v/>
      </c>
      <c r="F181" s="58" t="str">
        <f>SEKOR!BP176</f>
        <v/>
      </c>
      <c r="G181" s="55" t="str">
        <f>IF($F181="","",IF(SEKOR!BU176&gt;=1,"TUNTAS","TIDAK TUNTAS"))</f>
        <v/>
      </c>
    </row>
    <row r="182" spans="1:7" s="56" customFormat="1" ht="26.25" hidden="1" customHeight="1" x14ac:dyDescent="0.25">
      <c r="A182" s="126" t="str">
        <f>IF(Ujian!A184="","",Ujian!A184)</f>
        <v/>
      </c>
      <c r="B182" s="127" t="str">
        <f>IF(SEKOR!B177="","",SEKOR!B177)</f>
        <v/>
      </c>
      <c r="C182" s="127" t="str">
        <f>IF(SEKOR!C177="","",SEKOR!C177)</f>
        <v/>
      </c>
      <c r="D182" s="55" t="str">
        <f>IF(C182="","",SEKOR!BN177)</f>
        <v/>
      </c>
      <c r="E182" s="55" t="str">
        <f>IF(C182="","",SEKOR!BO177)</f>
        <v/>
      </c>
      <c r="F182" s="58" t="str">
        <f>SEKOR!BP177</f>
        <v/>
      </c>
      <c r="G182" s="55" t="str">
        <f>IF($F182="","",IF(SEKOR!BU177&gt;=1,"TUNTAS","TIDAK TUNTAS"))</f>
        <v/>
      </c>
    </row>
    <row r="183" spans="1:7" s="56" customFormat="1" ht="26.25" hidden="1" customHeight="1" x14ac:dyDescent="0.25">
      <c r="A183" s="126" t="str">
        <f>IF(Ujian!A185="","",Ujian!A185)</f>
        <v/>
      </c>
      <c r="B183" s="127" t="str">
        <f>IF(SEKOR!B178="","",SEKOR!B178)</f>
        <v/>
      </c>
      <c r="C183" s="127" t="str">
        <f>IF(SEKOR!C178="","",SEKOR!C178)</f>
        <v/>
      </c>
      <c r="D183" s="55" t="str">
        <f>IF(C183="","",SEKOR!BN178)</f>
        <v/>
      </c>
      <c r="E183" s="55" t="str">
        <f>IF(C183="","",SEKOR!BO178)</f>
        <v/>
      </c>
      <c r="F183" s="58" t="str">
        <f>SEKOR!BP178</f>
        <v/>
      </c>
      <c r="G183" s="55" t="str">
        <f>IF($F183="","",IF(SEKOR!BU178&gt;=1,"TUNTAS","TIDAK TUNTAS"))</f>
        <v/>
      </c>
    </row>
    <row r="184" spans="1:7" s="56" customFormat="1" ht="26.25" hidden="1" customHeight="1" x14ac:dyDescent="0.25">
      <c r="A184" s="126" t="str">
        <f>IF(Ujian!A186="","",Ujian!A186)</f>
        <v/>
      </c>
      <c r="B184" s="127" t="str">
        <f>IF(SEKOR!B179="","",SEKOR!B179)</f>
        <v/>
      </c>
      <c r="C184" s="127" t="str">
        <f>IF(SEKOR!C179="","",SEKOR!C179)</f>
        <v/>
      </c>
      <c r="D184" s="55" t="str">
        <f>IF(C184="","",SEKOR!BN179)</f>
        <v/>
      </c>
      <c r="E184" s="55" t="str">
        <f>IF(C184="","",SEKOR!BO179)</f>
        <v/>
      </c>
      <c r="F184" s="58" t="str">
        <f>SEKOR!BP179</f>
        <v/>
      </c>
      <c r="G184" s="55" t="str">
        <f>IF($F184="","",IF(SEKOR!BU179&gt;=1,"TUNTAS","TIDAK TUNTAS"))</f>
        <v/>
      </c>
    </row>
    <row r="185" spans="1:7" s="56" customFormat="1" ht="26.25" hidden="1" customHeight="1" x14ac:dyDescent="0.25">
      <c r="A185" s="126" t="str">
        <f>IF(Ujian!A187="","",Ujian!A187)</f>
        <v/>
      </c>
      <c r="B185" s="127" t="str">
        <f>IF(SEKOR!B180="","",SEKOR!B180)</f>
        <v/>
      </c>
      <c r="C185" s="127" t="str">
        <f>IF(SEKOR!C180="","",SEKOR!C180)</f>
        <v/>
      </c>
      <c r="D185" s="55" t="str">
        <f>IF(C185="","",SEKOR!BN180)</f>
        <v/>
      </c>
      <c r="E185" s="55" t="str">
        <f>IF(C185="","",SEKOR!BO180)</f>
        <v/>
      </c>
      <c r="F185" s="58" t="str">
        <f>SEKOR!BP180</f>
        <v/>
      </c>
      <c r="G185" s="55" t="str">
        <f>IF($F185="","",IF(SEKOR!BU180&gt;=1,"TUNTAS","TIDAK TUNTAS"))</f>
        <v/>
      </c>
    </row>
    <row r="186" spans="1:7" s="56" customFormat="1" ht="26.25" hidden="1" customHeight="1" x14ac:dyDescent="0.25">
      <c r="A186" s="126" t="str">
        <f>IF(Ujian!A188="","",Ujian!A188)</f>
        <v/>
      </c>
      <c r="B186" s="127" t="str">
        <f>IF(SEKOR!B181="","",SEKOR!B181)</f>
        <v/>
      </c>
      <c r="C186" s="127" t="str">
        <f>IF(SEKOR!C181="","",SEKOR!C181)</f>
        <v/>
      </c>
      <c r="D186" s="55" t="str">
        <f>IF(C186="","",SEKOR!BN181)</f>
        <v/>
      </c>
      <c r="E186" s="55" t="str">
        <f>IF(C186="","",SEKOR!BO181)</f>
        <v/>
      </c>
      <c r="F186" s="58" t="str">
        <f>SEKOR!BP181</f>
        <v/>
      </c>
      <c r="G186" s="55" t="str">
        <f>IF($F186="","",IF(SEKOR!BU181&gt;=1,"TUNTAS","TIDAK TUNTAS"))</f>
        <v/>
      </c>
    </row>
    <row r="187" spans="1:7" s="56" customFormat="1" ht="26.25" hidden="1" customHeight="1" x14ac:dyDescent="0.25">
      <c r="A187" s="126" t="str">
        <f>IF(Ujian!A189="","",Ujian!A189)</f>
        <v/>
      </c>
      <c r="B187" s="127" t="str">
        <f>IF(SEKOR!B182="","",SEKOR!B182)</f>
        <v/>
      </c>
      <c r="C187" s="127" t="str">
        <f>IF(SEKOR!C182="","",SEKOR!C182)</f>
        <v/>
      </c>
      <c r="D187" s="55" t="str">
        <f>IF(C187="","",SEKOR!BN182)</f>
        <v/>
      </c>
      <c r="E187" s="55" t="str">
        <f>IF(C187="","",SEKOR!BO182)</f>
        <v/>
      </c>
      <c r="F187" s="58" t="str">
        <f>SEKOR!BP182</f>
        <v/>
      </c>
      <c r="G187" s="55" t="str">
        <f>IF($F187="","",IF(SEKOR!BU182&gt;=1,"TUNTAS","TIDAK TUNTAS"))</f>
        <v/>
      </c>
    </row>
    <row r="188" spans="1:7" s="56" customFormat="1" ht="26.25" hidden="1" customHeight="1" x14ac:dyDescent="0.25">
      <c r="A188" s="126" t="str">
        <f>IF(Ujian!A190="","",Ujian!A190)</f>
        <v/>
      </c>
      <c r="B188" s="127" t="str">
        <f>IF(SEKOR!B183="","",SEKOR!B183)</f>
        <v/>
      </c>
      <c r="C188" s="127" t="str">
        <f>IF(SEKOR!C183="","",SEKOR!C183)</f>
        <v/>
      </c>
      <c r="D188" s="55" t="str">
        <f>IF(C188="","",SEKOR!BN183)</f>
        <v/>
      </c>
      <c r="E188" s="55" t="str">
        <f>IF(C188="","",SEKOR!BO183)</f>
        <v/>
      </c>
      <c r="F188" s="58" t="str">
        <f>SEKOR!BP183</f>
        <v/>
      </c>
      <c r="G188" s="55" t="str">
        <f>IF($F188="","",IF(SEKOR!BU183&gt;=1,"TUNTAS","TIDAK TUNTAS"))</f>
        <v/>
      </c>
    </row>
    <row r="189" spans="1:7" s="56" customFormat="1" ht="26.25" hidden="1" customHeight="1" x14ac:dyDescent="0.25">
      <c r="A189" s="126" t="str">
        <f>IF(Ujian!A191="","",Ujian!A191)</f>
        <v/>
      </c>
      <c r="B189" s="127" t="str">
        <f>IF(SEKOR!B184="","",SEKOR!B184)</f>
        <v/>
      </c>
      <c r="C189" s="127" t="str">
        <f>IF(SEKOR!C184="","",SEKOR!C184)</f>
        <v/>
      </c>
      <c r="D189" s="55" t="str">
        <f>IF(C189="","",SEKOR!BN184)</f>
        <v/>
      </c>
      <c r="E189" s="55" t="str">
        <f>IF(C189="","",SEKOR!BO184)</f>
        <v/>
      </c>
      <c r="F189" s="58" t="str">
        <f>SEKOR!BP184</f>
        <v/>
      </c>
      <c r="G189" s="55" t="str">
        <f>IF($F189="","",IF(SEKOR!BU184&gt;=1,"TUNTAS","TIDAK TUNTAS"))</f>
        <v/>
      </c>
    </row>
    <row r="190" spans="1:7" s="56" customFormat="1" ht="26.25" hidden="1" customHeight="1" x14ac:dyDescent="0.25">
      <c r="A190" s="126" t="str">
        <f>IF(Ujian!A192="","",Ujian!A192)</f>
        <v/>
      </c>
      <c r="B190" s="127" t="str">
        <f>IF(SEKOR!B185="","",SEKOR!B185)</f>
        <v/>
      </c>
      <c r="C190" s="127" t="str">
        <f>IF(SEKOR!C185="","",SEKOR!C185)</f>
        <v/>
      </c>
      <c r="D190" s="55" t="str">
        <f>IF(C190="","",SEKOR!BN185)</f>
        <v/>
      </c>
      <c r="E190" s="55" t="str">
        <f>IF(C190="","",SEKOR!BO185)</f>
        <v/>
      </c>
      <c r="F190" s="58" t="str">
        <f>SEKOR!BP185</f>
        <v/>
      </c>
      <c r="G190" s="55" t="str">
        <f>IF($F190="","",IF(SEKOR!BU185&gt;=1,"TUNTAS","TIDAK TUNTAS"))</f>
        <v/>
      </c>
    </row>
    <row r="191" spans="1:7" s="56" customFormat="1" ht="26.25" hidden="1" customHeight="1" x14ac:dyDescent="0.25">
      <c r="A191" s="126" t="str">
        <f>IF(Ujian!A193="","",Ujian!A193)</f>
        <v/>
      </c>
      <c r="B191" s="127" t="str">
        <f>IF(SEKOR!B186="","",SEKOR!B186)</f>
        <v/>
      </c>
      <c r="C191" s="127" t="str">
        <f>IF(SEKOR!C186="","",SEKOR!C186)</f>
        <v/>
      </c>
      <c r="D191" s="55" t="str">
        <f>IF(C191="","",SEKOR!BN186)</f>
        <v/>
      </c>
      <c r="E191" s="55" t="str">
        <f>IF(C191="","",SEKOR!BO186)</f>
        <v/>
      </c>
      <c r="F191" s="58" t="str">
        <f>SEKOR!BP186</f>
        <v/>
      </c>
      <c r="G191" s="55" t="str">
        <f>IF($F191="","",IF(SEKOR!BU186&gt;=1,"TUNTAS","TIDAK TUNTAS"))</f>
        <v/>
      </c>
    </row>
    <row r="192" spans="1:7" s="56" customFormat="1" ht="26.25" hidden="1" customHeight="1" x14ac:dyDescent="0.25">
      <c r="A192" s="126" t="str">
        <f>IF(Ujian!A194="","",Ujian!A194)</f>
        <v/>
      </c>
      <c r="B192" s="127" t="str">
        <f>IF(SEKOR!B187="","",SEKOR!B187)</f>
        <v/>
      </c>
      <c r="C192" s="127" t="str">
        <f>IF(SEKOR!C187="","",SEKOR!C187)</f>
        <v/>
      </c>
      <c r="D192" s="55" t="str">
        <f>IF(C192="","",SEKOR!BN187)</f>
        <v/>
      </c>
      <c r="E192" s="55" t="str">
        <f>IF(C192="","",SEKOR!BO187)</f>
        <v/>
      </c>
      <c r="F192" s="58" t="str">
        <f>SEKOR!BP187</f>
        <v/>
      </c>
      <c r="G192" s="55" t="str">
        <f>IF($F192="","",IF(SEKOR!BU187&gt;=1,"TUNTAS","TIDAK TUNTAS"))</f>
        <v/>
      </c>
    </row>
    <row r="193" spans="1:7" s="56" customFormat="1" ht="26.25" hidden="1" customHeight="1" x14ac:dyDescent="0.25">
      <c r="A193" s="126" t="str">
        <f>IF(Ujian!A195="","",Ujian!A195)</f>
        <v/>
      </c>
      <c r="B193" s="127" t="str">
        <f>IF(SEKOR!B188="","",SEKOR!B188)</f>
        <v/>
      </c>
      <c r="C193" s="127" t="str">
        <f>IF(SEKOR!C188="","",SEKOR!C188)</f>
        <v/>
      </c>
      <c r="D193" s="55" t="str">
        <f>IF(C193="","",SEKOR!BN188)</f>
        <v/>
      </c>
      <c r="E193" s="55" t="str">
        <f>IF(C193="","",SEKOR!BO188)</f>
        <v/>
      </c>
      <c r="F193" s="58" t="str">
        <f>SEKOR!BP188</f>
        <v/>
      </c>
      <c r="G193" s="55" t="str">
        <f>IF($F193="","",IF(SEKOR!BU188&gt;=1,"TUNTAS","TIDAK TUNTAS"))</f>
        <v/>
      </c>
    </row>
    <row r="194" spans="1:7" s="56" customFormat="1" ht="26.25" hidden="1" customHeight="1" x14ac:dyDescent="0.25">
      <c r="A194" s="126" t="str">
        <f>IF(Ujian!A196="","",Ujian!A196)</f>
        <v/>
      </c>
      <c r="B194" s="127" t="str">
        <f>IF(SEKOR!B189="","",SEKOR!B189)</f>
        <v/>
      </c>
      <c r="C194" s="127" t="str">
        <f>IF(SEKOR!C189="","",SEKOR!C189)</f>
        <v/>
      </c>
      <c r="D194" s="55" t="str">
        <f>IF(C194="","",SEKOR!BN189)</f>
        <v/>
      </c>
      <c r="E194" s="55" t="str">
        <f>IF(C194="","",SEKOR!BO189)</f>
        <v/>
      </c>
      <c r="F194" s="58" t="str">
        <f>SEKOR!BP189</f>
        <v/>
      </c>
      <c r="G194" s="55" t="str">
        <f>IF($F194="","",IF(SEKOR!BU189&gt;=1,"TUNTAS","TIDAK TUNTAS"))</f>
        <v/>
      </c>
    </row>
    <row r="195" spans="1:7" s="56" customFormat="1" ht="26.25" hidden="1" customHeight="1" x14ac:dyDescent="0.25">
      <c r="A195" s="126" t="str">
        <f>IF(Ujian!A197="","",Ujian!A197)</f>
        <v/>
      </c>
      <c r="B195" s="127" t="str">
        <f>IF(SEKOR!B190="","",SEKOR!B190)</f>
        <v/>
      </c>
      <c r="C195" s="127" t="str">
        <f>IF(SEKOR!C190="","",SEKOR!C190)</f>
        <v/>
      </c>
      <c r="D195" s="55" t="str">
        <f>IF(C195="","",SEKOR!BN190)</f>
        <v/>
      </c>
      <c r="E195" s="55" t="str">
        <f>IF(C195="","",SEKOR!BO190)</f>
        <v/>
      </c>
      <c r="F195" s="58" t="str">
        <f>SEKOR!BP190</f>
        <v/>
      </c>
      <c r="G195" s="55" t="str">
        <f>IF($F195="","",IF(SEKOR!BU190&gt;=1,"TUNTAS","TIDAK TUNTAS"))</f>
        <v/>
      </c>
    </row>
    <row r="196" spans="1:7" s="56" customFormat="1" ht="26.25" hidden="1" customHeight="1" x14ac:dyDescent="0.25">
      <c r="A196" s="126" t="str">
        <f>IF(Ujian!A198="","",Ujian!A198)</f>
        <v/>
      </c>
      <c r="B196" s="127" t="str">
        <f>IF(SEKOR!B191="","",SEKOR!B191)</f>
        <v/>
      </c>
      <c r="C196" s="127" t="str">
        <f>IF(SEKOR!C191="","",SEKOR!C191)</f>
        <v/>
      </c>
      <c r="D196" s="55" t="str">
        <f>IF(C196="","",SEKOR!BN191)</f>
        <v/>
      </c>
      <c r="E196" s="55" t="str">
        <f>IF(C196="","",SEKOR!BO191)</f>
        <v/>
      </c>
      <c r="F196" s="58" t="str">
        <f>SEKOR!BP191</f>
        <v/>
      </c>
      <c r="G196" s="55" t="str">
        <f>IF($F196="","",IF(SEKOR!BU191&gt;=1,"TUNTAS","TIDAK TUNTAS"))</f>
        <v/>
      </c>
    </row>
    <row r="197" spans="1:7" s="56" customFormat="1" ht="26.25" hidden="1" customHeight="1" x14ac:dyDescent="0.25">
      <c r="A197" s="126" t="str">
        <f>IF(Ujian!A199="","",Ujian!A199)</f>
        <v/>
      </c>
      <c r="B197" s="127" t="str">
        <f>IF(SEKOR!B192="","",SEKOR!B192)</f>
        <v/>
      </c>
      <c r="C197" s="127" t="str">
        <f>IF(SEKOR!C192="","",SEKOR!C192)</f>
        <v/>
      </c>
      <c r="D197" s="55" t="str">
        <f>IF(C197="","",SEKOR!BN192)</f>
        <v/>
      </c>
      <c r="E197" s="55" t="str">
        <f>IF(C197="","",SEKOR!BO192)</f>
        <v/>
      </c>
      <c r="F197" s="58" t="str">
        <f>SEKOR!BP192</f>
        <v/>
      </c>
      <c r="G197" s="55" t="str">
        <f>IF($F197="","",IF(SEKOR!BU192&gt;=1,"TUNTAS","TIDAK TUNTAS"))</f>
        <v/>
      </c>
    </row>
    <row r="198" spans="1:7" s="56" customFormat="1" ht="26.25" hidden="1" customHeight="1" x14ac:dyDescent="0.25">
      <c r="A198" s="126" t="str">
        <f>IF(Ujian!A200="","",Ujian!A200)</f>
        <v/>
      </c>
      <c r="B198" s="127" t="str">
        <f>IF(SEKOR!B193="","",SEKOR!B193)</f>
        <v/>
      </c>
      <c r="C198" s="127" t="str">
        <f>IF(SEKOR!C193="","",SEKOR!C193)</f>
        <v/>
      </c>
      <c r="D198" s="55" t="str">
        <f>IF(C198="","",SEKOR!BN193)</f>
        <v/>
      </c>
      <c r="E198" s="55" t="str">
        <f>IF(C198="","",SEKOR!BO193)</f>
        <v/>
      </c>
      <c r="F198" s="58" t="str">
        <f>SEKOR!BP193</f>
        <v/>
      </c>
      <c r="G198" s="55" t="str">
        <f>IF($F198="","",IF(SEKOR!BU193&gt;=1,"TUNTAS","TIDAK TUNTAS"))</f>
        <v/>
      </c>
    </row>
    <row r="199" spans="1:7" s="56" customFormat="1" ht="26.25" hidden="1" customHeight="1" x14ac:dyDescent="0.25">
      <c r="A199" s="126" t="str">
        <f>IF(Ujian!A201="","",Ujian!A201)</f>
        <v/>
      </c>
      <c r="B199" s="127" t="str">
        <f>IF(SEKOR!B194="","",SEKOR!B194)</f>
        <v/>
      </c>
      <c r="C199" s="127" t="str">
        <f>IF(SEKOR!C194="","",SEKOR!C194)</f>
        <v/>
      </c>
      <c r="D199" s="55" t="str">
        <f>IF(C199="","",SEKOR!BN194)</f>
        <v/>
      </c>
      <c r="E199" s="55" t="str">
        <f>IF(C199="","",SEKOR!BO194)</f>
        <v/>
      </c>
      <c r="F199" s="58" t="str">
        <f>SEKOR!BP194</f>
        <v/>
      </c>
      <c r="G199" s="55" t="str">
        <f>IF($F199="","",IF(SEKOR!BU194&gt;=1,"TUNTAS","TIDAK TUNTAS"))</f>
        <v/>
      </c>
    </row>
    <row r="200" spans="1:7" s="56" customFormat="1" ht="26.25" hidden="1" customHeight="1" x14ac:dyDescent="0.25">
      <c r="A200" s="126" t="str">
        <f>IF(Ujian!A202="","",Ujian!A202)</f>
        <v/>
      </c>
      <c r="B200" s="127" t="str">
        <f>IF(SEKOR!B195="","",SEKOR!B195)</f>
        <v/>
      </c>
      <c r="C200" s="127" t="str">
        <f>IF(SEKOR!C195="","",SEKOR!C195)</f>
        <v/>
      </c>
      <c r="D200" s="55" t="str">
        <f>IF(C200="","",SEKOR!BN195)</f>
        <v/>
      </c>
      <c r="E200" s="55" t="str">
        <f>IF(C200="","",SEKOR!BO195)</f>
        <v/>
      </c>
      <c r="F200" s="58" t="str">
        <f>SEKOR!BP195</f>
        <v/>
      </c>
      <c r="G200" s="55" t="str">
        <f>IF($F200="","",IF(SEKOR!BU195&gt;=1,"TUNTAS","TIDAK TUNTAS"))</f>
        <v/>
      </c>
    </row>
    <row r="201" spans="1:7" s="56" customFormat="1" ht="26.25" hidden="1" customHeight="1" x14ac:dyDescent="0.25">
      <c r="A201" s="126" t="str">
        <f>IF(Ujian!A203="","",Ujian!A203)</f>
        <v/>
      </c>
      <c r="B201" s="127" t="str">
        <f>IF(SEKOR!B196="","",SEKOR!B196)</f>
        <v/>
      </c>
      <c r="C201" s="127" t="str">
        <f>IF(SEKOR!C196="","",SEKOR!C196)</f>
        <v/>
      </c>
      <c r="D201" s="55" t="str">
        <f>IF(C201="","",SEKOR!BN196)</f>
        <v/>
      </c>
      <c r="E201" s="55" t="str">
        <f>IF(C201="","",SEKOR!BO196)</f>
        <v/>
      </c>
      <c r="F201" s="58" t="str">
        <f>SEKOR!BP196</f>
        <v/>
      </c>
      <c r="G201" s="55" t="str">
        <f>IF($F201="","",IF(SEKOR!BU196&gt;=1,"TUNTAS","TIDAK TUNTAS"))</f>
        <v/>
      </c>
    </row>
    <row r="202" spans="1:7" s="56" customFormat="1" ht="26.25" hidden="1" customHeight="1" x14ac:dyDescent="0.25">
      <c r="A202" s="126" t="str">
        <f>IF(Ujian!A204="","",Ujian!A204)</f>
        <v/>
      </c>
      <c r="B202" s="127" t="str">
        <f>IF(SEKOR!B197="","",SEKOR!B197)</f>
        <v/>
      </c>
      <c r="C202" s="127" t="str">
        <f>IF(SEKOR!C197="","",SEKOR!C197)</f>
        <v/>
      </c>
      <c r="D202" s="55" t="str">
        <f>IF(C202="","",SEKOR!BN197)</f>
        <v/>
      </c>
      <c r="E202" s="55" t="str">
        <f>IF(C202="","",SEKOR!BO197)</f>
        <v/>
      </c>
      <c r="F202" s="58" t="str">
        <f>SEKOR!BP197</f>
        <v/>
      </c>
      <c r="G202" s="55" t="str">
        <f>IF($F202="","",IF(SEKOR!BU197&gt;=1,"TUNTAS","TIDAK TUNTAS"))</f>
        <v/>
      </c>
    </row>
    <row r="203" spans="1:7" s="56" customFormat="1" ht="26.25" hidden="1" customHeight="1" x14ac:dyDescent="0.25">
      <c r="A203" s="126" t="str">
        <f>IF(Ujian!A205="","",Ujian!A205)</f>
        <v/>
      </c>
      <c r="B203" s="127" t="str">
        <f>IF(SEKOR!B198="","",SEKOR!B198)</f>
        <v/>
      </c>
      <c r="C203" s="127" t="str">
        <f>IF(SEKOR!C198="","",SEKOR!C198)</f>
        <v/>
      </c>
      <c r="D203" s="55" t="str">
        <f>IF(C203="","",SEKOR!BN198)</f>
        <v/>
      </c>
      <c r="E203" s="55" t="str">
        <f>IF(C203="","",SEKOR!BO198)</f>
        <v/>
      </c>
      <c r="F203" s="58" t="str">
        <f>SEKOR!BP198</f>
        <v/>
      </c>
      <c r="G203" s="55" t="str">
        <f>IF($F203="","",IF(SEKOR!BU198&gt;=1,"TUNTAS","TIDAK TUNTAS"))</f>
        <v/>
      </c>
    </row>
    <row r="204" spans="1:7" s="56" customFormat="1" ht="26.25" hidden="1" customHeight="1" x14ac:dyDescent="0.25">
      <c r="A204" s="126" t="str">
        <f>IF(Ujian!A206="","",Ujian!A206)</f>
        <v/>
      </c>
      <c r="B204" s="127" t="str">
        <f>IF(SEKOR!B199="","",SEKOR!B199)</f>
        <v/>
      </c>
      <c r="C204" s="127" t="str">
        <f>IF(SEKOR!C199="","",SEKOR!C199)</f>
        <v/>
      </c>
      <c r="D204" s="55" t="str">
        <f>IF(C204="","",SEKOR!BN199)</f>
        <v/>
      </c>
      <c r="E204" s="55" t="str">
        <f>IF(C204="","",SEKOR!BO199)</f>
        <v/>
      </c>
      <c r="F204" s="58" t="str">
        <f>SEKOR!BP199</f>
        <v/>
      </c>
      <c r="G204" s="55" t="str">
        <f>IF($F204="","",IF(SEKOR!BU199&gt;=1,"TUNTAS","TIDAK TUNTAS"))</f>
        <v/>
      </c>
    </row>
    <row r="205" spans="1:7" s="56" customFormat="1" ht="26.25" hidden="1" customHeight="1" x14ac:dyDescent="0.25">
      <c r="A205" s="126" t="str">
        <f>IF(Ujian!A207="","",Ujian!A207)</f>
        <v/>
      </c>
      <c r="B205" s="127" t="str">
        <f>IF(SEKOR!B200="","",SEKOR!B200)</f>
        <v/>
      </c>
      <c r="C205" s="127" t="str">
        <f>IF(SEKOR!C200="","",SEKOR!C200)</f>
        <v/>
      </c>
      <c r="D205" s="55" t="str">
        <f>IF(C205="","",SEKOR!BN200)</f>
        <v/>
      </c>
      <c r="E205" s="55" t="str">
        <f>IF(C205="","",SEKOR!BO200)</f>
        <v/>
      </c>
      <c r="F205" s="58" t="str">
        <f>SEKOR!BP200</f>
        <v/>
      </c>
      <c r="G205" s="55" t="str">
        <f>IF($F205="","",IF(SEKOR!BU200&gt;=1,"TUNTAS","TIDAK TUNTAS"))</f>
        <v/>
      </c>
    </row>
    <row r="206" spans="1:7" s="56" customFormat="1" ht="26.25" hidden="1" customHeight="1" x14ac:dyDescent="0.25">
      <c r="A206" s="126" t="str">
        <f>IF(Ujian!A208="","",Ujian!A208)</f>
        <v/>
      </c>
      <c r="B206" s="127" t="str">
        <f>IF(SEKOR!B201="","",SEKOR!B201)</f>
        <v/>
      </c>
      <c r="C206" s="127" t="str">
        <f>IF(SEKOR!C201="","",SEKOR!C201)</f>
        <v/>
      </c>
      <c r="D206" s="55" t="str">
        <f>IF(C206="","",SEKOR!BN201)</f>
        <v/>
      </c>
      <c r="E206" s="55" t="str">
        <f>IF(C206="","",SEKOR!BO201)</f>
        <v/>
      </c>
      <c r="F206" s="58" t="str">
        <f>SEKOR!BP201</f>
        <v/>
      </c>
      <c r="G206" s="55" t="str">
        <f>IF($F206="","",IF(SEKOR!BU201&gt;=1,"TUNTAS","TIDAK TUNTAS"))</f>
        <v/>
      </c>
    </row>
    <row r="207" spans="1:7" s="56" customFormat="1" ht="26.25" hidden="1" customHeight="1" x14ac:dyDescent="0.25">
      <c r="A207" s="126" t="str">
        <f>IF(Ujian!A209="","",Ujian!A209)</f>
        <v/>
      </c>
      <c r="B207" s="127" t="str">
        <f>IF(SEKOR!B202="","",SEKOR!B202)</f>
        <v/>
      </c>
      <c r="C207" s="127" t="str">
        <f>IF(SEKOR!C202="","",SEKOR!C202)</f>
        <v/>
      </c>
      <c r="D207" s="55" t="str">
        <f>IF(C207="","",SEKOR!BN202)</f>
        <v/>
      </c>
      <c r="E207" s="55" t="str">
        <f>IF(C207="","",SEKOR!BO202)</f>
        <v/>
      </c>
      <c r="F207" s="58" t="str">
        <f>SEKOR!BP202</f>
        <v/>
      </c>
      <c r="G207" s="55" t="str">
        <f>IF($F207="","",IF(SEKOR!BU202&gt;=1,"TUNTAS","TIDAK TUNTAS"))</f>
        <v/>
      </c>
    </row>
    <row r="208" spans="1:7" s="56" customFormat="1" ht="26.25" hidden="1" customHeight="1" x14ac:dyDescent="0.25">
      <c r="A208" s="126" t="str">
        <f>IF(Ujian!A210="","",Ujian!A210)</f>
        <v/>
      </c>
      <c r="B208" s="127" t="str">
        <f>IF(SEKOR!B203="","",SEKOR!B203)</f>
        <v/>
      </c>
      <c r="C208" s="127" t="str">
        <f>IF(SEKOR!C203="","",SEKOR!C203)</f>
        <v/>
      </c>
      <c r="D208" s="55" t="str">
        <f>IF(C208="","",SEKOR!BN203)</f>
        <v/>
      </c>
      <c r="E208" s="55" t="str">
        <f>IF(C208="","",SEKOR!BO203)</f>
        <v/>
      </c>
      <c r="F208" s="58" t="str">
        <f>SEKOR!BP203</f>
        <v/>
      </c>
      <c r="G208" s="55" t="str">
        <f>IF($F208="","",IF(SEKOR!BU203&gt;=1,"TUNTAS","TIDAK TUNTAS"))</f>
        <v/>
      </c>
    </row>
    <row r="209" spans="1:7" s="56" customFormat="1" ht="26.25" hidden="1" customHeight="1" x14ac:dyDescent="0.25">
      <c r="A209" s="126" t="str">
        <f>IF(Ujian!A211="","",Ujian!A211)</f>
        <v/>
      </c>
      <c r="B209" s="127" t="str">
        <f>IF(SEKOR!B204="","",SEKOR!B204)</f>
        <v/>
      </c>
      <c r="C209" s="127" t="str">
        <f>IF(SEKOR!C204="","",SEKOR!C204)</f>
        <v/>
      </c>
      <c r="D209" s="55" t="str">
        <f>IF(C209="","",SEKOR!BN204)</f>
        <v/>
      </c>
      <c r="E209" s="55" t="str">
        <f>IF(C209="","",SEKOR!BO204)</f>
        <v/>
      </c>
      <c r="F209" s="58" t="str">
        <f>SEKOR!BP204</f>
        <v/>
      </c>
      <c r="G209" s="55" t="str">
        <f>IF($F209="","",IF(SEKOR!BU204&gt;=1,"TUNTAS","TIDAK TUNTAS"))</f>
        <v/>
      </c>
    </row>
    <row r="210" spans="1:7" s="56" customFormat="1" ht="26.25" hidden="1" customHeight="1" x14ac:dyDescent="0.25">
      <c r="A210" s="126" t="str">
        <f>IF(Ujian!A212="","",Ujian!A212)</f>
        <v/>
      </c>
      <c r="B210" s="127" t="str">
        <f>IF(SEKOR!B205="","",SEKOR!B205)</f>
        <v/>
      </c>
      <c r="C210" s="127" t="str">
        <f>IF(SEKOR!C205="","",SEKOR!C205)</f>
        <v/>
      </c>
      <c r="D210" s="55" t="str">
        <f>IF(C210="","",SEKOR!BN205)</f>
        <v/>
      </c>
      <c r="E210" s="55" t="str">
        <f>IF(C210="","",SEKOR!BO205)</f>
        <v/>
      </c>
      <c r="F210" s="58" t="str">
        <f>SEKOR!BP205</f>
        <v/>
      </c>
      <c r="G210" s="55" t="str">
        <f>IF($F210="","",IF(SEKOR!BU205&gt;=1,"TUNTAS","TIDAK TUNTAS"))</f>
        <v/>
      </c>
    </row>
    <row r="211" spans="1:7" s="56" customFormat="1" ht="26.25" hidden="1" customHeight="1" x14ac:dyDescent="0.25">
      <c r="A211" s="126" t="str">
        <f>IF(Ujian!A213="","",Ujian!A213)</f>
        <v/>
      </c>
      <c r="B211" s="127" t="str">
        <f>IF(SEKOR!B206="","",SEKOR!B206)</f>
        <v/>
      </c>
      <c r="C211" s="127" t="str">
        <f>IF(SEKOR!C206="","",SEKOR!C206)</f>
        <v/>
      </c>
      <c r="D211" s="55" t="str">
        <f>IF(C211="","",SEKOR!BN206)</f>
        <v/>
      </c>
      <c r="E211" s="55" t="str">
        <f>IF(C211="","",SEKOR!BO206)</f>
        <v/>
      </c>
      <c r="F211" s="58" t="str">
        <f>SEKOR!BP206</f>
        <v/>
      </c>
      <c r="G211" s="55" t="str">
        <f>IF($F211="","",IF(SEKOR!BU206&gt;=1,"TUNTAS","TIDAK TUNTAS"))</f>
        <v/>
      </c>
    </row>
    <row r="212" spans="1:7" s="56" customFormat="1" ht="26.25" hidden="1" customHeight="1" x14ac:dyDescent="0.25">
      <c r="A212" s="126" t="str">
        <f>IF(Ujian!A214="","",Ujian!A214)</f>
        <v/>
      </c>
      <c r="B212" s="127" t="str">
        <f>IF(SEKOR!B207="","",SEKOR!B207)</f>
        <v/>
      </c>
      <c r="C212" s="127" t="str">
        <f>IF(SEKOR!C207="","",SEKOR!C207)</f>
        <v/>
      </c>
      <c r="D212" s="55" t="str">
        <f>IF(C212="","",SEKOR!BN207)</f>
        <v/>
      </c>
      <c r="E212" s="55" t="str">
        <f>IF(C212="","",SEKOR!BO207)</f>
        <v/>
      </c>
      <c r="F212" s="58" t="str">
        <f>SEKOR!BP207</f>
        <v/>
      </c>
      <c r="G212" s="55" t="str">
        <f>IF($F212="","",IF(SEKOR!BU207&gt;=1,"TUNTAS","TIDAK TUNTAS"))</f>
        <v/>
      </c>
    </row>
    <row r="213" spans="1:7" s="56" customFormat="1" ht="26.25" hidden="1" customHeight="1" x14ac:dyDescent="0.25">
      <c r="A213" s="126" t="str">
        <f>IF(Ujian!A215="","",Ujian!A215)</f>
        <v/>
      </c>
      <c r="B213" s="127" t="str">
        <f>IF(SEKOR!B208="","",SEKOR!B208)</f>
        <v/>
      </c>
      <c r="C213" s="127" t="str">
        <f>IF(SEKOR!C208="","",SEKOR!C208)</f>
        <v/>
      </c>
      <c r="D213" s="55" t="str">
        <f>IF(C213="","",SEKOR!BN208)</f>
        <v/>
      </c>
      <c r="E213" s="55" t="str">
        <f>IF(C213="","",SEKOR!BO208)</f>
        <v/>
      </c>
      <c r="F213" s="58" t="str">
        <f>SEKOR!BP208</f>
        <v/>
      </c>
      <c r="G213" s="55" t="str">
        <f>IF($F213="","",IF(SEKOR!BU208&gt;=1,"TUNTAS","TIDAK TUNTAS"))</f>
        <v/>
      </c>
    </row>
    <row r="214" spans="1:7" s="56" customFormat="1" ht="26.25" hidden="1" customHeight="1" x14ac:dyDescent="0.25">
      <c r="A214" s="126" t="str">
        <f>IF(Ujian!A216="","",Ujian!A216)</f>
        <v/>
      </c>
      <c r="B214" s="127" t="str">
        <f>IF(SEKOR!B209="","",SEKOR!B209)</f>
        <v/>
      </c>
      <c r="C214" s="127" t="str">
        <f>IF(SEKOR!C209="","",SEKOR!C209)</f>
        <v/>
      </c>
      <c r="D214" s="55" t="str">
        <f>IF(C214="","",SEKOR!BN209)</f>
        <v/>
      </c>
      <c r="E214" s="55" t="str">
        <f>IF(C214="","",SEKOR!BO209)</f>
        <v/>
      </c>
      <c r="F214" s="58" t="str">
        <f>SEKOR!BP209</f>
        <v/>
      </c>
      <c r="G214" s="55" t="str">
        <f>IF($F214="","",IF(SEKOR!BU209&gt;=1,"TUNTAS","TIDAK TUNTAS"))</f>
        <v/>
      </c>
    </row>
    <row r="215" spans="1:7" s="56" customFormat="1" ht="26.25" hidden="1" customHeight="1" x14ac:dyDescent="0.25">
      <c r="A215" s="126" t="str">
        <f>IF(Ujian!A217="","",Ujian!A217)</f>
        <v/>
      </c>
      <c r="B215" s="127" t="str">
        <f>IF(SEKOR!B210="","",SEKOR!B210)</f>
        <v/>
      </c>
      <c r="C215" s="127" t="str">
        <f>IF(SEKOR!C210="","",SEKOR!C210)</f>
        <v/>
      </c>
      <c r="D215" s="55" t="str">
        <f>IF(C215="","",SEKOR!BN210)</f>
        <v/>
      </c>
      <c r="E215" s="55" t="str">
        <f>IF(C215="","",SEKOR!BO210)</f>
        <v/>
      </c>
      <c r="F215" s="58" t="str">
        <f>SEKOR!BP210</f>
        <v/>
      </c>
      <c r="G215" s="55" t="str">
        <f>IF($F215="","",IF(SEKOR!BU210&gt;=1,"TUNTAS","TIDAK TUNTAS"))</f>
        <v/>
      </c>
    </row>
    <row r="216" spans="1:7" s="56" customFormat="1" ht="26.25" hidden="1" customHeight="1" x14ac:dyDescent="0.25">
      <c r="A216" s="126" t="str">
        <f>IF(Ujian!A218="","",Ujian!A218)</f>
        <v/>
      </c>
      <c r="B216" s="127" t="str">
        <f>IF(SEKOR!B211="","",SEKOR!B211)</f>
        <v/>
      </c>
      <c r="C216" s="127" t="str">
        <f>IF(SEKOR!C211="","",SEKOR!C211)</f>
        <v/>
      </c>
      <c r="D216" s="55" t="str">
        <f>IF(C216="","",SEKOR!BN211)</f>
        <v/>
      </c>
      <c r="E216" s="55" t="str">
        <f>IF(C216="","",SEKOR!BO211)</f>
        <v/>
      </c>
      <c r="F216" s="58" t="str">
        <f>SEKOR!BP211</f>
        <v/>
      </c>
      <c r="G216" s="55" t="str">
        <f>IF($F216="","",IF(SEKOR!BU211&gt;=1,"TUNTAS","TIDAK TUNTAS"))</f>
        <v/>
      </c>
    </row>
    <row r="217" spans="1:7" s="56" customFormat="1" ht="26.25" hidden="1" customHeight="1" x14ac:dyDescent="0.25">
      <c r="A217" s="126" t="str">
        <f>IF(Ujian!A219="","",Ujian!A219)</f>
        <v/>
      </c>
      <c r="B217" s="127" t="str">
        <f>IF(SEKOR!B212="","",SEKOR!B212)</f>
        <v/>
      </c>
      <c r="C217" s="127" t="str">
        <f>IF(SEKOR!C212="","",SEKOR!C212)</f>
        <v/>
      </c>
      <c r="D217" s="55" t="str">
        <f>IF(C217="","",SEKOR!BN212)</f>
        <v/>
      </c>
      <c r="E217" s="55" t="str">
        <f>IF(C217="","",SEKOR!BO212)</f>
        <v/>
      </c>
      <c r="F217" s="58" t="str">
        <f>SEKOR!BP212</f>
        <v/>
      </c>
      <c r="G217" s="55" t="str">
        <f>IF($F217="","",IF(SEKOR!BU212&gt;=1,"TUNTAS","TIDAK TUNTAS"))</f>
        <v/>
      </c>
    </row>
    <row r="218" spans="1:7" s="56" customFormat="1" ht="26.25" hidden="1" customHeight="1" x14ac:dyDescent="0.25">
      <c r="A218" s="126" t="str">
        <f>IF(Ujian!A220="","",Ujian!A220)</f>
        <v/>
      </c>
      <c r="B218" s="127" t="str">
        <f>IF(SEKOR!B213="","",SEKOR!B213)</f>
        <v/>
      </c>
      <c r="C218" s="127" t="str">
        <f>IF(SEKOR!C213="","",SEKOR!C213)</f>
        <v/>
      </c>
      <c r="D218" s="55" t="str">
        <f>IF(C218="","",SEKOR!BN213)</f>
        <v/>
      </c>
      <c r="E218" s="55" t="str">
        <f>IF(C218="","",SEKOR!BO213)</f>
        <v/>
      </c>
      <c r="F218" s="58" t="str">
        <f>SEKOR!BP213</f>
        <v/>
      </c>
      <c r="G218" s="55" t="str">
        <f>IF($F218="","",IF(SEKOR!BU213&gt;=1,"TUNTAS","TIDAK TUNTAS"))</f>
        <v/>
      </c>
    </row>
    <row r="219" spans="1:7" s="56" customFormat="1" ht="26.25" hidden="1" customHeight="1" x14ac:dyDescent="0.25">
      <c r="A219" s="126" t="str">
        <f>IF(Ujian!A221="","",Ujian!A221)</f>
        <v/>
      </c>
      <c r="B219" s="127" t="str">
        <f>IF(SEKOR!B214="","",SEKOR!B214)</f>
        <v/>
      </c>
      <c r="C219" s="127" t="str">
        <f>IF(SEKOR!C214="","",SEKOR!C214)</f>
        <v/>
      </c>
      <c r="D219" s="55" t="str">
        <f>IF(C219="","",SEKOR!BN214)</f>
        <v/>
      </c>
      <c r="E219" s="55" t="str">
        <f>IF(C219="","",SEKOR!BO214)</f>
        <v/>
      </c>
      <c r="F219" s="58" t="str">
        <f>SEKOR!BP214</f>
        <v/>
      </c>
      <c r="G219" s="55" t="str">
        <f>IF($F219="","",IF(SEKOR!BU214&gt;=1,"TUNTAS","TIDAK TUNTAS"))</f>
        <v/>
      </c>
    </row>
    <row r="220" spans="1:7" s="56" customFormat="1" ht="26.25" hidden="1" customHeight="1" x14ac:dyDescent="0.25">
      <c r="A220" s="126" t="str">
        <f>IF(Ujian!A222="","",Ujian!A222)</f>
        <v/>
      </c>
      <c r="B220" s="127" t="str">
        <f>IF(SEKOR!B215="","",SEKOR!B215)</f>
        <v/>
      </c>
      <c r="C220" s="127" t="str">
        <f>IF(SEKOR!C215="","",SEKOR!C215)</f>
        <v/>
      </c>
      <c r="D220" s="55" t="str">
        <f>IF(C220="","",SEKOR!BN215)</f>
        <v/>
      </c>
      <c r="E220" s="55" t="str">
        <f>IF(C220="","",SEKOR!BO215)</f>
        <v/>
      </c>
      <c r="F220" s="58" t="str">
        <f>SEKOR!BP215</f>
        <v/>
      </c>
      <c r="G220" s="55" t="str">
        <f>IF($F220="","",IF(SEKOR!BU215&gt;=1,"TUNTAS","TIDAK TUNTAS"))</f>
        <v/>
      </c>
    </row>
    <row r="221" spans="1:7" s="56" customFormat="1" ht="26.25" hidden="1" customHeight="1" x14ac:dyDescent="0.25">
      <c r="A221" s="126" t="str">
        <f>IF(Ujian!A223="","",Ujian!A223)</f>
        <v/>
      </c>
      <c r="B221" s="127" t="str">
        <f>IF(SEKOR!B216="","",SEKOR!B216)</f>
        <v/>
      </c>
      <c r="C221" s="127" t="str">
        <f>IF(SEKOR!C216="","",SEKOR!C216)</f>
        <v/>
      </c>
      <c r="D221" s="55" t="str">
        <f>IF(C221="","",SEKOR!BN216)</f>
        <v/>
      </c>
      <c r="E221" s="55" t="str">
        <f>IF(C221="","",SEKOR!BO216)</f>
        <v/>
      </c>
      <c r="F221" s="58" t="str">
        <f>SEKOR!BP216</f>
        <v/>
      </c>
      <c r="G221" s="55" t="str">
        <f>IF($F221="","",IF(SEKOR!BU216&gt;=1,"TUNTAS","TIDAK TUNTAS"))</f>
        <v/>
      </c>
    </row>
    <row r="222" spans="1:7" s="56" customFormat="1" ht="26.25" hidden="1" customHeight="1" x14ac:dyDescent="0.25">
      <c r="A222" s="126" t="str">
        <f>IF(Ujian!A224="","",Ujian!A224)</f>
        <v/>
      </c>
      <c r="B222" s="127" t="str">
        <f>IF(SEKOR!B217="","",SEKOR!B217)</f>
        <v/>
      </c>
      <c r="C222" s="127" t="str">
        <f>IF(SEKOR!C217="","",SEKOR!C217)</f>
        <v/>
      </c>
      <c r="D222" s="55" t="str">
        <f>IF(C222="","",SEKOR!BN217)</f>
        <v/>
      </c>
      <c r="E222" s="55" t="str">
        <f>IF(C222="","",SEKOR!BO217)</f>
        <v/>
      </c>
      <c r="F222" s="58" t="str">
        <f>SEKOR!BP217</f>
        <v/>
      </c>
      <c r="G222" s="55" t="str">
        <f>IF($F222="","",IF(SEKOR!BU217&gt;=1,"TUNTAS","TIDAK TUNTAS"))</f>
        <v/>
      </c>
    </row>
    <row r="223" spans="1:7" s="56" customFormat="1" ht="26.25" hidden="1" customHeight="1" x14ac:dyDescent="0.25">
      <c r="A223" s="126" t="str">
        <f>IF(Ujian!A225="","",Ujian!A225)</f>
        <v/>
      </c>
      <c r="B223" s="127" t="str">
        <f>IF(SEKOR!B218="","",SEKOR!B218)</f>
        <v/>
      </c>
      <c r="C223" s="127" t="str">
        <f>IF(SEKOR!C218="","",SEKOR!C218)</f>
        <v/>
      </c>
      <c r="D223" s="55" t="str">
        <f>IF(C223="","",SEKOR!BN218)</f>
        <v/>
      </c>
      <c r="E223" s="55" t="str">
        <f>IF(C223="","",SEKOR!BO218)</f>
        <v/>
      </c>
      <c r="F223" s="58" t="str">
        <f>SEKOR!BP218</f>
        <v/>
      </c>
      <c r="G223" s="55" t="str">
        <f>IF($F223="","",IF(SEKOR!BU218&gt;=1,"TUNTAS","TIDAK TUNTAS"))</f>
        <v/>
      </c>
    </row>
    <row r="224" spans="1:7" s="56" customFormat="1" ht="26.25" hidden="1" customHeight="1" x14ac:dyDescent="0.25">
      <c r="A224" s="126" t="str">
        <f>IF(Ujian!A226="","",Ujian!A226)</f>
        <v/>
      </c>
      <c r="B224" s="127" t="str">
        <f>IF(SEKOR!B219="","",SEKOR!B219)</f>
        <v/>
      </c>
      <c r="C224" s="127" t="str">
        <f>IF(SEKOR!C219="","",SEKOR!C219)</f>
        <v/>
      </c>
      <c r="D224" s="55" t="str">
        <f>IF(C224="","",SEKOR!BN219)</f>
        <v/>
      </c>
      <c r="E224" s="55" t="str">
        <f>IF(C224="","",SEKOR!BO219)</f>
        <v/>
      </c>
      <c r="F224" s="58" t="str">
        <f>SEKOR!BP219</f>
        <v/>
      </c>
      <c r="G224" s="55" t="str">
        <f>IF($F224="","",IF(SEKOR!BU219&gt;=1,"TUNTAS","TIDAK TUNTAS"))</f>
        <v/>
      </c>
    </row>
    <row r="225" spans="1:7" s="56" customFormat="1" ht="26.25" hidden="1" customHeight="1" x14ac:dyDescent="0.25">
      <c r="A225" s="126" t="str">
        <f>IF(Ujian!A227="","",Ujian!A227)</f>
        <v/>
      </c>
      <c r="B225" s="127" t="str">
        <f>IF(SEKOR!B220="","",SEKOR!B220)</f>
        <v/>
      </c>
      <c r="C225" s="127" t="str">
        <f>IF(SEKOR!C220="","",SEKOR!C220)</f>
        <v/>
      </c>
      <c r="D225" s="55" t="str">
        <f>IF(C225="","",SEKOR!BN220)</f>
        <v/>
      </c>
      <c r="E225" s="55" t="str">
        <f>IF(C225="","",SEKOR!BO220)</f>
        <v/>
      </c>
      <c r="F225" s="58" t="str">
        <f>SEKOR!BP220</f>
        <v/>
      </c>
      <c r="G225" s="55" t="str">
        <f>IF($F225="","",IF(SEKOR!BU220&gt;=1,"TUNTAS","TIDAK TUNTAS"))</f>
        <v/>
      </c>
    </row>
    <row r="226" spans="1:7" s="56" customFormat="1" ht="26.25" hidden="1" customHeight="1" x14ac:dyDescent="0.25">
      <c r="A226" s="126" t="str">
        <f>IF(Ujian!A228="","",Ujian!A228)</f>
        <v/>
      </c>
      <c r="B226" s="127" t="str">
        <f>IF(SEKOR!B221="","",SEKOR!B221)</f>
        <v/>
      </c>
      <c r="C226" s="127" t="str">
        <f>IF(SEKOR!C221="","",SEKOR!C221)</f>
        <v/>
      </c>
      <c r="D226" s="55" t="str">
        <f>IF(C226="","",SEKOR!BN221)</f>
        <v/>
      </c>
      <c r="E226" s="55" t="str">
        <f>IF(C226="","",SEKOR!BO221)</f>
        <v/>
      </c>
      <c r="F226" s="58" t="str">
        <f>SEKOR!BP221</f>
        <v/>
      </c>
      <c r="G226" s="55" t="str">
        <f>IF($F226="","",IF(SEKOR!BU221&gt;=1,"TUNTAS","TIDAK TUNTAS"))</f>
        <v/>
      </c>
    </row>
    <row r="227" spans="1:7" s="56" customFormat="1" ht="26.25" hidden="1" customHeight="1" x14ac:dyDescent="0.25">
      <c r="A227" s="126" t="str">
        <f>IF(Ujian!A229="","",Ujian!A229)</f>
        <v/>
      </c>
      <c r="B227" s="127" t="str">
        <f>IF(SEKOR!B222="","",SEKOR!B222)</f>
        <v/>
      </c>
      <c r="C227" s="127" t="str">
        <f>IF(SEKOR!C222="","",SEKOR!C222)</f>
        <v/>
      </c>
      <c r="D227" s="55" t="str">
        <f>IF(C227="","",SEKOR!BN222)</f>
        <v/>
      </c>
      <c r="E227" s="55" t="str">
        <f>IF(C227="","",SEKOR!BO222)</f>
        <v/>
      </c>
      <c r="F227" s="58" t="str">
        <f>SEKOR!BP222</f>
        <v/>
      </c>
      <c r="G227" s="55" t="str">
        <f>IF($F227="","",IF(SEKOR!BU222&gt;=1,"TUNTAS","TIDAK TUNTAS"))</f>
        <v/>
      </c>
    </row>
    <row r="228" spans="1:7" hidden="1" x14ac:dyDescent="0.2">
      <c r="A228" s="126" t="str">
        <f>IF(Ujian!A230="","",Ujian!A230)</f>
        <v/>
      </c>
    </row>
    <row r="229" spans="1:7" x14ac:dyDescent="0.2"/>
    <row r="230" spans="1:7" x14ac:dyDescent="0.2">
      <c r="D230" s="214">
        <f ca="1">TODAY()</f>
        <v>45272</v>
      </c>
      <c r="E230" s="214"/>
      <c r="F230" s="214"/>
      <c r="G230" s="214"/>
    </row>
    <row r="231" spans="1:7" x14ac:dyDescent="0.2">
      <c r="D231" s="53" t="s">
        <v>297</v>
      </c>
    </row>
    <row r="232" spans="1:7" x14ac:dyDescent="0.2"/>
    <row r="233" spans="1:7" x14ac:dyDescent="0.2"/>
    <row r="234" spans="1:7" x14ac:dyDescent="0.2"/>
    <row r="235" spans="1:7" x14ac:dyDescent="0.2">
      <c r="D235" s="53" t="str">
        <f>IF(DATA!$F$6="","",DATA!$F$6)</f>
        <v>Abdul Hadi</v>
      </c>
    </row>
    <row r="236" spans="1:7" x14ac:dyDescent="0.2"/>
    <row r="237" spans="1:7" x14ac:dyDescent="0.2"/>
    <row r="238" spans="1:7" x14ac:dyDescent="0.2"/>
    <row r="239" spans="1:7" x14ac:dyDescent="0.2"/>
    <row r="240" spans="1:7" x14ac:dyDescent="0.2"/>
    <row r="241" x14ac:dyDescent="0.2"/>
  </sheetData>
  <sheetProtection formatRows="0" selectLockedCells="1"/>
  <mergeCells count="5">
    <mergeCell ref="A1:G1"/>
    <mergeCell ref="A3:B3"/>
    <mergeCell ref="A4:B4"/>
    <mergeCell ref="A5:B5"/>
    <mergeCell ref="D230:G230"/>
  </mergeCells>
  <printOptions horizontalCentered="1"/>
  <pageMargins left="0.47" right="0.63" top="0.51181102362204722" bottom="0.73" header="0.31496062992125984" footer="0.31496062992125984"/>
  <pageSetup paperSize="9" scale="95" fitToHeight="0" orientation="portrait" horizontalDpi="4294967293" verticalDpi="0" r:id="rId1"/>
  <headerFooter>
    <oddFooter>&amp;RHalaman &amp;P dari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AB1E-8A1C-41E8-B8AB-EA3E3E48F7FD}">
  <sheetPr codeName="Sheet7">
    <tabColor rgb="FFFF8B8B"/>
    <pageSetUpPr fitToPage="1"/>
  </sheetPr>
  <dimension ref="A1:P242"/>
  <sheetViews>
    <sheetView topLeftCell="A18" workbookViewId="0">
      <selection activeCell="H11" sqref="H11"/>
    </sheetView>
  </sheetViews>
  <sheetFormatPr defaultColWidth="0" defaultRowHeight="15" zeroHeight="1" x14ac:dyDescent="0.25"/>
  <cols>
    <col min="1" max="1" width="5.85546875" customWidth="1"/>
    <col min="2" max="2" width="23" customWidth="1"/>
    <col min="3" max="3" width="16.140625" customWidth="1"/>
    <col min="4" max="4" width="13.5703125" customWidth="1"/>
    <col min="5" max="6" width="11.85546875" customWidth="1"/>
    <col min="7" max="8" width="9.85546875" customWidth="1"/>
    <col min="9" max="9" width="0.85546875" customWidth="1"/>
    <col min="10" max="12" width="0" hidden="1" customWidth="1"/>
    <col min="13" max="13" width="9.140625" hidden="1" customWidth="1"/>
    <col min="14" max="16" width="0" hidden="1" customWidth="1"/>
    <col min="17" max="16384" width="9.140625" hidden="1"/>
  </cols>
  <sheetData>
    <row r="1" spans="1:8" ht="26.25" x14ac:dyDescent="0.4">
      <c r="A1" s="216" t="s">
        <v>278</v>
      </c>
      <c r="B1" s="216"/>
      <c r="C1" s="216"/>
      <c r="D1" s="216"/>
      <c r="E1" s="216"/>
      <c r="F1" s="216"/>
      <c r="G1" s="216"/>
      <c r="H1" s="216"/>
    </row>
    <row r="2" spans="1:8" x14ac:dyDescent="0.25">
      <c r="A2" s="49"/>
      <c r="B2" s="48"/>
      <c r="C2" s="50"/>
      <c r="D2" s="48"/>
      <c r="E2" s="51"/>
      <c r="F2" s="51"/>
      <c r="G2" s="51"/>
      <c r="H2" s="51"/>
    </row>
    <row r="3" spans="1:8" x14ac:dyDescent="0.25">
      <c r="A3" s="65" t="s">
        <v>279</v>
      </c>
      <c r="B3" s="65"/>
      <c r="C3" s="66"/>
      <c r="D3" s="67">
        <f>MAX($D$11:$D$230)</f>
        <v>31</v>
      </c>
      <c r="E3" s="68">
        <f>MAX($E$11:$E$230)</f>
        <v>77.5</v>
      </c>
      <c r="F3" s="68">
        <f>MAX($F$11:$F$230)</f>
        <v>100</v>
      </c>
      <c r="G3" s="68">
        <f>MAX($G$11:$G$230)</f>
        <v>90</v>
      </c>
      <c r="H3" s="68">
        <f>MAX($H$11:$H$230)</f>
        <v>90</v>
      </c>
    </row>
    <row r="4" spans="1:8" x14ac:dyDescent="0.25">
      <c r="A4" s="65" t="s">
        <v>280</v>
      </c>
      <c r="B4" s="65"/>
      <c r="C4" s="66"/>
      <c r="D4" s="67">
        <f>MIN($D$11:$D$230)</f>
        <v>7</v>
      </c>
      <c r="E4" s="68">
        <f>MIN($E$11:$E$230)</f>
        <v>17.5</v>
      </c>
      <c r="F4" s="68">
        <f>MIN($F$11:$F$230)</f>
        <v>22.58064516129032</v>
      </c>
      <c r="G4" s="68">
        <f>MIN($G$11:$G$230)</f>
        <v>90</v>
      </c>
      <c r="H4" s="68">
        <f>MIN($H$11:$H$230)</f>
        <v>50</v>
      </c>
    </row>
    <row r="5" spans="1:8" x14ac:dyDescent="0.25">
      <c r="A5" s="65" t="s">
        <v>281</v>
      </c>
      <c r="B5" s="65"/>
      <c r="C5" s="66"/>
      <c r="D5" s="69" t="s">
        <v>282</v>
      </c>
      <c r="E5" s="68">
        <f>IFERROR(AVERAGE($E$11:$E$230),0)</f>
        <v>49.776785714285715</v>
      </c>
      <c r="F5" s="68">
        <f>IFERROR(AVERAGE($F$11:$F$230),0)</f>
        <v>64.228110599078306</v>
      </c>
      <c r="G5" s="68">
        <f>IFERROR(AVERAGE($G$11:$G$230),0)</f>
        <v>90</v>
      </c>
      <c r="H5" s="68">
        <f>IFERROR(AVERAGE($H$11:$H$230),0)</f>
        <v>71.892857142857139</v>
      </c>
    </row>
    <row r="6" spans="1:8" x14ac:dyDescent="0.25">
      <c r="A6" s="65" t="s">
        <v>283</v>
      </c>
      <c r="B6" s="65"/>
      <c r="C6" s="66"/>
      <c r="D6" s="69" t="s">
        <v>282</v>
      </c>
      <c r="E6" s="70">
        <f>COUNTIF(SEKOR!$BU$3:$BU$222,1)</f>
        <v>8</v>
      </c>
      <c r="F6" s="70">
        <f>COUNTIF(SEKOR!BV5:BV222,1)</f>
        <v>20</v>
      </c>
      <c r="G6" s="70">
        <f>COUNTIF(SEKOR!$BW$3:$BW$222,1)</f>
        <v>56</v>
      </c>
      <c r="H6" s="70">
        <f>COUNTIF(SEKOR!$BX$3:$BX$222,1)</f>
        <v>45</v>
      </c>
    </row>
    <row r="7" spans="1:8" x14ac:dyDescent="0.25">
      <c r="A7" s="65" t="s">
        <v>284</v>
      </c>
      <c r="B7" s="65"/>
      <c r="C7" s="66"/>
      <c r="D7" s="69" t="s">
        <v>282</v>
      </c>
      <c r="E7" s="70">
        <f>COUNTIF(SEKOR!$BU$3:$BU$222,0)</f>
        <v>48</v>
      </c>
      <c r="F7" s="70">
        <f>COUNTIF(SEKOR!BV6:BV223,0)</f>
        <v>33</v>
      </c>
      <c r="G7" s="70">
        <f>COUNTIF(SEKOR!$BW$3:$BW$222,0)</f>
        <v>0</v>
      </c>
      <c r="H7" s="70">
        <f>COUNTIF(SEKOR!$BX$3:$BX$222,0)</f>
        <v>11</v>
      </c>
    </row>
    <row r="8" spans="1:8" x14ac:dyDescent="0.25">
      <c r="A8" s="65" t="s">
        <v>285</v>
      </c>
      <c r="B8" s="65"/>
      <c r="C8" s="66"/>
      <c r="D8" s="69" t="s">
        <v>282</v>
      </c>
      <c r="E8" s="71">
        <f>IFERROR(E6/(E6+E7),0)</f>
        <v>0.14285714285714285</v>
      </c>
      <c r="F8" s="71">
        <f t="shared" ref="F8" si="0">IFERROR(F6/(F6+F7),0)</f>
        <v>0.37735849056603776</v>
      </c>
      <c r="G8" s="71">
        <f>IFERROR(G6/(G6+G7),0)</f>
        <v>1</v>
      </c>
      <c r="H8" s="71">
        <f>IFERROR(H6/(H6+H7),0)</f>
        <v>0.8035714285714286</v>
      </c>
    </row>
    <row r="9" spans="1:8" ht="15.75" x14ac:dyDescent="0.25">
      <c r="A9" s="72"/>
      <c r="B9" s="72"/>
      <c r="C9" s="73"/>
      <c r="D9" s="72"/>
      <c r="E9" s="74"/>
      <c r="F9" s="74"/>
      <c r="G9" s="74"/>
      <c r="H9" s="74"/>
    </row>
    <row r="10" spans="1:8" ht="31.5" customHeight="1" x14ac:dyDescent="0.25">
      <c r="A10" s="75" t="s">
        <v>286</v>
      </c>
      <c r="B10" s="76" t="s">
        <v>287</v>
      </c>
      <c r="C10" s="75" t="s">
        <v>295</v>
      </c>
      <c r="D10" s="75" t="s">
        <v>288</v>
      </c>
      <c r="E10" s="77" t="s">
        <v>289</v>
      </c>
      <c r="F10" s="77" t="s">
        <v>290</v>
      </c>
      <c r="G10" s="77" t="s">
        <v>258</v>
      </c>
      <c r="H10" s="77" t="s">
        <v>291</v>
      </c>
    </row>
    <row r="11" spans="1:8" ht="21.75" customHeight="1" x14ac:dyDescent="0.25">
      <c r="A11" s="78">
        <v>1</v>
      </c>
      <c r="B11" s="103" t="str">
        <f>IF(SEKOR!C3="","",SEKOR!C3)</f>
        <v>  Ahmad Fahlipi</v>
      </c>
      <c r="C11" s="104">
        <f>IF(SEKOR!B3="","",SEKOR!B3)</f>
        <v>234586</v>
      </c>
      <c r="D11" s="78">
        <f>IF(SEKOR!BN3=0,"",SEKOR!BN3)</f>
        <v>25</v>
      </c>
      <c r="E11" s="79">
        <f>SEKOR!BP3</f>
        <v>62.5</v>
      </c>
      <c r="F11" s="79">
        <f>SEKOR!BQ3</f>
        <v>80.645161290322577</v>
      </c>
      <c r="G11" s="79">
        <f>SEKOR!BR3</f>
        <v>90</v>
      </c>
      <c r="H11" s="79">
        <f>IF(SEKOR!BT3=0,"",SEKOR!BT3)</f>
        <v>80</v>
      </c>
    </row>
    <row r="12" spans="1:8" ht="21.75" customHeight="1" x14ac:dyDescent="0.25">
      <c r="A12" s="78">
        <v>2</v>
      </c>
      <c r="B12" s="103" t="str">
        <f>IF(SEKOR!C4="","",SEKOR!C4)</f>
        <v>  Amalia Rahayu</v>
      </c>
      <c r="C12" s="104" t="str">
        <f>IF(SEKOR!B4="","",SEKOR!B4)</f>
        <v>  234595</v>
      </c>
      <c r="D12" s="78">
        <f>IF(SEKOR!BN4=0,"",SEKOR!BN4)</f>
        <v>30</v>
      </c>
      <c r="E12" s="79">
        <f>SEKOR!BP4</f>
        <v>75</v>
      </c>
      <c r="F12" s="79">
        <f>SEKOR!BQ4</f>
        <v>96.774193548387103</v>
      </c>
      <c r="G12" s="79">
        <f>SEKOR!BR4</f>
        <v>90</v>
      </c>
      <c r="H12" s="79">
        <f>IF(SEKOR!BT4=0,"",SEKOR!BT4)</f>
        <v>89</v>
      </c>
    </row>
    <row r="13" spans="1:8" ht="21.75" customHeight="1" x14ac:dyDescent="0.25">
      <c r="A13" s="78">
        <v>3</v>
      </c>
      <c r="B13" s="103" t="str">
        <f>IF(SEKOR!C5="","",SEKOR!C5)</f>
        <v>  Andhika</v>
      </c>
      <c r="C13" s="104" t="str">
        <f>IF(SEKOR!B5="","",SEKOR!B5)</f>
        <v>  234596</v>
      </c>
      <c r="D13" s="78">
        <f>IF(SEKOR!BN5=0,"",SEKOR!BN5)</f>
        <v>21</v>
      </c>
      <c r="E13" s="79">
        <f>SEKOR!BP5</f>
        <v>52.5</v>
      </c>
      <c r="F13" s="79">
        <f>SEKOR!BQ5</f>
        <v>67.741935483870961</v>
      </c>
      <c r="G13" s="79">
        <f>SEKOR!BR5</f>
        <v>90</v>
      </c>
      <c r="H13" s="79">
        <f>IF(SEKOR!BT5=0,"",SEKOR!BT5)</f>
        <v>74</v>
      </c>
    </row>
    <row r="14" spans="1:8" ht="21.75" customHeight="1" x14ac:dyDescent="0.25">
      <c r="A14" s="78">
        <v>4</v>
      </c>
      <c r="B14" s="103" t="str">
        <f>IF(SEKOR!C6="","",SEKOR!C6)</f>
        <v>  Bina Yanti</v>
      </c>
      <c r="C14" s="104" t="str">
        <f>IF(SEKOR!B6="","",SEKOR!B6)</f>
        <v>  234601</v>
      </c>
      <c r="D14" s="78">
        <f>IF(SEKOR!BN6=0,"",SEKOR!BN6)</f>
        <v>26</v>
      </c>
      <c r="E14" s="79">
        <f>SEKOR!BP6</f>
        <v>65</v>
      </c>
      <c r="F14" s="79">
        <f>SEKOR!BQ6</f>
        <v>83.870967741935488</v>
      </c>
      <c r="G14" s="79">
        <f>SEKOR!BR6</f>
        <v>90</v>
      </c>
      <c r="H14" s="79">
        <f>IF(SEKOR!BT6=0,"",SEKOR!BT6)</f>
        <v>82</v>
      </c>
    </row>
    <row r="15" spans="1:8" ht="21.75" customHeight="1" x14ac:dyDescent="0.25">
      <c r="A15" s="78">
        <v>5</v>
      </c>
      <c r="B15" s="103" t="str">
        <f>IF(SEKOR!C7="","",SEKOR!C7)</f>
        <v>  Desty Listianingsih</v>
      </c>
      <c r="C15" s="104" t="str">
        <f>IF(SEKOR!B7="","",SEKOR!B7)</f>
        <v>  234602</v>
      </c>
      <c r="D15" s="78">
        <f>IF(SEKOR!BN7=0,"",SEKOR!BN7)</f>
        <v>17</v>
      </c>
      <c r="E15" s="79">
        <f>SEKOR!BP7</f>
        <v>42.5</v>
      </c>
      <c r="F15" s="79">
        <f>SEKOR!BQ7</f>
        <v>54.838709677419352</v>
      </c>
      <c r="G15" s="79">
        <f>SEKOR!BR7</f>
        <v>90</v>
      </c>
      <c r="H15" s="79">
        <f>IF(SEKOR!BT7=0,"",SEKOR!BT7)</f>
        <v>67</v>
      </c>
    </row>
    <row r="16" spans="1:8" ht="21.75" customHeight="1" x14ac:dyDescent="0.25">
      <c r="A16" s="78">
        <v>6</v>
      </c>
      <c r="B16" s="103" t="str">
        <f>IF(SEKOR!C8="","",SEKOR!C8)</f>
        <v>  Gita Maghfirahalfariani</v>
      </c>
      <c r="C16" s="104" t="str">
        <f>IF(SEKOR!B8="","",SEKOR!B8)</f>
        <v>  234610</v>
      </c>
      <c r="D16" s="78">
        <f>IF(SEKOR!BN8=0,"",SEKOR!BN8)</f>
        <v>15</v>
      </c>
      <c r="E16" s="79">
        <f>SEKOR!BP8</f>
        <v>37.5</v>
      </c>
      <c r="F16" s="79">
        <f>SEKOR!BQ8</f>
        <v>48.387096774193552</v>
      </c>
      <c r="G16" s="79">
        <f>SEKOR!BR8</f>
        <v>90</v>
      </c>
      <c r="H16" s="79">
        <f>IF(SEKOR!BT8=0,"",SEKOR!BT8)</f>
        <v>64</v>
      </c>
    </row>
    <row r="17" spans="1:8" ht="21.75" customHeight="1" x14ac:dyDescent="0.25">
      <c r="A17" s="78">
        <v>7</v>
      </c>
      <c r="B17" s="103" t="str">
        <f>IF(SEKOR!C9="","",SEKOR!C9)</f>
        <v>  Juleha</v>
      </c>
      <c r="C17" s="104" t="str">
        <f>IF(SEKOR!B9="","",SEKOR!B9)</f>
        <v>  234622</v>
      </c>
      <c r="D17" s="78">
        <f>IF(SEKOR!BN9=0,"",SEKOR!BN9)</f>
        <v>25</v>
      </c>
      <c r="E17" s="79">
        <f>SEKOR!BP9</f>
        <v>62.5</v>
      </c>
      <c r="F17" s="79">
        <f>SEKOR!BQ9</f>
        <v>80.645161290322577</v>
      </c>
      <c r="G17" s="79">
        <f>SEKOR!BR9</f>
        <v>90</v>
      </c>
      <c r="H17" s="79">
        <f>IF(SEKOR!BT9=0,"",SEKOR!BT9)</f>
        <v>80</v>
      </c>
    </row>
    <row r="18" spans="1:8" ht="21.75" customHeight="1" x14ac:dyDescent="0.25">
      <c r="A18" s="78">
        <v>8</v>
      </c>
      <c r="B18" s="103" t="str">
        <f>IF(SEKOR!C10="","",SEKOR!C10)</f>
        <v>  Juwairiah</v>
      </c>
      <c r="C18" s="104" t="str">
        <f>IF(SEKOR!B10="","",SEKOR!B10)</f>
        <v>  234623</v>
      </c>
      <c r="D18" s="78">
        <f>IF(SEKOR!BN10=0,"",SEKOR!BN10)</f>
        <v>15</v>
      </c>
      <c r="E18" s="79">
        <f>SEKOR!BP10</f>
        <v>37.5</v>
      </c>
      <c r="F18" s="79">
        <f>SEKOR!BQ10</f>
        <v>48.387096774193552</v>
      </c>
      <c r="G18" s="79">
        <f>SEKOR!BR10</f>
        <v>90</v>
      </c>
      <c r="H18" s="79">
        <f>IF(SEKOR!BT10=0,"",SEKOR!BT10)</f>
        <v>64</v>
      </c>
    </row>
    <row r="19" spans="1:8" ht="21.75" customHeight="1" x14ac:dyDescent="0.25">
      <c r="A19" s="78">
        <v>9</v>
      </c>
      <c r="B19" s="103" t="str">
        <f>IF(SEKOR!C11="","",SEKOR!C11)</f>
        <v>  M. Rafiqi</v>
      </c>
      <c r="C19" s="104" t="str">
        <f>IF(SEKOR!B11="","",SEKOR!B11)</f>
        <v>  234633</v>
      </c>
      <c r="D19" s="78">
        <f>IF(SEKOR!BN11=0,"",SEKOR!BN11)</f>
        <v>21</v>
      </c>
      <c r="E19" s="79">
        <f>SEKOR!BP11</f>
        <v>52.5</v>
      </c>
      <c r="F19" s="79">
        <f>SEKOR!BQ11</f>
        <v>67.741935483870961</v>
      </c>
      <c r="G19" s="79">
        <f>SEKOR!BR11</f>
        <v>90</v>
      </c>
      <c r="H19" s="79">
        <f>IF(SEKOR!BT11=0,"",SEKOR!BT11)</f>
        <v>74</v>
      </c>
    </row>
    <row r="20" spans="1:8" ht="21.75" customHeight="1" x14ac:dyDescent="0.25">
      <c r="A20" s="78">
        <v>10</v>
      </c>
      <c r="B20" s="103" t="str">
        <f>IF(SEKOR!C12="","",SEKOR!C12)</f>
        <v>  Muhammad Hafiz Fadilah</v>
      </c>
      <c r="C20" s="104" t="str">
        <f>IF(SEKOR!B12="","",SEKOR!B12)</f>
        <v>  234656</v>
      </c>
      <c r="D20" s="78">
        <f>IF(SEKOR!BN12=0,"",SEKOR!BN12)</f>
        <v>26</v>
      </c>
      <c r="E20" s="79">
        <f>SEKOR!BP12</f>
        <v>65</v>
      </c>
      <c r="F20" s="79">
        <f>SEKOR!BQ12</f>
        <v>83.870967741935488</v>
      </c>
      <c r="G20" s="79">
        <f>SEKOR!BR12</f>
        <v>90</v>
      </c>
      <c r="H20" s="79">
        <f>IF(SEKOR!BT12=0,"",SEKOR!BT12)</f>
        <v>82</v>
      </c>
    </row>
    <row r="21" spans="1:8" ht="21.75" customHeight="1" x14ac:dyDescent="0.25">
      <c r="A21" s="78">
        <v>11</v>
      </c>
      <c r="B21" s="103" t="str">
        <f>IF(SEKOR!C13="","",SEKOR!C13)</f>
        <v>  Muhammad Iqbal Firdaus</v>
      </c>
      <c r="C21" s="104" t="str">
        <f>IF(SEKOR!B13="","",SEKOR!B13)</f>
        <v>  234660</v>
      </c>
      <c r="D21" s="78">
        <f>IF(SEKOR!BN13=0,"",SEKOR!BN13)</f>
        <v>30</v>
      </c>
      <c r="E21" s="79">
        <f>SEKOR!BP13</f>
        <v>75</v>
      </c>
      <c r="F21" s="79">
        <f>SEKOR!BQ13</f>
        <v>96.774193548387103</v>
      </c>
      <c r="G21" s="79">
        <f>SEKOR!BR13</f>
        <v>90</v>
      </c>
      <c r="H21" s="79">
        <f>IF(SEKOR!BT13=0,"",SEKOR!BT13)</f>
        <v>89</v>
      </c>
    </row>
    <row r="22" spans="1:8" ht="21.75" customHeight="1" x14ac:dyDescent="0.25">
      <c r="A22" s="78">
        <v>12</v>
      </c>
      <c r="B22" s="103" t="str">
        <f>IF(SEKOR!C14="","",SEKOR!C14)</f>
        <v>  Muhammad Jamil</v>
      </c>
      <c r="C22" s="104" t="str">
        <f>IF(SEKOR!B14="","",SEKOR!B14)</f>
        <v>  234661</v>
      </c>
      <c r="D22" s="78">
        <f>IF(SEKOR!BN14=0,"",SEKOR!BN14)</f>
        <v>18</v>
      </c>
      <c r="E22" s="79">
        <f>SEKOR!BP14</f>
        <v>45</v>
      </c>
      <c r="F22" s="79">
        <f>SEKOR!BQ14</f>
        <v>58.064516129032263</v>
      </c>
      <c r="G22" s="79">
        <f>SEKOR!BR14</f>
        <v>90</v>
      </c>
      <c r="H22" s="79">
        <f>IF(SEKOR!BT14=0,"",SEKOR!BT14)</f>
        <v>69</v>
      </c>
    </row>
    <row r="23" spans="1:8" ht="21.75" customHeight="1" x14ac:dyDescent="0.25">
      <c r="A23" s="78">
        <v>13</v>
      </c>
      <c r="B23" s="103" t="str">
        <f>IF(SEKOR!C15="","",SEKOR!C15)</f>
        <v>  Muhammad Mubaraq</v>
      </c>
      <c r="C23" s="104" t="str">
        <f>IF(SEKOR!B15="","",SEKOR!B15)</f>
        <v>  234662</v>
      </c>
      <c r="D23" s="78">
        <f>IF(SEKOR!BN15=0,"",SEKOR!BN15)</f>
        <v>26</v>
      </c>
      <c r="E23" s="79">
        <f>SEKOR!BP15</f>
        <v>65</v>
      </c>
      <c r="F23" s="79">
        <f>SEKOR!BQ15</f>
        <v>83.870967741935488</v>
      </c>
      <c r="G23" s="79">
        <f>SEKOR!BR15</f>
        <v>90</v>
      </c>
      <c r="H23" s="79">
        <f>IF(SEKOR!BT15=0,"",SEKOR!BT15)</f>
        <v>82</v>
      </c>
    </row>
    <row r="24" spans="1:8" ht="21.75" customHeight="1" x14ac:dyDescent="0.25">
      <c r="A24" s="78">
        <v>14</v>
      </c>
      <c r="B24" s="103" t="str">
        <f>IF(SEKOR!C16="","",SEKOR!C16)</f>
        <v>  Muhammad Nazril Ilmi</v>
      </c>
      <c r="C24" s="104" t="str">
        <f>IF(SEKOR!B16="","",SEKOR!B16)</f>
        <v>  234632</v>
      </c>
      <c r="D24" s="78">
        <f>IF(SEKOR!BN16=0,"",SEKOR!BN16)</f>
        <v>14</v>
      </c>
      <c r="E24" s="79">
        <f>SEKOR!BP16</f>
        <v>35</v>
      </c>
      <c r="F24" s="79">
        <f>SEKOR!BQ16</f>
        <v>45.161290322580641</v>
      </c>
      <c r="G24" s="79">
        <f>SEKOR!BR16</f>
        <v>90</v>
      </c>
      <c r="H24" s="79">
        <f>IF(SEKOR!BT16=0,"",SEKOR!BT16)</f>
        <v>62</v>
      </c>
    </row>
    <row r="25" spans="1:8" ht="21.75" customHeight="1" x14ac:dyDescent="0.25">
      <c r="A25" s="78">
        <v>15</v>
      </c>
      <c r="B25" s="103" t="str">
        <f>IF(SEKOR!C17="","",SEKOR!C17)</f>
        <v>  Muthia Rima Putri</v>
      </c>
      <c r="C25" s="104" t="str">
        <f>IF(SEKOR!B17="","",SEKOR!B17)</f>
        <v>  234678</v>
      </c>
      <c r="D25" s="78">
        <f>IF(SEKOR!BN17=0,"",SEKOR!BN17)</f>
        <v>26</v>
      </c>
      <c r="E25" s="79">
        <f>SEKOR!BP17</f>
        <v>65</v>
      </c>
      <c r="F25" s="79">
        <f>SEKOR!BQ17</f>
        <v>83.870967741935488</v>
      </c>
      <c r="G25" s="79">
        <f>SEKOR!BR17</f>
        <v>90</v>
      </c>
      <c r="H25" s="79">
        <f>IF(SEKOR!BT17=0,"",SEKOR!BT17)</f>
        <v>82</v>
      </c>
    </row>
    <row r="26" spans="1:8" ht="21.75" customHeight="1" x14ac:dyDescent="0.25">
      <c r="A26" s="78">
        <v>16</v>
      </c>
      <c r="B26" s="103" t="str">
        <f>IF(SEKOR!C18="","",SEKOR!C18)</f>
        <v>  Nanda Mujlina Putri</v>
      </c>
      <c r="C26" s="104" t="str">
        <f>IF(SEKOR!B18="","",SEKOR!B18)</f>
        <v>  234680</v>
      </c>
      <c r="D26" s="78">
        <f>IF(SEKOR!BN18=0,"",SEKOR!BN18)</f>
        <v>23</v>
      </c>
      <c r="E26" s="79">
        <f>SEKOR!BP18</f>
        <v>57.499999999999993</v>
      </c>
      <c r="F26" s="79">
        <f>SEKOR!BQ18</f>
        <v>74.193548387096769</v>
      </c>
      <c r="G26" s="79">
        <f>SEKOR!BR18</f>
        <v>90</v>
      </c>
      <c r="H26" s="79">
        <f>IF(SEKOR!BT18=0,"",SEKOR!BT18)</f>
        <v>77</v>
      </c>
    </row>
    <row r="27" spans="1:8" ht="21.75" customHeight="1" x14ac:dyDescent="0.25">
      <c r="A27" s="78">
        <v>17</v>
      </c>
      <c r="B27" s="103" t="str">
        <f>IF(SEKOR!C19="","",SEKOR!C19)</f>
        <v>  Noor Andini</v>
      </c>
      <c r="C27" s="104" t="str">
        <f>IF(SEKOR!B19="","",SEKOR!B19)</f>
        <v>  234685</v>
      </c>
      <c r="D27" s="78">
        <f>IF(SEKOR!BN19=0,"",SEKOR!BN19)</f>
        <v>19</v>
      </c>
      <c r="E27" s="79">
        <f>SEKOR!BP19</f>
        <v>47.5</v>
      </c>
      <c r="F27" s="79">
        <f>SEKOR!BQ19</f>
        <v>61.29032258064516</v>
      </c>
      <c r="G27" s="79">
        <f>SEKOR!BR19</f>
        <v>90</v>
      </c>
      <c r="H27" s="79">
        <f>IF(SEKOR!BT19=0,"",SEKOR!BT19)</f>
        <v>70</v>
      </c>
    </row>
    <row r="28" spans="1:8" ht="21.75" customHeight="1" x14ac:dyDescent="0.25">
      <c r="A28" s="78">
        <v>18</v>
      </c>
      <c r="B28" s="103" t="str">
        <f>IF(SEKOR!C20="","",SEKOR!C20)</f>
        <v>  Nurhayanti</v>
      </c>
      <c r="C28" s="104" t="str">
        <f>IF(SEKOR!B20="","",SEKOR!B20)</f>
        <v>  234695</v>
      </c>
      <c r="D28" s="78">
        <f>IF(SEKOR!BN20=0,"",SEKOR!BN20)</f>
        <v>31</v>
      </c>
      <c r="E28" s="79">
        <f>SEKOR!BP20</f>
        <v>77.5</v>
      </c>
      <c r="F28" s="79">
        <f>SEKOR!BQ20</f>
        <v>100</v>
      </c>
      <c r="G28" s="79">
        <f>SEKOR!BR20</f>
        <v>90</v>
      </c>
      <c r="H28" s="79">
        <f>IF(SEKOR!BT20=0,"",SEKOR!BT20)</f>
        <v>90</v>
      </c>
    </row>
    <row r="29" spans="1:8" ht="21.75" customHeight="1" x14ac:dyDescent="0.25">
      <c r="A29" s="78">
        <v>19</v>
      </c>
      <c r="B29" s="103" t="str">
        <f>IF(SEKOR!C21="","",SEKOR!C21)</f>
        <v>  Raisol</v>
      </c>
      <c r="C29" s="104" t="str">
        <f>IF(SEKOR!B21="","",SEKOR!B21)</f>
        <v>  234709</v>
      </c>
      <c r="D29" s="78">
        <f>IF(SEKOR!BN21=0,"",SEKOR!BN21)</f>
        <v>7</v>
      </c>
      <c r="E29" s="79">
        <f>SEKOR!BP21</f>
        <v>17.5</v>
      </c>
      <c r="F29" s="79">
        <f>SEKOR!BQ21</f>
        <v>22.58064516129032</v>
      </c>
      <c r="G29" s="79">
        <f>SEKOR!BR21</f>
        <v>90</v>
      </c>
      <c r="H29" s="79">
        <f>IF(SEKOR!BT21=0,"",SEKOR!BT21)</f>
        <v>50</v>
      </c>
    </row>
    <row r="30" spans="1:8" ht="21.75" customHeight="1" x14ac:dyDescent="0.25">
      <c r="A30" s="78">
        <v>20</v>
      </c>
      <c r="B30" s="103" t="str">
        <f>IF(SEKOR!C22="","",SEKOR!C22)</f>
        <v>  Rayshar Andhika Pratama</v>
      </c>
      <c r="C30" s="104" t="str">
        <f>IF(SEKOR!B22="","",SEKOR!B22)</f>
        <v>  234708</v>
      </c>
      <c r="D30" s="78">
        <f>IF(SEKOR!BN22=0,"",SEKOR!BN22)</f>
        <v>10</v>
      </c>
      <c r="E30" s="79">
        <f>SEKOR!BP22</f>
        <v>25</v>
      </c>
      <c r="F30" s="79">
        <f>SEKOR!BQ22</f>
        <v>32.258064516129032</v>
      </c>
      <c r="G30" s="79">
        <f>SEKOR!BR22</f>
        <v>90</v>
      </c>
      <c r="H30" s="79">
        <f>IF(SEKOR!BT22=0,"",SEKOR!BT22)</f>
        <v>55</v>
      </c>
    </row>
    <row r="31" spans="1:8" ht="21.75" customHeight="1" x14ac:dyDescent="0.25">
      <c r="A31" s="78">
        <v>21</v>
      </c>
      <c r="B31" s="103" t="str">
        <f>IF(SEKOR!C23="","",SEKOR!C23)</f>
        <v>  Rino Fiansyah</v>
      </c>
      <c r="C31" s="104" t="str">
        <f>IF(SEKOR!B23="","",SEKOR!B23)</f>
        <v>  234711</v>
      </c>
      <c r="D31" s="78">
        <f>IF(SEKOR!BN23=0,"",SEKOR!BN23)</f>
        <v>16</v>
      </c>
      <c r="E31" s="79">
        <f>SEKOR!BP23</f>
        <v>40</v>
      </c>
      <c r="F31" s="79">
        <f>SEKOR!BQ23</f>
        <v>51.612903225806448</v>
      </c>
      <c r="G31" s="79">
        <f>SEKOR!BR23</f>
        <v>90</v>
      </c>
      <c r="H31" s="79">
        <f>IF(SEKOR!BT23=0,"",SEKOR!BT23)</f>
        <v>65</v>
      </c>
    </row>
    <row r="32" spans="1:8" ht="21.75" customHeight="1" x14ac:dyDescent="0.25">
      <c r="A32" s="78">
        <v>22</v>
      </c>
      <c r="B32" s="103" t="str">
        <f>IF(SEKOR!C24="","",SEKOR!C24)</f>
        <v>  Ririn Dea Razmiarti</v>
      </c>
      <c r="C32" s="104" t="str">
        <f>IF(SEKOR!B24="","",SEKOR!B24)</f>
        <v>  234712</v>
      </c>
      <c r="D32" s="78">
        <f>IF(SEKOR!BN24=0,"",SEKOR!BN24)</f>
        <v>26</v>
      </c>
      <c r="E32" s="79">
        <f>SEKOR!BP24</f>
        <v>65</v>
      </c>
      <c r="F32" s="79">
        <f>SEKOR!BQ24</f>
        <v>83.870967741935488</v>
      </c>
      <c r="G32" s="79">
        <f>SEKOR!BR24</f>
        <v>90</v>
      </c>
      <c r="H32" s="79">
        <f>IF(SEKOR!BT24=0,"",SEKOR!BT24)</f>
        <v>82</v>
      </c>
    </row>
    <row r="33" spans="1:8" ht="21.75" customHeight="1" x14ac:dyDescent="0.25">
      <c r="A33" s="78">
        <v>23</v>
      </c>
      <c r="B33" s="103" t="str">
        <f>IF(SEKOR!C25="","",SEKOR!C25)</f>
        <v>  Suci Rahmawati</v>
      </c>
      <c r="C33" s="104" t="str">
        <f>IF(SEKOR!B25="","",SEKOR!B25)</f>
        <v>  234719</v>
      </c>
      <c r="D33" s="78">
        <f>IF(SEKOR!BN25=0,"",SEKOR!BN25)</f>
        <v>21</v>
      </c>
      <c r="E33" s="79">
        <f>SEKOR!BP25</f>
        <v>52.5</v>
      </c>
      <c r="F33" s="79">
        <f>SEKOR!BQ25</f>
        <v>67.741935483870961</v>
      </c>
      <c r="G33" s="79">
        <f>SEKOR!BR25</f>
        <v>90</v>
      </c>
      <c r="H33" s="79">
        <f>IF(SEKOR!BT25=0,"",SEKOR!BT25)</f>
        <v>74</v>
      </c>
    </row>
    <row r="34" spans="1:8" ht="21.75" customHeight="1" x14ac:dyDescent="0.25">
      <c r="A34" s="78">
        <v>24</v>
      </c>
      <c r="B34" s="103" t="str">
        <f>IF(SEKOR!C26="","",SEKOR!C26)</f>
        <v>  Syifa Aulia Rahmah</v>
      </c>
      <c r="C34" s="104" t="str">
        <f>IF(SEKOR!B26="","",SEKOR!B26)</f>
        <v>  234721</v>
      </c>
      <c r="D34" s="78">
        <f>IF(SEKOR!BN26=0,"",SEKOR!BN26)</f>
        <v>19</v>
      </c>
      <c r="E34" s="79">
        <f>SEKOR!BP26</f>
        <v>47.5</v>
      </c>
      <c r="F34" s="79">
        <f>SEKOR!BQ26</f>
        <v>61.29032258064516</v>
      </c>
      <c r="G34" s="79">
        <f>SEKOR!BR26</f>
        <v>90</v>
      </c>
      <c r="H34" s="79">
        <f>IF(SEKOR!BT26=0,"",SEKOR!BT26)</f>
        <v>70</v>
      </c>
    </row>
    <row r="35" spans="1:8" ht="21.75" customHeight="1" x14ac:dyDescent="0.25">
      <c r="A35" s="78">
        <v>25</v>
      </c>
      <c r="B35" s="103" t="str">
        <f>IF(SEKOR!C27="","",SEKOR!C27)</f>
        <v>  Zainuddin</v>
      </c>
      <c r="C35" s="104" t="str">
        <f>IF(SEKOR!B27="","",SEKOR!B27)</f>
        <v>  234727</v>
      </c>
      <c r="D35" s="78">
        <f>IF(SEKOR!BN27=0,"",SEKOR!BN27)</f>
        <v>21</v>
      </c>
      <c r="E35" s="79">
        <f>SEKOR!BP27</f>
        <v>52.5</v>
      </c>
      <c r="F35" s="79">
        <f>SEKOR!BQ27</f>
        <v>67.741935483870961</v>
      </c>
      <c r="G35" s="79">
        <f>SEKOR!BR27</f>
        <v>90</v>
      </c>
      <c r="H35" s="79">
        <f>IF(SEKOR!BT27=0,"",SEKOR!BT27)</f>
        <v>74</v>
      </c>
    </row>
    <row r="36" spans="1:8" ht="21.75" customHeight="1" x14ac:dyDescent="0.25">
      <c r="A36" s="78">
        <v>26</v>
      </c>
      <c r="B36" s="103" t="str">
        <f>IF(SEKOR!C28="","",SEKOR!C28)</f>
        <v>  Latif</v>
      </c>
      <c r="C36" s="104" t="str">
        <f>IF(SEKOR!B28="","",SEKOR!B28)</f>
        <v>  1</v>
      </c>
      <c r="D36" s="78">
        <f>IF(SEKOR!BN28=0,"",SEKOR!BN28)</f>
        <v>15</v>
      </c>
      <c r="E36" s="79">
        <f>SEKOR!BP28</f>
        <v>37.5</v>
      </c>
      <c r="F36" s="79">
        <f>SEKOR!BQ28</f>
        <v>48.387096774193552</v>
      </c>
      <c r="G36" s="79">
        <f>SEKOR!BR28</f>
        <v>90</v>
      </c>
      <c r="H36" s="79">
        <f>IF(SEKOR!BT28=0,"",SEKOR!BT28)</f>
        <v>64</v>
      </c>
    </row>
    <row r="37" spans="1:8" ht="21.75" customHeight="1" x14ac:dyDescent="0.25">
      <c r="A37" s="78">
        <v>27</v>
      </c>
      <c r="B37" s="103" t="str">
        <f>IF(SEKOR!C29="","",SEKOR!C29)</f>
        <v>  Ahmad Zaidan Rizki</v>
      </c>
      <c r="C37" s="104" t="str">
        <f>IF(SEKOR!B29="","",SEKOR!B29)</f>
        <v>  2</v>
      </c>
      <c r="D37" s="78">
        <f>IF(SEKOR!BN29=0,"",SEKOR!BN29)</f>
        <v>7</v>
      </c>
      <c r="E37" s="79">
        <f>SEKOR!BP29</f>
        <v>17.5</v>
      </c>
      <c r="F37" s="79">
        <f>SEKOR!BQ29</f>
        <v>22.58064516129032</v>
      </c>
      <c r="G37" s="79">
        <f>SEKOR!BR29</f>
        <v>90</v>
      </c>
      <c r="H37" s="79">
        <f>IF(SEKOR!BT29=0,"",SEKOR!BT29)</f>
        <v>50</v>
      </c>
    </row>
    <row r="38" spans="1:8" ht="21.75" customHeight="1" x14ac:dyDescent="0.25">
      <c r="A38" s="78">
        <v>28</v>
      </c>
      <c r="B38" s="103" t="str">
        <f>IF(SEKOR!C30="","",SEKOR!C30)</f>
        <v>  Ahmad Rifani</v>
      </c>
      <c r="C38" s="104" t="str">
        <f>IF(SEKOR!B30="","",SEKOR!B30)</f>
        <v>  234587</v>
      </c>
      <c r="D38" s="78">
        <f>IF(SEKOR!BN30=0,"",SEKOR!BN30)</f>
        <v>26</v>
      </c>
      <c r="E38" s="79">
        <f>SEKOR!BP30</f>
        <v>65</v>
      </c>
      <c r="F38" s="79">
        <f>SEKOR!BQ30</f>
        <v>83.870967741935488</v>
      </c>
      <c r="G38" s="79">
        <f>SEKOR!BR30</f>
        <v>90</v>
      </c>
      <c r="H38" s="79">
        <f>IF(SEKOR!BT30=0,"",SEKOR!BT30)</f>
        <v>82</v>
      </c>
    </row>
    <row r="39" spans="1:8" ht="21.75" customHeight="1" x14ac:dyDescent="0.25">
      <c r="A39" s="78">
        <v>29</v>
      </c>
      <c r="B39" s="103" t="str">
        <f>IF(SEKOR!C31="","",SEKOR!C31)</f>
        <v>  Alfi Wahyuni</v>
      </c>
      <c r="C39" s="104" t="str">
        <f>IF(SEKOR!B31="","",SEKOR!B31)</f>
        <v>  234591</v>
      </c>
      <c r="D39" s="78">
        <f>IF(SEKOR!BN31=0,"",SEKOR!BN31)</f>
        <v>16</v>
      </c>
      <c r="E39" s="79">
        <f>SEKOR!BP31</f>
        <v>40</v>
      </c>
      <c r="F39" s="79">
        <f>SEKOR!BQ31</f>
        <v>51.612903225806448</v>
      </c>
      <c r="G39" s="79">
        <f>SEKOR!BR31</f>
        <v>90</v>
      </c>
      <c r="H39" s="79">
        <f>IF(SEKOR!BT31=0,"",SEKOR!BT31)</f>
        <v>65</v>
      </c>
    </row>
    <row r="40" spans="1:8" ht="21.75" customHeight="1" x14ac:dyDescent="0.25">
      <c r="A40" s="78">
        <v>30</v>
      </c>
      <c r="B40" s="103" t="str">
        <f>IF(SEKOR!C32="","",SEKOR!C32)</f>
        <v>  Alya Nur</v>
      </c>
      <c r="C40" s="104" t="str">
        <f>IF(SEKOR!B32="","",SEKOR!B32)</f>
        <v>  234594</v>
      </c>
      <c r="D40" s="78">
        <f>IF(SEKOR!BN32=0,"",SEKOR!BN32)</f>
        <v>21</v>
      </c>
      <c r="E40" s="79">
        <f>SEKOR!BP32</f>
        <v>52.5</v>
      </c>
      <c r="F40" s="79">
        <f>SEKOR!BQ32</f>
        <v>67.741935483870961</v>
      </c>
      <c r="G40" s="79">
        <f>SEKOR!BR32</f>
        <v>90</v>
      </c>
      <c r="H40" s="79">
        <f>IF(SEKOR!BT32=0,"",SEKOR!BT32)</f>
        <v>74</v>
      </c>
    </row>
    <row r="41" spans="1:8" ht="21.75" customHeight="1" x14ac:dyDescent="0.25">
      <c r="A41" s="78">
        <v>31</v>
      </c>
      <c r="B41" s="103" t="str">
        <f>IF(SEKOR!C33="","",SEKOR!C33)</f>
        <v>  Aulia Astuti</v>
      </c>
      <c r="C41" s="104" t="str">
        <f>IF(SEKOR!B33="","",SEKOR!B33)</f>
        <v>  234600</v>
      </c>
      <c r="D41" s="78">
        <f>IF(SEKOR!BN33=0,"",SEKOR!BN33)</f>
        <v>15</v>
      </c>
      <c r="E41" s="79">
        <f>SEKOR!BP33</f>
        <v>37.5</v>
      </c>
      <c r="F41" s="79">
        <f>SEKOR!BQ33</f>
        <v>48.387096774193552</v>
      </c>
      <c r="G41" s="79">
        <f>SEKOR!BR33</f>
        <v>90</v>
      </c>
      <c r="H41" s="79">
        <f>IF(SEKOR!BT33=0,"",SEKOR!BT33)</f>
        <v>64</v>
      </c>
    </row>
    <row r="42" spans="1:8" ht="21.75" customHeight="1" x14ac:dyDescent="0.25">
      <c r="A42" s="78">
        <v>32</v>
      </c>
      <c r="B42" s="103" t="str">
        <f>IF(SEKOR!C34="","",SEKOR!C34)</f>
        <v>  Febriana Nor As Shoufa</v>
      </c>
      <c r="C42" s="104" t="str">
        <f>IF(SEKOR!B34="","",SEKOR!B34)</f>
        <v>  224430</v>
      </c>
      <c r="D42" s="78">
        <f>IF(SEKOR!BN34=0,"",SEKOR!BN34)</f>
        <v>15</v>
      </c>
      <c r="E42" s="79">
        <f>SEKOR!BP34</f>
        <v>37.5</v>
      </c>
      <c r="F42" s="79">
        <f>SEKOR!BQ34</f>
        <v>48.387096774193552</v>
      </c>
      <c r="G42" s="79">
        <f>SEKOR!BR34</f>
        <v>90</v>
      </c>
      <c r="H42" s="79">
        <f>IF(SEKOR!BT34=0,"",SEKOR!BT34)</f>
        <v>64</v>
      </c>
    </row>
    <row r="43" spans="1:8" ht="21.75" customHeight="1" x14ac:dyDescent="0.25">
      <c r="A43" s="78">
        <v>33</v>
      </c>
      <c r="B43" s="103" t="str">
        <f>IF(SEKOR!C35="","",SEKOR!C35)</f>
        <v>  Fitra Syahara</v>
      </c>
      <c r="C43" s="104" t="str">
        <f>IF(SEKOR!B35="","",SEKOR!B35)</f>
        <v>  234609</v>
      </c>
      <c r="D43" s="78">
        <f>IF(SEKOR!BN35=0,"",SEKOR!BN35)</f>
        <v>11</v>
      </c>
      <c r="E43" s="79">
        <f>SEKOR!BP35</f>
        <v>27.500000000000004</v>
      </c>
      <c r="F43" s="79">
        <f>SEKOR!BQ35</f>
        <v>35.483870967741936</v>
      </c>
      <c r="G43" s="79">
        <f>SEKOR!BR35</f>
        <v>90</v>
      </c>
      <c r="H43" s="79">
        <f>IF(SEKOR!BT35=0,"",SEKOR!BT35)</f>
        <v>57</v>
      </c>
    </row>
    <row r="44" spans="1:8" ht="21.75" customHeight="1" x14ac:dyDescent="0.25">
      <c r="A44" s="78">
        <v>34</v>
      </c>
      <c r="B44" s="103" t="str">
        <f>IF(SEKOR!C36="","",SEKOR!C36)</f>
        <v>  Ikhsan Fadillah</v>
      </c>
      <c r="C44" s="104" t="str">
        <f>IF(SEKOR!B36="","",SEKOR!B36)</f>
        <v>  234617</v>
      </c>
      <c r="D44" s="78">
        <f>IF(SEKOR!BN36=0,"",SEKOR!BN36)</f>
        <v>20</v>
      </c>
      <c r="E44" s="79">
        <f>SEKOR!BP36</f>
        <v>50</v>
      </c>
      <c r="F44" s="79">
        <f>SEKOR!BQ36</f>
        <v>64.516129032258064</v>
      </c>
      <c r="G44" s="79">
        <f>SEKOR!BR36</f>
        <v>90</v>
      </c>
      <c r="H44" s="79">
        <f>IF(SEKOR!BT36=0,"",SEKOR!BT36)</f>
        <v>72</v>
      </c>
    </row>
    <row r="45" spans="1:8" ht="21.75" customHeight="1" x14ac:dyDescent="0.25">
      <c r="A45" s="78">
        <v>35</v>
      </c>
      <c r="B45" s="103" t="str">
        <f>IF(SEKOR!C37="","",SEKOR!C37)</f>
        <v>  Iqbal Fahrezi</v>
      </c>
      <c r="C45" s="104" t="str">
        <f>IF(SEKOR!B37="","",SEKOR!B37)</f>
        <v>  234618</v>
      </c>
      <c r="D45" s="78">
        <f>IF(SEKOR!BN37=0,"",SEKOR!BN37)</f>
        <v>29</v>
      </c>
      <c r="E45" s="79">
        <f>SEKOR!BP37</f>
        <v>72.5</v>
      </c>
      <c r="F45" s="79">
        <f>SEKOR!BQ37</f>
        <v>93.548387096774192</v>
      </c>
      <c r="G45" s="79">
        <f>SEKOR!BR37</f>
        <v>90</v>
      </c>
      <c r="H45" s="79">
        <f>IF(SEKOR!BT37=0,"",SEKOR!BT37)</f>
        <v>87</v>
      </c>
    </row>
    <row r="46" spans="1:8" ht="21.75" customHeight="1" x14ac:dyDescent="0.25">
      <c r="A46" s="78">
        <v>36</v>
      </c>
      <c r="B46" s="103" t="str">
        <f>IF(SEKOR!C38="","",SEKOR!C38)</f>
        <v>  Isti Qomah</v>
      </c>
      <c r="C46" s="104" t="str">
        <f>IF(SEKOR!B38="","",SEKOR!B38)</f>
        <v>  234620</v>
      </c>
      <c r="D46" s="78">
        <f>IF(SEKOR!BN38=0,"",SEKOR!BN38)</f>
        <v>26</v>
      </c>
      <c r="E46" s="79">
        <f>SEKOR!BP38</f>
        <v>65</v>
      </c>
      <c r="F46" s="79">
        <f>SEKOR!BQ38</f>
        <v>83.870967741935488</v>
      </c>
      <c r="G46" s="79">
        <f>SEKOR!BR38</f>
        <v>90</v>
      </c>
      <c r="H46" s="79">
        <f>IF(SEKOR!BT38=0,"",SEKOR!BT38)</f>
        <v>82</v>
      </c>
    </row>
    <row r="47" spans="1:8" ht="21.75" customHeight="1" x14ac:dyDescent="0.25">
      <c r="A47" s="78">
        <v>37</v>
      </c>
      <c r="B47" s="103" t="str">
        <f>IF(SEKOR!C39="","",SEKOR!C39)</f>
        <v>  Jamiatul Putri</v>
      </c>
      <c r="C47" s="104" t="str">
        <f>IF(SEKOR!B39="","",SEKOR!B39)</f>
        <v>  234621</v>
      </c>
      <c r="D47" s="78">
        <f>IF(SEKOR!BN39=0,"",SEKOR!BN39)</f>
        <v>16</v>
      </c>
      <c r="E47" s="79">
        <f>SEKOR!BP39</f>
        <v>40</v>
      </c>
      <c r="F47" s="79">
        <f>SEKOR!BQ39</f>
        <v>51.612903225806448</v>
      </c>
      <c r="G47" s="79">
        <f>SEKOR!BR39</f>
        <v>90</v>
      </c>
      <c r="H47" s="79">
        <f>IF(SEKOR!BT39=0,"",SEKOR!BT39)</f>
        <v>65</v>
      </c>
    </row>
    <row r="48" spans="1:8" ht="21.75" customHeight="1" x14ac:dyDescent="0.25">
      <c r="A48" s="78">
        <v>38</v>
      </c>
      <c r="B48" s="103" t="str">
        <f>IF(SEKOR!C40="","",SEKOR!C40)</f>
        <v>  M. Hasan</v>
      </c>
      <c r="C48" s="104" t="str">
        <f>IF(SEKOR!B40="","",SEKOR!B40)</f>
        <v>  234658</v>
      </c>
      <c r="D48" s="78">
        <f>IF(SEKOR!BN40=0,"",SEKOR!BN40)</f>
        <v>29</v>
      </c>
      <c r="E48" s="79">
        <f>SEKOR!BP40</f>
        <v>72.5</v>
      </c>
      <c r="F48" s="79">
        <f>SEKOR!BQ40</f>
        <v>93.548387096774192</v>
      </c>
      <c r="G48" s="79">
        <f>SEKOR!BR40</f>
        <v>90</v>
      </c>
      <c r="H48" s="79">
        <f>IF(SEKOR!BT40=0,"",SEKOR!BT40)</f>
        <v>87</v>
      </c>
    </row>
    <row r="49" spans="1:8" ht="21.75" customHeight="1" x14ac:dyDescent="0.25">
      <c r="A49" s="78">
        <v>39</v>
      </c>
      <c r="B49" s="103" t="str">
        <f>IF(SEKOR!C41="","",SEKOR!C41)</f>
        <v>  Monalisa</v>
      </c>
      <c r="C49" s="104" t="str">
        <f>IF(SEKOR!B41="","",SEKOR!B41)</f>
        <v>  234639</v>
      </c>
      <c r="D49" s="78">
        <f>IF(SEKOR!BN41=0,"",SEKOR!BN41)</f>
        <v>12</v>
      </c>
      <c r="E49" s="79">
        <f>SEKOR!BP41</f>
        <v>30</v>
      </c>
      <c r="F49" s="79">
        <f>SEKOR!BQ41</f>
        <v>38.70967741935484</v>
      </c>
      <c r="G49" s="79">
        <f>SEKOR!BR41</f>
        <v>90</v>
      </c>
      <c r="H49" s="79">
        <f>IF(SEKOR!BT41=0,"",SEKOR!BT41)</f>
        <v>59</v>
      </c>
    </row>
    <row r="50" spans="1:8" ht="21.75" customHeight="1" x14ac:dyDescent="0.25">
      <c r="A50" s="78">
        <v>40</v>
      </c>
      <c r="B50" s="103" t="str">
        <f>IF(SEKOR!C42="","",SEKOR!C42)</f>
        <v>  Muflihah</v>
      </c>
      <c r="C50" s="104" t="str">
        <f>IF(SEKOR!B42="","",SEKOR!B42)</f>
        <v>  234640</v>
      </c>
      <c r="D50" s="78">
        <f>IF(SEKOR!BN42=0,"",SEKOR!BN42)</f>
        <v>15</v>
      </c>
      <c r="E50" s="79">
        <f>SEKOR!BP42</f>
        <v>37.5</v>
      </c>
      <c r="F50" s="79">
        <f>SEKOR!BQ42</f>
        <v>48.387096774193552</v>
      </c>
      <c r="G50" s="79">
        <f>SEKOR!BR42</f>
        <v>90</v>
      </c>
      <c r="H50" s="79">
        <f>IF(SEKOR!BT42=0,"",SEKOR!BT42)</f>
        <v>64</v>
      </c>
    </row>
    <row r="51" spans="1:8" ht="21.75" customHeight="1" x14ac:dyDescent="0.25">
      <c r="A51" s="78">
        <v>41</v>
      </c>
      <c r="B51" s="103" t="str">
        <f>IF(SEKOR!C43="","",SEKOR!C43)</f>
        <v>  Muhammad Hafiz</v>
      </c>
      <c r="C51" s="104" t="str">
        <f>IF(SEKOR!B43="","",SEKOR!B43)</f>
        <v>  234655</v>
      </c>
      <c r="D51" s="78">
        <f>IF(SEKOR!BN43=0,"",SEKOR!BN43)</f>
        <v>21</v>
      </c>
      <c r="E51" s="79">
        <f>SEKOR!BP43</f>
        <v>52.5</v>
      </c>
      <c r="F51" s="79">
        <f>SEKOR!BQ43</f>
        <v>67.741935483870961</v>
      </c>
      <c r="G51" s="79">
        <f>SEKOR!BR43</f>
        <v>90</v>
      </c>
      <c r="H51" s="79">
        <f>IF(SEKOR!BT43=0,"",SEKOR!BT43)</f>
        <v>74</v>
      </c>
    </row>
    <row r="52" spans="1:8" ht="21.75" customHeight="1" x14ac:dyDescent="0.25">
      <c r="A52" s="78">
        <v>42</v>
      </c>
      <c r="B52" s="103" t="str">
        <f>IF(SEKOR!C44="","",SEKOR!C44)</f>
        <v>  Muhammad Hariadi Hana</v>
      </c>
      <c r="C52" s="104" t="str">
        <f>IF(SEKOR!B44="","",SEKOR!B44)</f>
        <v>  234657</v>
      </c>
      <c r="D52" s="78">
        <f>IF(SEKOR!BN44=0,"",SEKOR!BN44)</f>
        <v>29</v>
      </c>
      <c r="E52" s="79">
        <f>SEKOR!BP44</f>
        <v>72.5</v>
      </c>
      <c r="F52" s="79">
        <f>SEKOR!BQ44</f>
        <v>93.548387096774192</v>
      </c>
      <c r="G52" s="79">
        <f>SEKOR!BR44</f>
        <v>90</v>
      </c>
      <c r="H52" s="79">
        <f>IF(SEKOR!BT44=0,"",SEKOR!BT44)</f>
        <v>87</v>
      </c>
    </row>
    <row r="53" spans="1:8" ht="21.75" customHeight="1" x14ac:dyDescent="0.25">
      <c r="A53" s="78">
        <v>43</v>
      </c>
      <c r="B53" s="103" t="str">
        <f>IF(SEKOR!C45="","",SEKOR!C45)</f>
        <v>  Muhammad Ihza Al Muhajir</v>
      </c>
      <c r="C53" s="104" t="str">
        <f>IF(SEKOR!B45="","",SEKOR!B45)</f>
        <v>  234659</v>
      </c>
      <c r="D53" s="78">
        <f>IF(SEKOR!BN45=0,"",SEKOR!BN45)</f>
        <v>27</v>
      </c>
      <c r="E53" s="79">
        <f>SEKOR!BP45</f>
        <v>67.5</v>
      </c>
      <c r="F53" s="79">
        <f>SEKOR!BQ45</f>
        <v>87.096774193548384</v>
      </c>
      <c r="G53" s="79">
        <f>SEKOR!BR45</f>
        <v>90</v>
      </c>
      <c r="H53" s="79">
        <f>IF(SEKOR!BT45=0,"",SEKOR!BT45)</f>
        <v>84</v>
      </c>
    </row>
    <row r="54" spans="1:8" ht="21.75" customHeight="1" x14ac:dyDescent="0.25">
      <c r="A54" s="78">
        <v>44</v>
      </c>
      <c r="B54" s="103" t="str">
        <f>IF(SEKOR!C46="","",SEKOR!C46)</f>
        <v>  Muhammad Ramadan</v>
      </c>
      <c r="C54" s="104" t="str">
        <f>IF(SEKOR!B46="","",SEKOR!B46)</f>
        <v>  234668</v>
      </c>
      <c r="D54" s="78">
        <f>IF(SEKOR!BN46=0,"",SEKOR!BN46)</f>
        <v>9</v>
      </c>
      <c r="E54" s="79">
        <f>SEKOR!BP46</f>
        <v>22.5</v>
      </c>
      <c r="F54" s="79">
        <f>SEKOR!BQ46</f>
        <v>29.032258064516132</v>
      </c>
      <c r="G54" s="79">
        <f>SEKOR!BR46</f>
        <v>90</v>
      </c>
      <c r="H54" s="79">
        <f>IF(SEKOR!BT46=0,"",SEKOR!BT46)</f>
        <v>54</v>
      </c>
    </row>
    <row r="55" spans="1:8" ht="21.75" customHeight="1" x14ac:dyDescent="0.25">
      <c r="A55" s="78">
        <v>45</v>
      </c>
      <c r="B55" s="103" t="str">
        <f>IF(SEKOR!C47="","",SEKOR!C47)</f>
        <v>  Muhammad Rizky</v>
      </c>
      <c r="C55" s="104" t="str">
        <f>IF(SEKOR!B47="","",SEKOR!B47)</f>
        <v>  234673</v>
      </c>
      <c r="D55" s="78">
        <f>IF(SEKOR!BN47=0,"",SEKOR!BN47)</f>
        <v>15</v>
      </c>
      <c r="E55" s="79">
        <f>SEKOR!BP47</f>
        <v>37.5</v>
      </c>
      <c r="F55" s="79">
        <f>SEKOR!BQ47</f>
        <v>48.387096774193552</v>
      </c>
      <c r="G55" s="79">
        <f>SEKOR!BR47</f>
        <v>90</v>
      </c>
      <c r="H55" s="79">
        <f>IF(SEKOR!BT47=0,"",SEKOR!BT47)</f>
        <v>64</v>
      </c>
    </row>
    <row r="56" spans="1:8" ht="21.75" customHeight="1" x14ac:dyDescent="0.25">
      <c r="A56" s="78">
        <v>46</v>
      </c>
      <c r="B56" s="103" t="str">
        <f>IF(SEKOR!C48="","",SEKOR!C48)</f>
        <v>  Munirah</v>
      </c>
      <c r="C56" s="104" t="str">
        <f>IF(SEKOR!B48="","",SEKOR!B48)</f>
        <v>  234677</v>
      </c>
      <c r="D56" s="78">
        <f>IF(SEKOR!BN48=0,"",SEKOR!BN48)</f>
        <v>24</v>
      </c>
      <c r="E56" s="79">
        <f>SEKOR!BP48</f>
        <v>60</v>
      </c>
      <c r="F56" s="79">
        <f>SEKOR!BQ48</f>
        <v>77.41935483870968</v>
      </c>
      <c r="G56" s="79">
        <f>SEKOR!BR48</f>
        <v>90</v>
      </c>
      <c r="H56" s="79">
        <f>IF(SEKOR!BT48=0,"",SEKOR!BT48)</f>
        <v>79</v>
      </c>
    </row>
    <row r="57" spans="1:8" ht="21.75" customHeight="1" x14ac:dyDescent="0.25">
      <c r="A57" s="78">
        <v>47</v>
      </c>
      <c r="B57" s="103" t="str">
        <f>IF(SEKOR!C49="","",SEKOR!C49)</f>
        <v>  Nor Rachma</v>
      </c>
      <c r="C57" s="104" t="str">
        <f>IF(SEKOR!B49="","",SEKOR!B49)</f>
        <v>  234690</v>
      </c>
      <c r="D57" s="78">
        <f>IF(SEKOR!BN49=0,"",SEKOR!BN49)</f>
        <v>30</v>
      </c>
      <c r="E57" s="79">
        <f>SEKOR!BP49</f>
        <v>75</v>
      </c>
      <c r="F57" s="79">
        <f>SEKOR!BQ49</f>
        <v>96.774193548387103</v>
      </c>
      <c r="G57" s="79">
        <f>SEKOR!BR49</f>
        <v>90</v>
      </c>
      <c r="H57" s="79">
        <f>IF(SEKOR!BT49=0,"",SEKOR!BT49)</f>
        <v>89</v>
      </c>
    </row>
    <row r="58" spans="1:8" ht="21.75" customHeight="1" x14ac:dyDescent="0.25">
      <c r="A58" s="78">
        <v>48</v>
      </c>
      <c r="B58" s="103" t="str">
        <f>IF(SEKOR!C50="","",SEKOR!C50)</f>
        <v>  Norbaiti</v>
      </c>
      <c r="C58" s="104" t="str">
        <f>IF(SEKOR!B50="","",SEKOR!B50)</f>
        <v>  234691</v>
      </c>
      <c r="D58" s="78">
        <f>IF(SEKOR!BN50=0,"",SEKOR!BN50)</f>
        <v>21</v>
      </c>
      <c r="E58" s="79">
        <f>SEKOR!BP50</f>
        <v>52.5</v>
      </c>
      <c r="F58" s="79">
        <f>SEKOR!BQ50</f>
        <v>67.741935483870961</v>
      </c>
      <c r="G58" s="79">
        <f>SEKOR!BR50</f>
        <v>90</v>
      </c>
      <c r="H58" s="79">
        <f>IF(SEKOR!BT50=0,"",SEKOR!BT50)</f>
        <v>74</v>
      </c>
    </row>
    <row r="59" spans="1:8" ht="21.75" customHeight="1" x14ac:dyDescent="0.25">
      <c r="A59" s="78">
        <v>49</v>
      </c>
      <c r="B59" s="103" t="str">
        <f>IF(SEKOR!C51="","",SEKOR!C51)</f>
        <v>  Norsehan</v>
      </c>
      <c r="C59" s="104" t="str">
        <f>IF(SEKOR!B51="","",SEKOR!B51)</f>
        <v>  234692</v>
      </c>
      <c r="D59" s="78">
        <f>IF(SEKOR!BN51=0,"",SEKOR!BN51)</f>
        <v>7</v>
      </c>
      <c r="E59" s="79">
        <f>SEKOR!BP51</f>
        <v>17.5</v>
      </c>
      <c r="F59" s="79">
        <f>SEKOR!BQ51</f>
        <v>22.58064516129032</v>
      </c>
      <c r="G59" s="79">
        <f>SEKOR!BR51</f>
        <v>90</v>
      </c>
      <c r="H59" s="79">
        <f>IF(SEKOR!BT51=0,"",SEKOR!BT51)</f>
        <v>50</v>
      </c>
    </row>
    <row r="60" spans="1:8" ht="21.75" customHeight="1" x14ac:dyDescent="0.25">
      <c r="A60" s="78">
        <v>50</v>
      </c>
      <c r="B60" s="103" t="str">
        <f>IF(SEKOR!C52="","",SEKOR!C52)</f>
        <v>  Padil Anwar</v>
      </c>
      <c r="C60" s="104" t="str">
        <f>IF(SEKOR!B52="","",SEKOR!B52)</f>
        <v>  234699</v>
      </c>
      <c r="D60" s="78">
        <f>IF(SEKOR!BN52=0,"",SEKOR!BN52)</f>
        <v>12</v>
      </c>
      <c r="E60" s="79">
        <f>SEKOR!BP52</f>
        <v>30</v>
      </c>
      <c r="F60" s="79">
        <f>SEKOR!BQ52</f>
        <v>38.70967741935484</v>
      </c>
      <c r="G60" s="79">
        <f>SEKOR!BR52</f>
        <v>90</v>
      </c>
      <c r="H60" s="79">
        <f>IF(SEKOR!BT52=0,"",SEKOR!BT52)</f>
        <v>59</v>
      </c>
    </row>
    <row r="61" spans="1:8" ht="21.75" customHeight="1" x14ac:dyDescent="0.25">
      <c r="A61" s="78">
        <v>51</v>
      </c>
      <c r="B61" s="103" t="str">
        <f>IF(SEKOR!C53="","",SEKOR!C53)</f>
        <v>  Rafi Ahmad</v>
      </c>
      <c r="C61" s="104" t="str">
        <f>IF(SEKOR!B53="","",SEKOR!B53)</f>
        <v>  234702</v>
      </c>
      <c r="D61" s="78">
        <f>IF(SEKOR!BN53=0,"",SEKOR!BN53)</f>
        <v>25</v>
      </c>
      <c r="E61" s="79">
        <f>SEKOR!BP53</f>
        <v>62.5</v>
      </c>
      <c r="F61" s="79">
        <f>SEKOR!BQ53</f>
        <v>80.645161290322577</v>
      </c>
      <c r="G61" s="79">
        <f>SEKOR!BR53</f>
        <v>90</v>
      </c>
      <c r="H61" s="79">
        <f>IF(SEKOR!BT53=0,"",SEKOR!BT53)</f>
        <v>80</v>
      </c>
    </row>
    <row r="62" spans="1:8" ht="21.75" customHeight="1" x14ac:dyDescent="0.25">
      <c r="A62" s="78">
        <v>52</v>
      </c>
      <c r="B62" s="103" t="str">
        <f>IF(SEKOR!C54="","",SEKOR!C54)</f>
        <v>  Rahmadiyanur</v>
      </c>
      <c r="C62" s="104" t="str">
        <f>IF(SEKOR!B54="","",SEKOR!B54)</f>
        <v>  234704</v>
      </c>
      <c r="D62" s="78">
        <f>IF(SEKOR!BN54=0,"",SEKOR!BN54)</f>
        <v>31</v>
      </c>
      <c r="E62" s="79">
        <f>SEKOR!BP54</f>
        <v>77.5</v>
      </c>
      <c r="F62" s="79">
        <f>SEKOR!BQ54</f>
        <v>100</v>
      </c>
      <c r="G62" s="79">
        <f>SEKOR!BR54</f>
        <v>90</v>
      </c>
      <c r="H62" s="79">
        <f>IF(SEKOR!BT54=0,"",SEKOR!BT54)</f>
        <v>90</v>
      </c>
    </row>
    <row r="63" spans="1:8" ht="21.75" customHeight="1" x14ac:dyDescent="0.25">
      <c r="A63" s="78">
        <v>53</v>
      </c>
      <c r="B63" s="103" t="str">
        <f>IF(SEKOR!C55="","",SEKOR!C55)</f>
        <v>  Sadiah</v>
      </c>
      <c r="C63" s="104" t="str">
        <f>IF(SEKOR!B55="","",SEKOR!B55)</f>
        <v>  234715</v>
      </c>
      <c r="D63" s="78">
        <f>IF(SEKOR!BN55=0,"",SEKOR!BN55)</f>
        <v>7</v>
      </c>
      <c r="E63" s="79">
        <f>SEKOR!BP55</f>
        <v>17.5</v>
      </c>
      <c r="F63" s="79">
        <f>SEKOR!BQ55</f>
        <v>22.58064516129032</v>
      </c>
      <c r="G63" s="79">
        <f>SEKOR!BR55</f>
        <v>90</v>
      </c>
      <c r="H63" s="79">
        <f>IF(SEKOR!BT55=0,"",SEKOR!BT55)</f>
        <v>50</v>
      </c>
    </row>
    <row r="64" spans="1:8" ht="21.75" customHeight="1" x14ac:dyDescent="0.25">
      <c r="A64" s="78">
        <v>54</v>
      </c>
      <c r="B64" s="103" t="str">
        <f>IF(SEKOR!C56="","",SEKOR!C56)</f>
        <v>  Siti Zubaidah</v>
      </c>
      <c r="C64" s="104" t="str">
        <f>IF(SEKOR!B56="","",SEKOR!B56)</f>
        <v>  234718</v>
      </c>
      <c r="D64" s="78">
        <f>IF(SEKOR!BN56=0,"",SEKOR!BN56)</f>
        <v>14</v>
      </c>
      <c r="E64" s="79">
        <f>SEKOR!BP56</f>
        <v>35</v>
      </c>
      <c r="F64" s="79">
        <f>SEKOR!BQ56</f>
        <v>45.161290322580641</v>
      </c>
      <c r="G64" s="79">
        <f>SEKOR!BR56</f>
        <v>90</v>
      </c>
      <c r="H64" s="79">
        <f>IF(SEKOR!BT56=0,"",SEKOR!BT56)</f>
        <v>62</v>
      </c>
    </row>
    <row r="65" spans="1:8" ht="21.75" customHeight="1" x14ac:dyDescent="0.25">
      <c r="A65" s="78">
        <v>55</v>
      </c>
      <c r="B65" s="103" t="str">
        <f>IF(SEKOR!C57="","",SEKOR!C57)</f>
        <v>  Wahyu Ramadani</v>
      </c>
      <c r="C65" s="104" t="str">
        <f>IF(SEKOR!B57="","",SEKOR!B57)</f>
        <v>  234724</v>
      </c>
      <c r="D65" s="78">
        <f>IF(SEKOR!BN57=0,"",SEKOR!BN57)</f>
        <v>25</v>
      </c>
      <c r="E65" s="79">
        <f>SEKOR!BP57</f>
        <v>62.5</v>
      </c>
      <c r="F65" s="79">
        <f>SEKOR!BQ57</f>
        <v>80.645161290322577</v>
      </c>
      <c r="G65" s="79">
        <f>SEKOR!BR57</f>
        <v>90</v>
      </c>
      <c r="H65" s="79">
        <f>IF(SEKOR!BT57=0,"",SEKOR!BT57)</f>
        <v>80</v>
      </c>
    </row>
    <row r="66" spans="1:8" ht="21.75" customHeight="1" x14ac:dyDescent="0.25">
      <c r="A66" s="78">
        <v>56</v>
      </c>
      <c r="B66" s="103" t="str">
        <f>IF(SEKOR!C58="","",SEKOR!C58)</f>
        <v>  Zaskia Hardiyanti</v>
      </c>
      <c r="C66" s="104" t="str">
        <f>IF(SEKOR!B58="","",SEKOR!B58)</f>
        <v>  234728</v>
      </c>
      <c r="D66" s="78">
        <f>IF(SEKOR!BN58=0,"",SEKOR!BN58)</f>
        <v>17</v>
      </c>
      <c r="E66" s="79">
        <f>SEKOR!BP58</f>
        <v>42.5</v>
      </c>
      <c r="F66" s="79">
        <f>SEKOR!BQ58</f>
        <v>54.838709677419352</v>
      </c>
      <c r="G66" s="79">
        <f>SEKOR!BR58</f>
        <v>90</v>
      </c>
      <c r="H66" s="79">
        <f>IF(SEKOR!BT58=0,"",SEKOR!BT58)</f>
        <v>67</v>
      </c>
    </row>
    <row r="67" spans="1:8" ht="21.75" hidden="1" customHeight="1" x14ac:dyDescent="0.25">
      <c r="A67" s="78">
        <v>57</v>
      </c>
      <c r="B67" s="103" t="str">
        <f>IF(SEKOR!C59="","",SEKOR!C59)</f>
        <v/>
      </c>
      <c r="C67" s="104" t="str">
        <f>IF(SEKOR!B59="","",SEKOR!B59)</f>
        <v/>
      </c>
      <c r="D67" s="78" t="str">
        <f>IF(SEKOR!BN59=0,"",SEKOR!BN59)</f>
        <v/>
      </c>
      <c r="E67" s="79" t="str">
        <f>SEKOR!BP59</f>
        <v/>
      </c>
      <c r="F67" s="79" t="str">
        <f>SEKOR!BQ59</f>
        <v/>
      </c>
      <c r="G67" s="79" t="str">
        <f>SEKOR!BR59</f>
        <v/>
      </c>
      <c r="H67" s="79" t="str">
        <f>IF(SEKOR!BT59=0,"",SEKOR!BT59)</f>
        <v/>
      </c>
    </row>
    <row r="68" spans="1:8" ht="21.75" hidden="1" customHeight="1" x14ac:dyDescent="0.25">
      <c r="A68" s="78">
        <v>58</v>
      </c>
      <c r="B68" s="103" t="str">
        <f>IF(SEKOR!C60="","",SEKOR!C60)</f>
        <v/>
      </c>
      <c r="C68" s="104" t="str">
        <f>IF(SEKOR!B60="","",SEKOR!B60)</f>
        <v/>
      </c>
      <c r="D68" s="78" t="str">
        <f>IF(SEKOR!BN60=0,"",SEKOR!BN60)</f>
        <v/>
      </c>
      <c r="E68" s="79" t="str">
        <f>SEKOR!BP60</f>
        <v/>
      </c>
      <c r="F68" s="79" t="str">
        <f>SEKOR!BQ60</f>
        <v/>
      </c>
      <c r="G68" s="79" t="str">
        <f>SEKOR!BR60</f>
        <v/>
      </c>
      <c r="H68" s="79" t="str">
        <f>IF(SEKOR!BT60=0,"",SEKOR!BT60)</f>
        <v/>
      </c>
    </row>
    <row r="69" spans="1:8" ht="21.75" hidden="1" customHeight="1" x14ac:dyDescent="0.25">
      <c r="A69" s="78">
        <v>59</v>
      </c>
      <c r="B69" s="103" t="str">
        <f>IF(SEKOR!C61="","",SEKOR!C61)</f>
        <v/>
      </c>
      <c r="C69" s="104" t="str">
        <f>IF(SEKOR!B61="","",SEKOR!B61)</f>
        <v/>
      </c>
      <c r="D69" s="78" t="str">
        <f>IF(SEKOR!BN61=0,"",SEKOR!BN61)</f>
        <v/>
      </c>
      <c r="E69" s="79" t="str">
        <f>SEKOR!BP61</f>
        <v/>
      </c>
      <c r="F69" s="79" t="str">
        <f>SEKOR!BQ61</f>
        <v/>
      </c>
      <c r="G69" s="79" t="str">
        <f>SEKOR!BR61</f>
        <v/>
      </c>
      <c r="H69" s="79" t="str">
        <f>IF(SEKOR!BT61=0,"",SEKOR!BT61)</f>
        <v/>
      </c>
    </row>
    <row r="70" spans="1:8" ht="21.75" hidden="1" customHeight="1" x14ac:dyDescent="0.25">
      <c r="A70" s="78">
        <v>60</v>
      </c>
      <c r="B70" s="103" t="str">
        <f>IF(SEKOR!C62="","",SEKOR!C62)</f>
        <v/>
      </c>
      <c r="C70" s="104" t="str">
        <f>IF(SEKOR!B62="","",SEKOR!B62)</f>
        <v/>
      </c>
      <c r="D70" s="78" t="str">
        <f>IF(SEKOR!BN62=0,"",SEKOR!BN62)</f>
        <v/>
      </c>
      <c r="E70" s="79" t="str">
        <f>SEKOR!BP62</f>
        <v/>
      </c>
      <c r="F70" s="79" t="str">
        <f>SEKOR!BQ62</f>
        <v/>
      </c>
      <c r="G70" s="79" t="str">
        <f>SEKOR!BR62</f>
        <v/>
      </c>
      <c r="H70" s="79" t="str">
        <f>IF(SEKOR!BT62=0,"",SEKOR!BT62)</f>
        <v/>
      </c>
    </row>
    <row r="71" spans="1:8" ht="21.75" hidden="1" customHeight="1" x14ac:dyDescent="0.25">
      <c r="A71" s="78">
        <v>61</v>
      </c>
      <c r="B71" s="103" t="str">
        <f>IF(SEKOR!C63="","",SEKOR!C63)</f>
        <v/>
      </c>
      <c r="C71" s="104" t="str">
        <f>IF(SEKOR!B63="","",SEKOR!B63)</f>
        <v/>
      </c>
      <c r="D71" s="78" t="str">
        <f>IF(SEKOR!BN63=0,"",SEKOR!BN63)</f>
        <v/>
      </c>
      <c r="E71" s="79" t="str">
        <f>SEKOR!BP63</f>
        <v/>
      </c>
      <c r="F71" s="79" t="str">
        <f>SEKOR!BQ63</f>
        <v/>
      </c>
      <c r="G71" s="79" t="str">
        <f>SEKOR!BR63</f>
        <v/>
      </c>
      <c r="H71" s="79" t="str">
        <f>IF(SEKOR!BT63=0,"",SEKOR!BT63)</f>
        <v/>
      </c>
    </row>
    <row r="72" spans="1:8" ht="21.75" hidden="1" customHeight="1" x14ac:dyDescent="0.25">
      <c r="A72" s="78">
        <v>62</v>
      </c>
      <c r="B72" s="103" t="str">
        <f>IF(SEKOR!C64="","",SEKOR!C64)</f>
        <v/>
      </c>
      <c r="C72" s="104" t="str">
        <f>IF(SEKOR!B64="","",SEKOR!B64)</f>
        <v/>
      </c>
      <c r="D72" s="78" t="str">
        <f>IF(SEKOR!BN64=0,"",SEKOR!BN64)</f>
        <v/>
      </c>
      <c r="E72" s="79" t="str">
        <f>SEKOR!BP64</f>
        <v/>
      </c>
      <c r="F72" s="79" t="str">
        <f>SEKOR!BQ64</f>
        <v/>
      </c>
      <c r="G72" s="79" t="str">
        <f>SEKOR!BR64</f>
        <v/>
      </c>
      <c r="H72" s="79" t="str">
        <f>IF(SEKOR!BT64=0,"",SEKOR!BT64)</f>
        <v/>
      </c>
    </row>
    <row r="73" spans="1:8" ht="21.75" hidden="1" customHeight="1" x14ac:dyDescent="0.25">
      <c r="A73" s="78">
        <v>63</v>
      </c>
      <c r="B73" s="103" t="str">
        <f>IF(SEKOR!C65="","",SEKOR!C65)</f>
        <v/>
      </c>
      <c r="C73" s="104" t="str">
        <f>IF(SEKOR!B65="","",SEKOR!B65)</f>
        <v/>
      </c>
      <c r="D73" s="78" t="str">
        <f>IF(SEKOR!BN65=0,"",SEKOR!BN65)</f>
        <v/>
      </c>
      <c r="E73" s="79" t="str">
        <f>SEKOR!BP65</f>
        <v/>
      </c>
      <c r="F73" s="79" t="str">
        <f>SEKOR!BQ65</f>
        <v/>
      </c>
      <c r="G73" s="79" t="str">
        <f>SEKOR!BR65</f>
        <v/>
      </c>
      <c r="H73" s="79" t="str">
        <f>IF(SEKOR!BT65=0,"",SEKOR!BT65)</f>
        <v/>
      </c>
    </row>
    <row r="74" spans="1:8" ht="21.75" hidden="1" customHeight="1" x14ac:dyDescent="0.25">
      <c r="A74" s="78">
        <v>64</v>
      </c>
      <c r="B74" s="103" t="str">
        <f>IF(SEKOR!C66="","",SEKOR!C66)</f>
        <v/>
      </c>
      <c r="C74" s="104" t="str">
        <f>IF(SEKOR!B66="","",SEKOR!B66)</f>
        <v/>
      </c>
      <c r="D74" s="78" t="str">
        <f>IF(SEKOR!BN66=0,"",SEKOR!BN66)</f>
        <v/>
      </c>
      <c r="E74" s="79" t="str">
        <f>SEKOR!BP66</f>
        <v/>
      </c>
      <c r="F74" s="79" t="str">
        <f>SEKOR!BQ66</f>
        <v/>
      </c>
      <c r="G74" s="79" t="str">
        <f>SEKOR!BR66</f>
        <v/>
      </c>
      <c r="H74" s="79" t="str">
        <f>IF(SEKOR!BT66=0,"",SEKOR!BT66)</f>
        <v/>
      </c>
    </row>
    <row r="75" spans="1:8" ht="21.75" hidden="1" customHeight="1" x14ac:dyDescent="0.25">
      <c r="A75" s="78">
        <v>65</v>
      </c>
      <c r="B75" s="103" t="str">
        <f>IF(SEKOR!C67="","",SEKOR!C67)</f>
        <v/>
      </c>
      <c r="C75" s="104" t="str">
        <f>IF(SEKOR!B67="","",SEKOR!B67)</f>
        <v/>
      </c>
      <c r="D75" s="78" t="str">
        <f>IF(SEKOR!BN67=0,"",SEKOR!BN67)</f>
        <v/>
      </c>
      <c r="E75" s="79" t="str">
        <f>SEKOR!BP67</f>
        <v/>
      </c>
      <c r="F75" s="79" t="str">
        <f>SEKOR!BQ67</f>
        <v/>
      </c>
      <c r="G75" s="79" t="str">
        <f>SEKOR!BR67</f>
        <v/>
      </c>
      <c r="H75" s="79" t="str">
        <f>IF(SEKOR!BT67=0,"",SEKOR!BT67)</f>
        <v/>
      </c>
    </row>
    <row r="76" spans="1:8" ht="21.75" hidden="1" customHeight="1" x14ac:dyDescent="0.25">
      <c r="A76" s="78">
        <v>66</v>
      </c>
      <c r="B76" s="103" t="str">
        <f>IF(SEKOR!C68="","",SEKOR!C68)</f>
        <v/>
      </c>
      <c r="C76" s="104" t="str">
        <f>IF(SEKOR!B68="","",SEKOR!B68)</f>
        <v/>
      </c>
      <c r="D76" s="78" t="str">
        <f>IF(SEKOR!BN68=0,"",SEKOR!BN68)</f>
        <v/>
      </c>
      <c r="E76" s="79" t="str">
        <f>SEKOR!BP68</f>
        <v/>
      </c>
      <c r="F76" s="79" t="str">
        <f>SEKOR!BQ68</f>
        <v/>
      </c>
      <c r="G76" s="79" t="str">
        <f>SEKOR!BR68</f>
        <v/>
      </c>
      <c r="H76" s="79" t="str">
        <f>IF(SEKOR!BT68=0,"",SEKOR!BT68)</f>
        <v/>
      </c>
    </row>
    <row r="77" spans="1:8" ht="21.75" hidden="1" customHeight="1" x14ac:dyDescent="0.25">
      <c r="A77" s="78">
        <v>67</v>
      </c>
      <c r="B77" s="103" t="str">
        <f>IF(SEKOR!C69="","",SEKOR!C69)</f>
        <v/>
      </c>
      <c r="C77" s="104" t="str">
        <f>IF(SEKOR!B69="","",SEKOR!B69)</f>
        <v/>
      </c>
      <c r="D77" s="78" t="str">
        <f>IF(SEKOR!BN69=0,"",SEKOR!BN69)</f>
        <v/>
      </c>
      <c r="E77" s="79" t="str">
        <f>SEKOR!BP69</f>
        <v/>
      </c>
      <c r="F77" s="79" t="str">
        <f>SEKOR!BQ69</f>
        <v/>
      </c>
      <c r="G77" s="79" t="str">
        <f>SEKOR!BR69</f>
        <v/>
      </c>
      <c r="H77" s="79" t="str">
        <f>IF(SEKOR!BT69=0,"",SEKOR!BT69)</f>
        <v/>
      </c>
    </row>
    <row r="78" spans="1:8" ht="21.75" hidden="1" customHeight="1" x14ac:dyDescent="0.25">
      <c r="A78" s="78">
        <v>68</v>
      </c>
      <c r="B78" s="103" t="str">
        <f>IF(SEKOR!C70="","",SEKOR!C70)</f>
        <v/>
      </c>
      <c r="C78" s="104" t="str">
        <f>IF(SEKOR!B70="","",SEKOR!B70)</f>
        <v/>
      </c>
      <c r="D78" s="78" t="str">
        <f>IF(SEKOR!BN70=0,"",SEKOR!BN70)</f>
        <v/>
      </c>
      <c r="E78" s="79" t="str">
        <f>SEKOR!BP70</f>
        <v/>
      </c>
      <c r="F78" s="79" t="str">
        <f>SEKOR!BQ70</f>
        <v/>
      </c>
      <c r="G78" s="79" t="str">
        <f>SEKOR!BR70</f>
        <v/>
      </c>
      <c r="H78" s="79" t="str">
        <f>IF(SEKOR!BT70=0,"",SEKOR!BT70)</f>
        <v/>
      </c>
    </row>
    <row r="79" spans="1:8" ht="21.75" hidden="1" customHeight="1" x14ac:dyDescent="0.25">
      <c r="A79" s="78">
        <v>69</v>
      </c>
      <c r="B79" s="103" t="str">
        <f>IF(SEKOR!C71="","",SEKOR!C71)</f>
        <v/>
      </c>
      <c r="C79" s="104" t="str">
        <f>IF(SEKOR!B71="","",SEKOR!B71)</f>
        <v/>
      </c>
      <c r="D79" s="78" t="str">
        <f>IF(SEKOR!BN71=0,"",SEKOR!BN71)</f>
        <v/>
      </c>
      <c r="E79" s="79" t="str">
        <f>SEKOR!BP71</f>
        <v/>
      </c>
      <c r="F79" s="79" t="str">
        <f>SEKOR!BQ71</f>
        <v/>
      </c>
      <c r="G79" s="79" t="str">
        <f>SEKOR!BR71</f>
        <v/>
      </c>
      <c r="H79" s="79" t="str">
        <f>IF(SEKOR!BT71=0,"",SEKOR!BT71)</f>
        <v/>
      </c>
    </row>
    <row r="80" spans="1:8" ht="21.75" hidden="1" customHeight="1" x14ac:dyDescent="0.25">
      <c r="A80" s="78">
        <v>70</v>
      </c>
      <c r="B80" s="103" t="str">
        <f>IF(SEKOR!C72="","",SEKOR!C72)</f>
        <v/>
      </c>
      <c r="C80" s="104" t="str">
        <f>IF(SEKOR!B72="","",SEKOR!B72)</f>
        <v/>
      </c>
      <c r="D80" s="78" t="str">
        <f>IF(SEKOR!BN72=0,"",SEKOR!BN72)</f>
        <v/>
      </c>
      <c r="E80" s="79" t="str">
        <f>SEKOR!BP72</f>
        <v/>
      </c>
      <c r="F80" s="79" t="str">
        <f>SEKOR!BQ72</f>
        <v/>
      </c>
      <c r="G80" s="79" t="str">
        <f>SEKOR!BR72</f>
        <v/>
      </c>
      <c r="H80" s="79" t="str">
        <f>IF(SEKOR!BT72=0,"",SEKOR!BT72)</f>
        <v/>
      </c>
    </row>
    <row r="81" spans="1:8" ht="21.75" hidden="1" customHeight="1" x14ac:dyDescent="0.25">
      <c r="A81" s="78">
        <v>71</v>
      </c>
      <c r="B81" s="103" t="str">
        <f>IF(SEKOR!C73="","",SEKOR!C73)</f>
        <v/>
      </c>
      <c r="C81" s="104" t="str">
        <f>IF(SEKOR!B73="","",SEKOR!B73)</f>
        <v/>
      </c>
      <c r="D81" s="78" t="str">
        <f>IF(SEKOR!BN73=0,"",SEKOR!BN73)</f>
        <v/>
      </c>
      <c r="E81" s="79" t="str">
        <f>SEKOR!BP73</f>
        <v/>
      </c>
      <c r="F81" s="79" t="str">
        <f>SEKOR!BQ73</f>
        <v/>
      </c>
      <c r="G81" s="79" t="str">
        <f>SEKOR!BR73</f>
        <v/>
      </c>
      <c r="H81" s="79" t="str">
        <f>IF(SEKOR!BT73=0,"",SEKOR!BT73)</f>
        <v/>
      </c>
    </row>
    <row r="82" spans="1:8" ht="21.75" hidden="1" customHeight="1" x14ac:dyDescent="0.25">
      <c r="A82" s="78">
        <v>72</v>
      </c>
      <c r="B82" s="103" t="str">
        <f>IF(SEKOR!C74="","",SEKOR!C74)</f>
        <v/>
      </c>
      <c r="C82" s="104" t="str">
        <f>IF(SEKOR!B74="","",SEKOR!B74)</f>
        <v/>
      </c>
      <c r="D82" s="78" t="str">
        <f>IF(SEKOR!BN74=0,"",SEKOR!BN74)</f>
        <v/>
      </c>
      <c r="E82" s="79" t="str">
        <f>SEKOR!BP74</f>
        <v/>
      </c>
      <c r="F82" s="79" t="str">
        <f>SEKOR!BQ74</f>
        <v/>
      </c>
      <c r="G82" s="79" t="str">
        <f>SEKOR!BR74</f>
        <v/>
      </c>
      <c r="H82" s="79" t="str">
        <f>IF(SEKOR!BT74=0,"",SEKOR!BT74)</f>
        <v/>
      </c>
    </row>
    <row r="83" spans="1:8" ht="21.75" hidden="1" customHeight="1" x14ac:dyDescent="0.25">
      <c r="A83" s="78">
        <v>73</v>
      </c>
      <c r="B83" s="103" t="str">
        <f>IF(SEKOR!C75="","",SEKOR!C75)</f>
        <v/>
      </c>
      <c r="C83" s="104" t="str">
        <f>IF(SEKOR!B75="","",SEKOR!B75)</f>
        <v/>
      </c>
      <c r="D83" s="78" t="str">
        <f>IF(SEKOR!BN75=0,"",SEKOR!BN75)</f>
        <v/>
      </c>
      <c r="E83" s="79" t="str">
        <f>SEKOR!BP75</f>
        <v/>
      </c>
      <c r="F83" s="79" t="str">
        <f>SEKOR!BQ75</f>
        <v/>
      </c>
      <c r="G83" s="79" t="str">
        <f>SEKOR!BR75</f>
        <v/>
      </c>
      <c r="H83" s="79" t="str">
        <f>IF(SEKOR!BT75=0,"",SEKOR!BT75)</f>
        <v/>
      </c>
    </row>
    <row r="84" spans="1:8" ht="21.75" hidden="1" customHeight="1" x14ac:dyDescent="0.25">
      <c r="A84" s="78">
        <v>74</v>
      </c>
      <c r="B84" s="103" t="str">
        <f>IF(SEKOR!C76="","",SEKOR!C76)</f>
        <v/>
      </c>
      <c r="C84" s="104" t="str">
        <f>IF(SEKOR!B76="","",SEKOR!B76)</f>
        <v/>
      </c>
      <c r="D84" s="78" t="str">
        <f>IF(SEKOR!BN76=0,"",SEKOR!BN76)</f>
        <v/>
      </c>
      <c r="E84" s="79" t="str">
        <f>SEKOR!BP76</f>
        <v/>
      </c>
      <c r="F84" s="79" t="str">
        <f>SEKOR!BQ76</f>
        <v/>
      </c>
      <c r="G84" s="79" t="str">
        <f>SEKOR!BR76</f>
        <v/>
      </c>
      <c r="H84" s="79" t="str">
        <f>IF(SEKOR!BT76=0,"",SEKOR!BT76)</f>
        <v/>
      </c>
    </row>
    <row r="85" spans="1:8" ht="21.75" hidden="1" customHeight="1" x14ac:dyDescent="0.25">
      <c r="A85" s="78">
        <v>75</v>
      </c>
      <c r="B85" s="103" t="str">
        <f>IF(SEKOR!C77="","",SEKOR!C77)</f>
        <v/>
      </c>
      <c r="C85" s="104" t="str">
        <f>IF(SEKOR!B77="","",SEKOR!B77)</f>
        <v/>
      </c>
      <c r="D85" s="78" t="str">
        <f>IF(SEKOR!BN77=0,"",SEKOR!BN77)</f>
        <v/>
      </c>
      <c r="E85" s="79" t="str">
        <f>SEKOR!BP77</f>
        <v/>
      </c>
      <c r="F85" s="79" t="str">
        <f>SEKOR!BQ77</f>
        <v/>
      </c>
      <c r="G85" s="79" t="str">
        <f>SEKOR!BR77</f>
        <v/>
      </c>
      <c r="H85" s="79" t="str">
        <f>IF(SEKOR!BT77=0,"",SEKOR!BT77)</f>
        <v/>
      </c>
    </row>
    <row r="86" spans="1:8" ht="21.75" hidden="1" customHeight="1" x14ac:dyDescent="0.25">
      <c r="A86" s="78">
        <v>76</v>
      </c>
      <c r="B86" s="103" t="str">
        <f>IF(SEKOR!C78="","",SEKOR!C78)</f>
        <v/>
      </c>
      <c r="C86" s="104" t="str">
        <f>IF(SEKOR!B78="","",SEKOR!B78)</f>
        <v/>
      </c>
      <c r="D86" s="78" t="str">
        <f>IF(SEKOR!BN78=0,"",SEKOR!BN78)</f>
        <v/>
      </c>
      <c r="E86" s="79" t="str">
        <f>SEKOR!BP78</f>
        <v/>
      </c>
      <c r="F86" s="79" t="str">
        <f>SEKOR!BQ78</f>
        <v/>
      </c>
      <c r="G86" s="79" t="str">
        <f>SEKOR!BR78</f>
        <v/>
      </c>
      <c r="H86" s="79" t="str">
        <f>IF(SEKOR!BT78=0,"",SEKOR!BT78)</f>
        <v/>
      </c>
    </row>
    <row r="87" spans="1:8" ht="21.75" hidden="1" customHeight="1" x14ac:dyDescent="0.25">
      <c r="A87" s="78">
        <v>77</v>
      </c>
      <c r="B87" s="103" t="str">
        <f>IF(SEKOR!C79="","",SEKOR!C79)</f>
        <v/>
      </c>
      <c r="C87" s="104" t="str">
        <f>IF(SEKOR!B79="","",SEKOR!B79)</f>
        <v/>
      </c>
      <c r="D87" s="78" t="str">
        <f>IF(SEKOR!BN79=0,"",SEKOR!BN79)</f>
        <v/>
      </c>
      <c r="E87" s="79" t="str">
        <f>SEKOR!BP79</f>
        <v/>
      </c>
      <c r="F87" s="79" t="str">
        <f>SEKOR!BQ79</f>
        <v/>
      </c>
      <c r="G87" s="79" t="str">
        <f>SEKOR!BR79</f>
        <v/>
      </c>
      <c r="H87" s="79" t="str">
        <f>IF(SEKOR!BT79=0,"",SEKOR!BT79)</f>
        <v/>
      </c>
    </row>
    <row r="88" spans="1:8" ht="21.75" hidden="1" customHeight="1" x14ac:dyDescent="0.25">
      <c r="A88" s="78">
        <v>78</v>
      </c>
      <c r="B88" s="103" t="str">
        <f>IF(SEKOR!C80="","",SEKOR!C80)</f>
        <v/>
      </c>
      <c r="C88" s="104" t="str">
        <f>IF(SEKOR!B80="","",SEKOR!B80)</f>
        <v/>
      </c>
      <c r="D88" s="78" t="str">
        <f>IF(SEKOR!BN80=0,"",SEKOR!BN80)</f>
        <v/>
      </c>
      <c r="E88" s="79" t="str">
        <f>SEKOR!BP80</f>
        <v/>
      </c>
      <c r="F88" s="79" t="str">
        <f>SEKOR!BQ80</f>
        <v/>
      </c>
      <c r="G88" s="79" t="str">
        <f>SEKOR!BR80</f>
        <v/>
      </c>
      <c r="H88" s="79" t="str">
        <f>IF(SEKOR!BT80=0,"",SEKOR!BT80)</f>
        <v/>
      </c>
    </row>
    <row r="89" spans="1:8" ht="21.75" hidden="1" customHeight="1" x14ac:dyDescent="0.25">
      <c r="A89" s="78">
        <v>79</v>
      </c>
      <c r="B89" s="103" t="str">
        <f>IF(SEKOR!C81="","",SEKOR!C81)</f>
        <v/>
      </c>
      <c r="C89" s="104" t="str">
        <f>IF(SEKOR!B81="","",SEKOR!B81)</f>
        <v/>
      </c>
      <c r="D89" s="78" t="str">
        <f>IF(SEKOR!BN81=0,"",SEKOR!BN81)</f>
        <v/>
      </c>
      <c r="E89" s="79" t="str">
        <f>SEKOR!BP81</f>
        <v/>
      </c>
      <c r="F89" s="79" t="str">
        <f>SEKOR!BQ81</f>
        <v/>
      </c>
      <c r="G89" s="79" t="str">
        <f>SEKOR!BR81</f>
        <v/>
      </c>
      <c r="H89" s="79" t="str">
        <f>IF(SEKOR!BT81=0,"",SEKOR!BT81)</f>
        <v/>
      </c>
    </row>
    <row r="90" spans="1:8" ht="21.75" hidden="1" customHeight="1" x14ac:dyDescent="0.25">
      <c r="A90" s="78">
        <v>80</v>
      </c>
      <c r="B90" s="103" t="str">
        <f>IF(SEKOR!C82="","",SEKOR!C82)</f>
        <v/>
      </c>
      <c r="C90" s="104" t="str">
        <f>IF(SEKOR!B82="","",SEKOR!B82)</f>
        <v/>
      </c>
      <c r="D90" s="78" t="str">
        <f>IF(SEKOR!BN82=0,"",SEKOR!BN82)</f>
        <v/>
      </c>
      <c r="E90" s="79" t="str">
        <f>SEKOR!BP82</f>
        <v/>
      </c>
      <c r="F90" s="79" t="str">
        <f>SEKOR!BQ82</f>
        <v/>
      </c>
      <c r="G90" s="79" t="str">
        <f>SEKOR!BR82</f>
        <v/>
      </c>
      <c r="H90" s="79" t="str">
        <f>IF(SEKOR!BT82=0,"",SEKOR!BT82)</f>
        <v/>
      </c>
    </row>
    <row r="91" spans="1:8" ht="21.75" hidden="1" customHeight="1" x14ac:dyDescent="0.25">
      <c r="A91" s="78">
        <v>81</v>
      </c>
      <c r="B91" s="103" t="str">
        <f>IF(SEKOR!C83="","",SEKOR!C83)</f>
        <v/>
      </c>
      <c r="C91" s="104" t="str">
        <f>IF(SEKOR!B83="","",SEKOR!B83)</f>
        <v/>
      </c>
      <c r="D91" s="78" t="str">
        <f>IF(SEKOR!BN83=0,"",SEKOR!BN83)</f>
        <v/>
      </c>
      <c r="E91" s="79" t="str">
        <f>SEKOR!BP83</f>
        <v/>
      </c>
      <c r="F91" s="79" t="str">
        <f>SEKOR!BQ83</f>
        <v/>
      </c>
      <c r="G91" s="79" t="str">
        <f>SEKOR!BR83</f>
        <v/>
      </c>
      <c r="H91" s="79" t="str">
        <f>IF(SEKOR!BT83=0,"",SEKOR!BT83)</f>
        <v/>
      </c>
    </row>
    <row r="92" spans="1:8" ht="21.75" hidden="1" customHeight="1" x14ac:dyDescent="0.25">
      <c r="A92" s="78">
        <v>82</v>
      </c>
      <c r="B92" s="103" t="str">
        <f>IF(SEKOR!C84="","",SEKOR!C84)</f>
        <v/>
      </c>
      <c r="C92" s="104" t="str">
        <f>IF(SEKOR!B84="","",SEKOR!B84)</f>
        <v/>
      </c>
      <c r="D92" s="78" t="str">
        <f>IF(SEKOR!BN84=0,"",SEKOR!BN84)</f>
        <v/>
      </c>
      <c r="E92" s="79" t="str">
        <f>SEKOR!BP84</f>
        <v/>
      </c>
      <c r="F92" s="79" t="str">
        <f>SEKOR!BQ84</f>
        <v/>
      </c>
      <c r="G92" s="79" t="str">
        <f>SEKOR!BR84</f>
        <v/>
      </c>
      <c r="H92" s="79" t="str">
        <f>IF(SEKOR!BT84=0,"",SEKOR!BT84)</f>
        <v/>
      </c>
    </row>
    <row r="93" spans="1:8" ht="21.75" hidden="1" customHeight="1" x14ac:dyDescent="0.25">
      <c r="A93" s="78">
        <v>83</v>
      </c>
      <c r="B93" s="103" t="str">
        <f>IF(SEKOR!C85="","",SEKOR!C85)</f>
        <v/>
      </c>
      <c r="C93" s="104" t="str">
        <f>IF(SEKOR!B85="","",SEKOR!B85)</f>
        <v/>
      </c>
      <c r="D93" s="78" t="str">
        <f>IF(SEKOR!BN85=0,"",SEKOR!BN85)</f>
        <v/>
      </c>
      <c r="E93" s="79" t="str">
        <f>SEKOR!BP85</f>
        <v/>
      </c>
      <c r="F93" s="79" t="str">
        <f>SEKOR!BQ85</f>
        <v/>
      </c>
      <c r="G93" s="79" t="str">
        <f>SEKOR!BR85</f>
        <v/>
      </c>
      <c r="H93" s="79" t="str">
        <f>IF(SEKOR!BT85=0,"",SEKOR!BT85)</f>
        <v/>
      </c>
    </row>
    <row r="94" spans="1:8" ht="21.75" hidden="1" customHeight="1" x14ac:dyDescent="0.25">
      <c r="A94" s="78">
        <v>84</v>
      </c>
      <c r="B94" s="103" t="str">
        <f>IF(SEKOR!C86="","",SEKOR!C86)</f>
        <v/>
      </c>
      <c r="C94" s="104" t="str">
        <f>IF(SEKOR!B86="","",SEKOR!B86)</f>
        <v/>
      </c>
      <c r="D94" s="78" t="str">
        <f>IF(SEKOR!BN86=0,"",SEKOR!BN86)</f>
        <v/>
      </c>
      <c r="E94" s="79" t="str">
        <f>SEKOR!BP86</f>
        <v/>
      </c>
      <c r="F94" s="79" t="str">
        <f>SEKOR!BQ86</f>
        <v/>
      </c>
      <c r="G94" s="79" t="str">
        <f>SEKOR!BR86</f>
        <v/>
      </c>
      <c r="H94" s="79" t="str">
        <f>IF(SEKOR!BT86=0,"",SEKOR!BT86)</f>
        <v/>
      </c>
    </row>
    <row r="95" spans="1:8" ht="21.75" hidden="1" customHeight="1" x14ac:dyDescent="0.25">
      <c r="A95" s="78">
        <v>85</v>
      </c>
      <c r="B95" s="103" t="str">
        <f>IF(SEKOR!C87="","",SEKOR!C87)</f>
        <v/>
      </c>
      <c r="C95" s="104" t="str">
        <f>IF(SEKOR!B87="","",SEKOR!B87)</f>
        <v/>
      </c>
      <c r="D95" s="78" t="str">
        <f>IF(SEKOR!BN87=0,"",SEKOR!BN87)</f>
        <v/>
      </c>
      <c r="E95" s="79" t="str">
        <f>SEKOR!BP87</f>
        <v/>
      </c>
      <c r="F95" s="79" t="str">
        <f>SEKOR!BQ87</f>
        <v/>
      </c>
      <c r="G95" s="79" t="str">
        <f>SEKOR!BR87</f>
        <v/>
      </c>
      <c r="H95" s="79" t="str">
        <f>IF(SEKOR!BT87=0,"",SEKOR!BT87)</f>
        <v/>
      </c>
    </row>
    <row r="96" spans="1:8" ht="21.75" hidden="1" customHeight="1" x14ac:dyDescent="0.25">
      <c r="A96" s="78">
        <v>86</v>
      </c>
      <c r="B96" s="103" t="str">
        <f>IF(SEKOR!C88="","",SEKOR!C88)</f>
        <v/>
      </c>
      <c r="C96" s="104" t="str">
        <f>IF(SEKOR!B88="","",SEKOR!B88)</f>
        <v/>
      </c>
      <c r="D96" s="78" t="str">
        <f>IF(SEKOR!BN88=0,"",SEKOR!BN88)</f>
        <v/>
      </c>
      <c r="E96" s="79" t="str">
        <f>SEKOR!BP88</f>
        <v/>
      </c>
      <c r="F96" s="79" t="str">
        <f>SEKOR!BQ88</f>
        <v/>
      </c>
      <c r="G96" s="79" t="str">
        <f>SEKOR!BR88</f>
        <v/>
      </c>
      <c r="H96" s="79" t="str">
        <f>IF(SEKOR!BT88=0,"",SEKOR!BT88)</f>
        <v/>
      </c>
    </row>
    <row r="97" spans="1:8" ht="21.75" hidden="1" customHeight="1" x14ac:dyDescent="0.25">
      <c r="A97" s="78">
        <v>87</v>
      </c>
      <c r="B97" s="103" t="str">
        <f>IF(SEKOR!C89="","",SEKOR!C89)</f>
        <v/>
      </c>
      <c r="C97" s="104" t="str">
        <f>IF(SEKOR!B89="","",SEKOR!B89)</f>
        <v/>
      </c>
      <c r="D97" s="78" t="str">
        <f>IF(SEKOR!BN89=0,"",SEKOR!BN89)</f>
        <v/>
      </c>
      <c r="E97" s="79" t="str">
        <f>SEKOR!BP89</f>
        <v/>
      </c>
      <c r="F97" s="79" t="str">
        <f>SEKOR!BQ89</f>
        <v/>
      </c>
      <c r="G97" s="79" t="str">
        <f>SEKOR!BR89</f>
        <v/>
      </c>
      <c r="H97" s="79" t="str">
        <f>IF(SEKOR!BT89=0,"",SEKOR!BT89)</f>
        <v/>
      </c>
    </row>
    <row r="98" spans="1:8" ht="21.75" hidden="1" customHeight="1" x14ac:dyDescent="0.25">
      <c r="A98" s="78">
        <v>88</v>
      </c>
      <c r="B98" s="103" t="str">
        <f>IF(SEKOR!C90="","",SEKOR!C90)</f>
        <v/>
      </c>
      <c r="C98" s="104" t="str">
        <f>IF(SEKOR!B90="","",SEKOR!B90)</f>
        <v/>
      </c>
      <c r="D98" s="78" t="str">
        <f>IF(SEKOR!BN90=0,"",SEKOR!BN90)</f>
        <v/>
      </c>
      <c r="E98" s="79" t="str">
        <f>SEKOR!BP90</f>
        <v/>
      </c>
      <c r="F98" s="79" t="str">
        <f>SEKOR!BQ90</f>
        <v/>
      </c>
      <c r="G98" s="79" t="str">
        <f>SEKOR!BR90</f>
        <v/>
      </c>
      <c r="H98" s="79" t="str">
        <f>IF(SEKOR!BT90=0,"",SEKOR!BT90)</f>
        <v/>
      </c>
    </row>
    <row r="99" spans="1:8" ht="21.75" hidden="1" customHeight="1" x14ac:dyDescent="0.25">
      <c r="A99" s="78">
        <v>89</v>
      </c>
      <c r="B99" s="103" t="str">
        <f>IF(SEKOR!C91="","",SEKOR!C91)</f>
        <v/>
      </c>
      <c r="C99" s="104" t="str">
        <f>IF(SEKOR!B91="","",SEKOR!B91)</f>
        <v/>
      </c>
      <c r="D99" s="78" t="str">
        <f>IF(SEKOR!BN91=0,"",SEKOR!BN91)</f>
        <v/>
      </c>
      <c r="E99" s="79" t="str">
        <f>SEKOR!BP91</f>
        <v/>
      </c>
      <c r="F99" s="79" t="str">
        <f>SEKOR!BQ91</f>
        <v/>
      </c>
      <c r="G99" s="79" t="str">
        <f>SEKOR!BR91</f>
        <v/>
      </c>
      <c r="H99" s="79" t="str">
        <f>IF(SEKOR!BT91=0,"",SEKOR!BT91)</f>
        <v/>
      </c>
    </row>
    <row r="100" spans="1:8" ht="21.75" hidden="1" customHeight="1" x14ac:dyDescent="0.25">
      <c r="A100" s="78">
        <v>90</v>
      </c>
      <c r="B100" s="103" t="str">
        <f>IF(SEKOR!C92="","",SEKOR!C92)</f>
        <v/>
      </c>
      <c r="C100" s="104" t="str">
        <f>IF(SEKOR!B92="","",SEKOR!B92)</f>
        <v/>
      </c>
      <c r="D100" s="78" t="str">
        <f>IF(SEKOR!BN92=0,"",SEKOR!BN92)</f>
        <v/>
      </c>
      <c r="E100" s="79" t="str">
        <f>SEKOR!BP92</f>
        <v/>
      </c>
      <c r="F100" s="79" t="str">
        <f>SEKOR!BQ92</f>
        <v/>
      </c>
      <c r="G100" s="79" t="str">
        <f>SEKOR!BR92</f>
        <v/>
      </c>
      <c r="H100" s="79" t="str">
        <f>IF(SEKOR!BT92=0,"",SEKOR!BT92)</f>
        <v/>
      </c>
    </row>
    <row r="101" spans="1:8" ht="21.75" hidden="1" customHeight="1" x14ac:dyDescent="0.25">
      <c r="A101" s="78">
        <v>91</v>
      </c>
      <c r="B101" s="103" t="str">
        <f>IF(SEKOR!C93="","",SEKOR!C93)</f>
        <v/>
      </c>
      <c r="C101" s="104" t="str">
        <f>IF(SEKOR!B93="","",SEKOR!B93)</f>
        <v/>
      </c>
      <c r="D101" s="78" t="str">
        <f>IF(SEKOR!BN93=0,"",SEKOR!BN93)</f>
        <v/>
      </c>
      <c r="E101" s="79" t="str">
        <f>SEKOR!BP93</f>
        <v/>
      </c>
      <c r="F101" s="79" t="str">
        <f>SEKOR!BQ93</f>
        <v/>
      </c>
      <c r="G101" s="79" t="str">
        <f>SEKOR!BR93</f>
        <v/>
      </c>
      <c r="H101" s="79" t="str">
        <f>IF(SEKOR!BT93=0,"",SEKOR!BT93)</f>
        <v/>
      </c>
    </row>
    <row r="102" spans="1:8" ht="21.75" hidden="1" customHeight="1" x14ac:dyDescent="0.25">
      <c r="A102" s="78">
        <v>92</v>
      </c>
      <c r="B102" s="103" t="str">
        <f>IF(SEKOR!C94="","",SEKOR!C94)</f>
        <v/>
      </c>
      <c r="C102" s="104" t="str">
        <f>IF(SEKOR!B94="","",SEKOR!B94)</f>
        <v/>
      </c>
      <c r="D102" s="78" t="str">
        <f>IF(SEKOR!BN94=0,"",SEKOR!BN94)</f>
        <v/>
      </c>
      <c r="E102" s="79" t="str">
        <f>SEKOR!BP94</f>
        <v/>
      </c>
      <c r="F102" s="79" t="str">
        <f>SEKOR!BQ94</f>
        <v/>
      </c>
      <c r="G102" s="79" t="str">
        <f>SEKOR!BR94</f>
        <v/>
      </c>
      <c r="H102" s="79" t="str">
        <f>IF(SEKOR!BT94=0,"",SEKOR!BT94)</f>
        <v/>
      </c>
    </row>
    <row r="103" spans="1:8" ht="21.75" hidden="1" customHeight="1" x14ac:dyDescent="0.25">
      <c r="A103" s="78">
        <v>93</v>
      </c>
      <c r="B103" s="103" t="str">
        <f>IF(SEKOR!C95="","",SEKOR!C95)</f>
        <v/>
      </c>
      <c r="C103" s="104" t="str">
        <f>IF(SEKOR!B95="","",SEKOR!B95)</f>
        <v/>
      </c>
      <c r="D103" s="78" t="str">
        <f>IF(SEKOR!BN95=0,"",SEKOR!BN95)</f>
        <v/>
      </c>
      <c r="E103" s="79" t="str">
        <f>SEKOR!BP95</f>
        <v/>
      </c>
      <c r="F103" s="79" t="str">
        <f>SEKOR!BQ95</f>
        <v/>
      </c>
      <c r="G103" s="79" t="str">
        <f>SEKOR!BR95</f>
        <v/>
      </c>
      <c r="H103" s="79" t="str">
        <f>IF(SEKOR!BT95=0,"",SEKOR!BT95)</f>
        <v/>
      </c>
    </row>
    <row r="104" spans="1:8" ht="21.75" hidden="1" customHeight="1" x14ac:dyDescent="0.25">
      <c r="A104" s="78">
        <v>94</v>
      </c>
      <c r="B104" s="103" t="str">
        <f>IF(SEKOR!C96="","",SEKOR!C96)</f>
        <v/>
      </c>
      <c r="C104" s="104" t="str">
        <f>IF(SEKOR!B96="","",SEKOR!B96)</f>
        <v/>
      </c>
      <c r="D104" s="78" t="str">
        <f>IF(SEKOR!BN96=0,"",SEKOR!BN96)</f>
        <v/>
      </c>
      <c r="E104" s="79" t="str">
        <f>SEKOR!BP96</f>
        <v/>
      </c>
      <c r="F104" s="79" t="str">
        <f>SEKOR!BQ96</f>
        <v/>
      </c>
      <c r="G104" s="79" t="str">
        <f>SEKOR!BR96</f>
        <v/>
      </c>
      <c r="H104" s="79" t="str">
        <f>IF(SEKOR!BT96=0,"",SEKOR!BT96)</f>
        <v/>
      </c>
    </row>
    <row r="105" spans="1:8" ht="21.75" hidden="1" customHeight="1" x14ac:dyDescent="0.25">
      <c r="A105" s="78">
        <v>95</v>
      </c>
      <c r="B105" s="103" t="str">
        <f>IF(SEKOR!C97="","",SEKOR!C97)</f>
        <v/>
      </c>
      <c r="C105" s="104" t="str">
        <f>IF(SEKOR!B97="","",SEKOR!B97)</f>
        <v/>
      </c>
      <c r="D105" s="78" t="str">
        <f>IF(SEKOR!BN97=0,"",SEKOR!BN97)</f>
        <v/>
      </c>
      <c r="E105" s="79" t="str">
        <f>SEKOR!BP97</f>
        <v/>
      </c>
      <c r="F105" s="79" t="str">
        <f>SEKOR!BQ97</f>
        <v/>
      </c>
      <c r="G105" s="79" t="str">
        <f>SEKOR!BR97</f>
        <v/>
      </c>
      <c r="H105" s="79" t="str">
        <f>IF(SEKOR!BT97=0,"",SEKOR!BT97)</f>
        <v/>
      </c>
    </row>
    <row r="106" spans="1:8" ht="21.75" hidden="1" customHeight="1" x14ac:dyDescent="0.25">
      <c r="A106" s="78">
        <v>96</v>
      </c>
      <c r="B106" s="103" t="str">
        <f>IF(SEKOR!C98="","",SEKOR!C98)</f>
        <v/>
      </c>
      <c r="C106" s="104" t="str">
        <f>IF(SEKOR!B98="","",SEKOR!B98)</f>
        <v/>
      </c>
      <c r="D106" s="78" t="str">
        <f>IF(SEKOR!BN98=0,"",SEKOR!BN98)</f>
        <v/>
      </c>
      <c r="E106" s="79" t="str">
        <f>SEKOR!BP98</f>
        <v/>
      </c>
      <c r="F106" s="79" t="str">
        <f>SEKOR!BQ98</f>
        <v/>
      </c>
      <c r="G106" s="79" t="str">
        <f>SEKOR!BR98</f>
        <v/>
      </c>
      <c r="H106" s="79" t="str">
        <f>IF(SEKOR!BT98=0,"",SEKOR!BT98)</f>
        <v/>
      </c>
    </row>
    <row r="107" spans="1:8" ht="21.75" hidden="1" customHeight="1" x14ac:dyDescent="0.25">
      <c r="A107" s="78">
        <v>97</v>
      </c>
      <c r="B107" s="103" t="str">
        <f>IF(SEKOR!C99="","",SEKOR!C99)</f>
        <v/>
      </c>
      <c r="C107" s="104" t="str">
        <f>IF(SEKOR!B99="","",SEKOR!B99)</f>
        <v/>
      </c>
      <c r="D107" s="78" t="str">
        <f>IF(SEKOR!BN99=0,"",SEKOR!BN99)</f>
        <v/>
      </c>
      <c r="E107" s="79" t="str">
        <f>SEKOR!BP99</f>
        <v/>
      </c>
      <c r="F107" s="79" t="str">
        <f>SEKOR!BQ99</f>
        <v/>
      </c>
      <c r="G107" s="79" t="str">
        <f>SEKOR!BR99</f>
        <v/>
      </c>
      <c r="H107" s="79" t="str">
        <f>IF(SEKOR!BT99=0,"",SEKOR!BT99)</f>
        <v/>
      </c>
    </row>
    <row r="108" spans="1:8" ht="21.75" hidden="1" customHeight="1" x14ac:dyDescent="0.25">
      <c r="A108" s="78">
        <v>98</v>
      </c>
      <c r="B108" s="103" t="str">
        <f>IF(SEKOR!C100="","",SEKOR!C100)</f>
        <v/>
      </c>
      <c r="C108" s="104" t="str">
        <f>IF(SEKOR!B100="","",SEKOR!B100)</f>
        <v/>
      </c>
      <c r="D108" s="78" t="str">
        <f>IF(SEKOR!BN100=0,"",SEKOR!BN100)</f>
        <v/>
      </c>
      <c r="E108" s="79" t="str">
        <f>SEKOR!BP100</f>
        <v/>
      </c>
      <c r="F108" s="79" t="str">
        <f>SEKOR!BQ100</f>
        <v/>
      </c>
      <c r="G108" s="79" t="str">
        <f>SEKOR!BR100</f>
        <v/>
      </c>
      <c r="H108" s="79" t="str">
        <f>IF(SEKOR!BT100=0,"",SEKOR!BT100)</f>
        <v/>
      </c>
    </row>
    <row r="109" spans="1:8" ht="21.75" hidden="1" customHeight="1" x14ac:dyDescent="0.25">
      <c r="A109" s="78">
        <v>99</v>
      </c>
      <c r="B109" s="103" t="str">
        <f>IF(SEKOR!C101="","",SEKOR!C101)</f>
        <v/>
      </c>
      <c r="C109" s="104" t="str">
        <f>IF(SEKOR!B101="","",SEKOR!B101)</f>
        <v/>
      </c>
      <c r="D109" s="78" t="str">
        <f>IF(SEKOR!BN101=0,"",SEKOR!BN101)</f>
        <v/>
      </c>
      <c r="E109" s="79" t="str">
        <f>SEKOR!BP101</f>
        <v/>
      </c>
      <c r="F109" s="79" t="str">
        <f>SEKOR!BQ101</f>
        <v/>
      </c>
      <c r="G109" s="79" t="str">
        <f>SEKOR!BR101</f>
        <v/>
      </c>
      <c r="H109" s="79" t="str">
        <f>IF(SEKOR!BT101=0,"",SEKOR!BT101)</f>
        <v/>
      </c>
    </row>
    <row r="110" spans="1:8" ht="21.75" hidden="1" customHeight="1" x14ac:dyDescent="0.25">
      <c r="A110" s="78">
        <v>100</v>
      </c>
      <c r="B110" s="103" t="str">
        <f>IF(SEKOR!C102="","",SEKOR!C102)</f>
        <v/>
      </c>
      <c r="C110" s="104" t="str">
        <f>IF(SEKOR!B102="","",SEKOR!B102)</f>
        <v/>
      </c>
      <c r="D110" s="78" t="str">
        <f>IF(SEKOR!BN102=0,"",SEKOR!BN102)</f>
        <v/>
      </c>
      <c r="E110" s="79" t="str">
        <f>SEKOR!BP102</f>
        <v/>
      </c>
      <c r="F110" s="79" t="str">
        <f>SEKOR!BQ102</f>
        <v/>
      </c>
      <c r="G110" s="79" t="str">
        <f>SEKOR!BR102</f>
        <v/>
      </c>
      <c r="H110" s="79" t="str">
        <f>IF(SEKOR!BT102=0,"",SEKOR!BT102)</f>
        <v/>
      </c>
    </row>
    <row r="111" spans="1:8" ht="21.75" hidden="1" customHeight="1" x14ac:dyDescent="0.25">
      <c r="A111" s="78">
        <v>101</v>
      </c>
      <c r="B111" s="103" t="str">
        <f>IF(SEKOR!C103="","",SEKOR!C103)</f>
        <v/>
      </c>
      <c r="C111" s="104" t="str">
        <f>IF(SEKOR!B103="","",SEKOR!B103)</f>
        <v/>
      </c>
      <c r="D111" s="78" t="str">
        <f>IF(SEKOR!BN103=0,"",SEKOR!BN103)</f>
        <v/>
      </c>
      <c r="E111" s="79" t="str">
        <f>SEKOR!BP103</f>
        <v/>
      </c>
      <c r="F111" s="79" t="str">
        <f>SEKOR!BQ103</f>
        <v/>
      </c>
      <c r="G111" s="79" t="str">
        <f>SEKOR!BR103</f>
        <v/>
      </c>
      <c r="H111" s="79" t="str">
        <f>IF(SEKOR!BT103=0,"",SEKOR!BT103)</f>
        <v/>
      </c>
    </row>
    <row r="112" spans="1:8" ht="21.75" hidden="1" customHeight="1" x14ac:dyDescent="0.25">
      <c r="A112" s="78">
        <v>102</v>
      </c>
      <c r="B112" s="103" t="str">
        <f>IF(SEKOR!C104="","",SEKOR!C104)</f>
        <v/>
      </c>
      <c r="C112" s="104" t="str">
        <f>IF(SEKOR!B104="","",SEKOR!B104)</f>
        <v/>
      </c>
      <c r="D112" s="78" t="str">
        <f>IF(SEKOR!BN104=0,"",SEKOR!BN104)</f>
        <v/>
      </c>
      <c r="E112" s="79" t="str">
        <f>SEKOR!BP104</f>
        <v/>
      </c>
      <c r="F112" s="79" t="str">
        <f>SEKOR!BQ104</f>
        <v/>
      </c>
      <c r="G112" s="79" t="str">
        <f>SEKOR!BR104</f>
        <v/>
      </c>
      <c r="H112" s="79" t="str">
        <f>IF(SEKOR!BT104=0,"",SEKOR!BT104)</f>
        <v/>
      </c>
    </row>
    <row r="113" spans="1:8" ht="21.75" hidden="1" customHeight="1" x14ac:dyDescent="0.25">
      <c r="A113" s="78">
        <v>103</v>
      </c>
      <c r="B113" s="103" t="str">
        <f>IF(SEKOR!C105="","",SEKOR!C105)</f>
        <v/>
      </c>
      <c r="C113" s="104" t="str">
        <f>IF(SEKOR!B105="","",SEKOR!B105)</f>
        <v/>
      </c>
      <c r="D113" s="78" t="str">
        <f>IF(SEKOR!BN105=0,"",SEKOR!BN105)</f>
        <v/>
      </c>
      <c r="E113" s="79" t="str">
        <f>SEKOR!BP105</f>
        <v/>
      </c>
      <c r="F113" s="79" t="str">
        <f>SEKOR!BQ105</f>
        <v/>
      </c>
      <c r="G113" s="79" t="str">
        <f>SEKOR!BR105</f>
        <v/>
      </c>
      <c r="H113" s="79" t="str">
        <f>IF(SEKOR!BT105=0,"",SEKOR!BT105)</f>
        <v/>
      </c>
    </row>
    <row r="114" spans="1:8" ht="21.75" hidden="1" customHeight="1" x14ac:dyDescent="0.25">
      <c r="A114" s="78">
        <v>104</v>
      </c>
      <c r="B114" s="103" t="str">
        <f>IF(SEKOR!C106="","",SEKOR!C106)</f>
        <v/>
      </c>
      <c r="C114" s="104" t="str">
        <f>IF(SEKOR!B106="","",SEKOR!B106)</f>
        <v/>
      </c>
      <c r="D114" s="78" t="str">
        <f>IF(SEKOR!BN106=0,"",SEKOR!BN106)</f>
        <v/>
      </c>
      <c r="E114" s="79" t="str">
        <f>SEKOR!BP106</f>
        <v/>
      </c>
      <c r="F114" s="79" t="str">
        <f>SEKOR!BQ106</f>
        <v/>
      </c>
      <c r="G114" s="79" t="str">
        <f>SEKOR!BR106</f>
        <v/>
      </c>
      <c r="H114" s="79" t="str">
        <f>IF(SEKOR!BT106=0,"",SEKOR!BT106)</f>
        <v/>
      </c>
    </row>
    <row r="115" spans="1:8" ht="21.75" hidden="1" customHeight="1" x14ac:dyDescent="0.25">
      <c r="A115" s="78">
        <v>105</v>
      </c>
      <c r="B115" s="103" t="str">
        <f>IF(SEKOR!C107="","",SEKOR!C107)</f>
        <v/>
      </c>
      <c r="C115" s="104" t="str">
        <f>IF(SEKOR!B107="","",SEKOR!B107)</f>
        <v/>
      </c>
      <c r="D115" s="78" t="str">
        <f>IF(SEKOR!BN107=0,"",SEKOR!BN107)</f>
        <v/>
      </c>
      <c r="E115" s="79" t="str">
        <f>SEKOR!BP107</f>
        <v/>
      </c>
      <c r="F115" s="79" t="str">
        <f>SEKOR!BQ107</f>
        <v/>
      </c>
      <c r="G115" s="79" t="str">
        <f>SEKOR!BR107</f>
        <v/>
      </c>
      <c r="H115" s="79" t="str">
        <f>IF(SEKOR!BT107=0,"",SEKOR!BT107)</f>
        <v/>
      </c>
    </row>
    <row r="116" spans="1:8" ht="21.75" hidden="1" customHeight="1" x14ac:dyDescent="0.25">
      <c r="A116" s="78">
        <v>106</v>
      </c>
      <c r="B116" s="103" t="str">
        <f>IF(SEKOR!C108="","",SEKOR!C108)</f>
        <v/>
      </c>
      <c r="C116" s="104" t="str">
        <f>IF(SEKOR!B108="","",SEKOR!B108)</f>
        <v/>
      </c>
      <c r="D116" s="78" t="str">
        <f>IF(SEKOR!BN108=0,"",SEKOR!BN108)</f>
        <v/>
      </c>
      <c r="E116" s="79" t="str">
        <f>SEKOR!BP108</f>
        <v/>
      </c>
      <c r="F116" s="79" t="str">
        <f>SEKOR!BQ108</f>
        <v/>
      </c>
      <c r="G116" s="79" t="str">
        <f>SEKOR!BR108</f>
        <v/>
      </c>
      <c r="H116" s="79" t="str">
        <f>IF(SEKOR!BT108=0,"",SEKOR!BT108)</f>
        <v/>
      </c>
    </row>
    <row r="117" spans="1:8" ht="21.75" hidden="1" customHeight="1" x14ac:dyDescent="0.25">
      <c r="A117" s="78">
        <v>107</v>
      </c>
      <c r="B117" s="103" t="str">
        <f>IF(SEKOR!C109="","",SEKOR!C109)</f>
        <v/>
      </c>
      <c r="C117" s="104" t="str">
        <f>IF(SEKOR!B109="","",SEKOR!B109)</f>
        <v/>
      </c>
      <c r="D117" s="78" t="str">
        <f>IF(SEKOR!BN109=0,"",SEKOR!BN109)</f>
        <v/>
      </c>
      <c r="E117" s="79" t="str">
        <f>SEKOR!BP109</f>
        <v/>
      </c>
      <c r="F117" s="79" t="str">
        <f>SEKOR!BQ109</f>
        <v/>
      </c>
      <c r="G117" s="79" t="str">
        <f>SEKOR!BR109</f>
        <v/>
      </c>
      <c r="H117" s="79" t="str">
        <f>IF(SEKOR!BT109=0,"",SEKOR!BT109)</f>
        <v/>
      </c>
    </row>
    <row r="118" spans="1:8" ht="21.75" hidden="1" customHeight="1" x14ac:dyDescent="0.25">
      <c r="A118" s="78">
        <v>108</v>
      </c>
      <c r="B118" s="103" t="str">
        <f>IF(SEKOR!C110="","",SEKOR!C110)</f>
        <v/>
      </c>
      <c r="C118" s="104" t="str">
        <f>IF(SEKOR!B110="","",SEKOR!B110)</f>
        <v/>
      </c>
      <c r="D118" s="78" t="str">
        <f>IF(SEKOR!BN110=0,"",SEKOR!BN110)</f>
        <v/>
      </c>
      <c r="E118" s="79" t="str">
        <f>SEKOR!BP110</f>
        <v/>
      </c>
      <c r="F118" s="79" t="str">
        <f>SEKOR!BQ110</f>
        <v/>
      </c>
      <c r="G118" s="79" t="str">
        <f>SEKOR!BR110</f>
        <v/>
      </c>
      <c r="H118" s="79" t="str">
        <f>IF(SEKOR!BT110=0,"",SEKOR!BT110)</f>
        <v/>
      </c>
    </row>
    <row r="119" spans="1:8" ht="21.75" hidden="1" customHeight="1" x14ac:dyDescent="0.25">
      <c r="A119" s="78">
        <v>109</v>
      </c>
      <c r="B119" s="103" t="str">
        <f>IF(SEKOR!C111="","",SEKOR!C111)</f>
        <v/>
      </c>
      <c r="C119" s="104" t="str">
        <f>IF(SEKOR!B111="","",SEKOR!B111)</f>
        <v/>
      </c>
      <c r="D119" s="78" t="str">
        <f>IF(SEKOR!BN111=0,"",SEKOR!BN111)</f>
        <v/>
      </c>
      <c r="E119" s="79" t="str">
        <f>SEKOR!BP111</f>
        <v/>
      </c>
      <c r="F119" s="79" t="str">
        <f>SEKOR!BQ111</f>
        <v/>
      </c>
      <c r="G119" s="79" t="str">
        <f>SEKOR!BR111</f>
        <v/>
      </c>
      <c r="H119" s="79" t="str">
        <f>IF(SEKOR!BT111=0,"",SEKOR!BT111)</f>
        <v/>
      </c>
    </row>
    <row r="120" spans="1:8" ht="21.75" hidden="1" customHeight="1" x14ac:dyDescent="0.25">
      <c r="A120" s="78">
        <v>110</v>
      </c>
      <c r="B120" s="103" t="str">
        <f>IF(SEKOR!C112="","",SEKOR!C112)</f>
        <v/>
      </c>
      <c r="C120" s="104" t="str">
        <f>IF(SEKOR!B112="","",SEKOR!B112)</f>
        <v/>
      </c>
      <c r="D120" s="78" t="str">
        <f>IF(SEKOR!BN112=0,"",SEKOR!BN112)</f>
        <v/>
      </c>
      <c r="E120" s="79" t="str">
        <f>SEKOR!BP112</f>
        <v/>
      </c>
      <c r="F120" s="79" t="str">
        <f>SEKOR!BQ112</f>
        <v/>
      </c>
      <c r="G120" s="79" t="str">
        <f>SEKOR!BR112</f>
        <v/>
      </c>
      <c r="H120" s="79" t="str">
        <f>IF(SEKOR!BT112=0,"",SEKOR!BT112)</f>
        <v/>
      </c>
    </row>
    <row r="121" spans="1:8" ht="21.75" hidden="1" customHeight="1" x14ac:dyDescent="0.25">
      <c r="A121" s="78">
        <v>111</v>
      </c>
      <c r="B121" s="103" t="str">
        <f>IF(SEKOR!C113="","",SEKOR!C113)</f>
        <v/>
      </c>
      <c r="C121" s="104" t="str">
        <f>IF(SEKOR!B113="","",SEKOR!B113)</f>
        <v/>
      </c>
      <c r="D121" s="78" t="str">
        <f>IF(SEKOR!BN113=0,"",SEKOR!BN113)</f>
        <v/>
      </c>
      <c r="E121" s="79" t="str">
        <f>SEKOR!BP113</f>
        <v/>
      </c>
      <c r="F121" s="79" t="str">
        <f>SEKOR!BQ113</f>
        <v/>
      </c>
      <c r="G121" s="79" t="str">
        <f>SEKOR!BR113</f>
        <v/>
      </c>
      <c r="H121" s="79" t="str">
        <f>IF(SEKOR!BT113=0,"",SEKOR!BT113)</f>
        <v/>
      </c>
    </row>
    <row r="122" spans="1:8" ht="21.75" hidden="1" customHeight="1" x14ac:dyDescent="0.25">
      <c r="A122" s="78">
        <v>112</v>
      </c>
      <c r="B122" s="103" t="str">
        <f>IF(SEKOR!C114="","",SEKOR!C114)</f>
        <v/>
      </c>
      <c r="C122" s="104" t="str">
        <f>IF(SEKOR!B114="","",SEKOR!B114)</f>
        <v/>
      </c>
      <c r="D122" s="78" t="str">
        <f>IF(SEKOR!BN114=0,"",SEKOR!BN114)</f>
        <v/>
      </c>
      <c r="E122" s="79" t="str">
        <f>SEKOR!BP114</f>
        <v/>
      </c>
      <c r="F122" s="79" t="str">
        <f>SEKOR!BQ114</f>
        <v/>
      </c>
      <c r="G122" s="79" t="str">
        <f>SEKOR!BR114</f>
        <v/>
      </c>
      <c r="H122" s="79" t="str">
        <f>IF(SEKOR!BT114=0,"",SEKOR!BT114)</f>
        <v/>
      </c>
    </row>
    <row r="123" spans="1:8" ht="21.75" hidden="1" customHeight="1" x14ac:dyDescent="0.25">
      <c r="A123" s="78">
        <v>113</v>
      </c>
      <c r="B123" s="103" t="str">
        <f>IF(SEKOR!C115="","",SEKOR!C115)</f>
        <v/>
      </c>
      <c r="C123" s="104" t="str">
        <f>IF(SEKOR!B115="","",SEKOR!B115)</f>
        <v/>
      </c>
      <c r="D123" s="78" t="str">
        <f>IF(SEKOR!BN115=0,"",SEKOR!BN115)</f>
        <v/>
      </c>
      <c r="E123" s="79" t="str">
        <f>SEKOR!BP115</f>
        <v/>
      </c>
      <c r="F123" s="79" t="str">
        <f>SEKOR!BQ115</f>
        <v/>
      </c>
      <c r="G123" s="79" t="str">
        <f>SEKOR!BR115</f>
        <v/>
      </c>
      <c r="H123" s="79" t="str">
        <f>IF(SEKOR!BT115=0,"",SEKOR!BT115)</f>
        <v/>
      </c>
    </row>
    <row r="124" spans="1:8" ht="21.75" hidden="1" customHeight="1" x14ac:dyDescent="0.25">
      <c r="A124" s="78">
        <v>114</v>
      </c>
      <c r="B124" s="103" t="str">
        <f>IF(SEKOR!C116="","",SEKOR!C116)</f>
        <v/>
      </c>
      <c r="C124" s="104" t="str">
        <f>IF(SEKOR!B116="","",SEKOR!B116)</f>
        <v/>
      </c>
      <c r="D124" s="78" t="str">
        <f>IF(SEKOR!BN116=0,"",SEKOR!BN116)</f>
        <v/>
      </c>
      <c r="E124" s="79" t="str">
        <f>SEKOR!BP116</f>
        <v/>
      </c>
      <c r="F124" s="79" t="str">
        <f>SEKOR!BQ116</f>
        <v/>
      </c>
      <c r="G124" s="79" t="str">
        <f>SEKOR!BR116</f>
        <v/>
      </c>
      <c r="H124" s="79" t="str">
        <f>IF(SEKOR!BT116=0,"",SEKOR!BT116)</f>
        <v/>
      </c>
    </row>
    <row r="125" spans="1:8" ht="21.75" hidden="1" customHeight="1" x14ac:dyDescent="0.25">
      <c r="A125" s="78">
        <v>115</v>
      </c>
      <c r="B125" s="103" t="str">
        <f>IF(SEKOR!C117="","",SEKOR!C117)</f>
        <v/>
      </c>
      <c r="C125" s="104" t="str">
        <f>IF(SEKOR!B117="","",SEKOR!B117)</f>
        <v/>
      </c>
      <c r="D125" s="78" t="str">
        <f>IF(SEKOR!BN117=0,"",SEKOR!BN117)</f>
        <v/>
      </c>
      <c r="E125" s="79" t="str">
        <f>SEKOR!BP117</f>
        <v/>
      </c>
      <c r="F125" s="79" t="str">
        <f>SEKOR!BQ117</f>
        <v/>
      </c>
      <c r="G125" s="79" t="str">
        <f>SEKOR!BR117</f>
        <v/>
      </c>
      <c r="H125" s="79" t="str">
        <f>IF(SEKOR!BT117=0,"",SEKOR!BT117)</f>
        <v/>
      </c>
    </row>
    <row r="126" spans="1:8" ht="21.75" hidden="1" customHeight="1" x14ac:dyDescent="0.25">
      <c r="A126" s="78">
        <v>116</v>
      </c>
      <c r="B126" s="103" t="str">
        <f>IF(SEKOR!C118="","",SEKOR!C118)</f>
        <v/>
      </c>
      <c r="C126" s="104" t="str">
        <f>IF(SEKOR!B118="","",SEKOR!B118)</f>
        <v/>
      </c>
      <c r="D126" s="78" t="str">
        <f>IF(SEKOR!BN118=0,"",SEKOR!BN118)</f>
        <v/>
      </c>
      <c r="E126" s="79" t="str">
        <f>SEKOR!BP118</f>
        <v/>
      </c>
      <c r="F126" s="79" t="str">
        <f>SEKOR!BQ118</f>
        <v/>
      </c>
      <c r="G126" s="79" t="str">
        <f>SEKOR!BR118</f>
        <v/>
      </c>
      <c r="H126" s="79" t="str">
        <f>IF(SEKOR!BT118=0,"",SEKOR!BT118)</f>
        <v/>
      </c>
    </row>
    <row r="127" spans="1:8" ht="21.75" hidden="1" customHeight="1" x14ac:dyDescent="0.25">
      <c r="A127" s="78">
        <v>117</v>
      </c>
      <c r="B127" s="103" t="str">
        <f>IF(SEKOR!C119="","",SEKOR!C119)</f>
        <v/>
      </c>
      <c r="C127" s="104" t="str">
        <f>IF(SEKOR!B119="","",SEKOR!B119)</f>
        <v/>
      </c>
      <c r="D127" s="78" t="str">
        <f>IF(SEKOR!BN119=0,"",SEKOR!BN119)</f>
        <v/>
      </c>
      <c r="E127" s="79" t="str">
        <f>SEKOR!BP119</f>
        <v/>
      </c>
      <c r="F127" s="79" t="str">
        <f>SEKOR!BQ119</f>
        <v/>
      </c>
      <c r="G127" s="79" t="str">
        <f>SEKOR!BR119</f>
        <v/>
      </c>
      <c r="H127" s="79" t="str">
        <f>IF(SEKOR!BT119=0,"",SEKOR!BT119)</f>
        <v/>
      </c>
    </row>
    <row r="128" spans="1:8" ht="21.75" hidden="1" customHeight="1" x14ac:dyDescent="0.25">
      <c r="A128" s="78">
        <v>118</v>
      </c>
      <c r="B128" s="103" t="str">
        <f>IF(SEKOR!C120="","",SEKOR!C120)</f>
        <v/>
      </c>
      <c r="C128" s="104" t="str">
        <f>IF(SEKOR!B120="","",SEKOR!B120)</f>
        <v/>
      </c>
      <c r="D128" s="78" t="str">
        <f>IF(SEKOR!BN120=0,"",SEKOR!BN120)</f>
        <v/>
      </c>
      <c r="E128" s="79" t="str">
        <f>SEKOR!BP120</f>
        <v/>
      </c>
      <c r="F128" s="79" t="str">
        <f>SEKOR!BQ120</f>
        <v/>
      </c>
      <c r="G128" s="79" t="str">
        <f>SEKOR!BR120</f>
        <v/>
      </c>
      <c r="H128" s="79" t="str">
        <f>IF(SEKOR!BT120=0,"",SEKOR!BT120)</f>
        <v/>
      </c>
    </row>
    <row r="129" spans="1:8" ht="21.75" hidden="1" customHeight="1" x14ac:dyDescent="0.25">
      <c r="A129" s="78">
        <v>119</v>
      </c>
      <c r="B129" s="103" t="str">
        <f>IF(SEKOR!C121="","",SEKOR!C121)</f>
        <v/>
      </c>
      <c r="C129" s="104" t="str">
        <f>IF(SEKOR!B121="","",SEKOR!B121)</f>
        <v/>
      </c>
      <c r="D129" s="78" t="str">
        <f>IF(SEKOR!BN121=0,"",SEKOR!BN121)</f>
        <v/>
      </c>
      <c r="E129" s="79" t="str">
        <f>SEKOR!BP121</f>
        <v/>
      </c>
      <c r="F129" s="79" t="str">
        <f>SEKOR!BQ121</f>
        <v/>
      </c>
      <c r="G129" s="79" t="str">
        <f>SEKOR!BR121</f>
        <v/>
      </c>
      <c r="H129" s="79" t="str">
        <f>IF(SEKOR!BT121=0,"",SEKOR!BT121)</f>
        <v/>
      </c>
    </row>
    <row r="130" spans="1:8" ht="21.75" hidden="1" customHeight="1" x14ac:dyDescent="0.25">
      <c r="A130" s="78">
        <v>120</v>
      </c>
      <c r="B130" s="103" t="str">
        <f>IF(SEKOR!C122="","",SEKOR!C122)</f>
        <v/>
      </c>
      <c r="C130" s="104" t="str">
        <f>IF(SEKOR!B122="","",SEKOR!B122)</f>
        <v/>
      </c>
      <c r="D130" s="78" t="str">
        <f>IF(SEKOR!BN122=0,"",SEKOR!BN122)</f>
        <v/>
      </c>
      <c r="E130" s="79" t="str">
        <f>SEKOR!BP122</f>
        <v/>
      </c>
      <c r="F130" s="79" t="str">
        <f>SEKOR!BQ122</f>
        <v/>
      </c>
      <c r="G130" s="79" t="str">
        <f>SEKOR!BR122</f>
        <v/>
      </c>
      <c r="H130" s="79" t="str">
        <f>IF(SEKOR!BT122=0,"",SEKOR!BT122)</f>
        <v/>
      </c>
    </row>
    <row r="131" spans="1:8" ht="21.75" hidden="1" customHeight="1" x14ac:dyDescent="0.25">
      <c r="A131" s="78">
        <v>121</v>
      </c>
      <c r="B131" s="103" t="str">
        <f>IF(SEKOR!C123="","",SEKOR!C123)</f>
        <v/>
      </c>
      <c r="C131" s="104" t="str">
        <f>IF(SEKOR!B123="","",SEKOR!B123)</f>
        <v/>
      </c>
      <c r="D131" s="78" t="str">
        <f>IF(SEKOR!BN123=0,"",SEKOR!BN123)</f>
        <v/>
      </c>
      <c r="E131" s="79" t="str">
        <f>SEKOR!BP123</f>
        <v/>
      </c>
      <c r="F131" s="79" t="str">
        <f>SEKOR!BQ123</f>
        <v/>
      </c>
      <c r="G131" s="79" t="str">
        <f>SEKOR!BR123</f>
        <v/>
      </c>
      <c r="H131" s="79" t="str">
        <f>IF(SEKOR!BT123=0,"",SEKOR!BT123)</f>
        <v/>
      </c>
    </row>
    <row r="132" spans="1:8" ht="21.75" hidden="1" customHeight="1" x14ac:dyDescent="0.25">
      <c r="A132" s="78">
        <v>122</v>
      </c>
      <c r="B132" s="103" t="str">
        <f>IF(SEKOR!C124="","",SEKOR!C124)</f>
        <v/>
      </c>
      <c r="C132" s="104" t="str">
        <f>IF(SEKOR!B124="","",SEKOR!B124)</f>
        <v/>
      </c>
      <c r="D132" s="78" t="str">
        <f>IF(SEKOR!BN124=0,"",SEKOR!BN124)</f>
        <v/>
      </c>
      <c r="E132" s="79" t="str">
        <f>SEKOR!BP124</f>
        <v/>
      </c>
      <c r="F132" s="79" t="str">
        <f>SEKOR!BQ124</f>
        <v/>
      </c>
      <c r="G132" s="79" t="str">
        <f>SEKOR!BR124</f>
        <v/>
      </c>
      <c r="H132" s="79" t="str">
        <f>IF(SEKOR!BT124=0,"",SEKOR!BT124)</f>
        <v/>
      </c>
    </row>
    <row r="133" spans="1:8" ht="21.75" hidden="1" customHeight="1" x14ac:dyDescent="0.25">
      <c r="A133" s="78">
        <v>123</v>
      </c>
      <c r="B133" s="103" t="str">
        <f>IF(SEKOR!C125="","",SEKOR!C125)</f>
        <v/>
      </c>
      <c r="C133" s="104" t="str">
        <f>IF(SEKOR!B125="","",SEKOR!B125)</f>
        <v/>
      </c>
      <c r="D133" s="78" t="str">
        <f>IF(SEKOR!BN125=0,"",SEKOR!BN125)</f>
        <v/>
      </c>
      <c r="E133" s="79" t="str">
        <f>SEKOR!BP125</f>
        <v/>
      </c>
      <c r="F133" s="79" t="str">
        <f>SEKOR!BQ125</f>
        <v/>
      </c>
      <c r="G133" s="79" t="str">
        <f>SEKOR!BR125</f>
        <v/>
      </c>
      <c r="H133" s="79" t="str">
        <f>IF(SEKOR!BT125=0,"",SEKOR!BT125)</f>
        <v/>
      </c>
    </row>
    <row r="134" spans="1:8" ht="21.75" hidden="1" customHeight="1" x14ac:dyDescent="0.25">
      <c r="A134" s="78">
        <v>124</v>
      </c>
      <c r="B134" s="103" t="str">
        <f>IF(SEKOR!C126="","",SEKOR!C126)</f>
        <v/>
      </c>
      <c r="C134" s="104" t="str">
        <f>IF(SEKOR!B126="","",SEKOR!B126)</f>
        <v/>
      </c>
      <c r="D134" s="78" t="str">
        <f>IF(SEKOR!BN126=0,"",SEKOR!BN126)</f>
        <v/>
      </c>
      <c r="E134" s="79" t="str">
        <f>SEKOR!BP126</f>
        <v/>
      </c>
      <c r="F134" s="79" t="str">
        <f>SEKOR!BQ126</f>
        <v/>
      </c>
      <c r="G134" s="79" t="str">
        <f>SEKOR!BR126</f>
        <v/>
      </c>
      <c r="H134" s="79" t="str">
        <f>IF(SEKOR!BT126=0,"",SEKOR!BT126)</f>
        <v/>
      </c>
    </row>
    <row r="135" spans="1:8" ht="21.75" hidden="1" customHeight="1" x14ac:dyDescent="0.25">
      <c r="A135" s="78">
        <v>125</v>
      </c>
      <c r="B135" s="103" t="str">
        <f>IF(SEKOR!C127="","",SEKOR!C127)</f>
        <v/>
      </c>
      <c r="C135" s="104" t="str">
        <f>IF(SEKOR!B127="","",SEKOR!B127)</f>
        <v/>
      </c>
      <c r="D135" s="78" t="str">
        <f>IF(SEKOR!BN127=0,"",SEKOR!BN127)</f>
        <v/>
      </c>
      <c r="E135" s="79" t="str">
        <f>SEKOR!BP127</f>
        <v/>
      </c>
      <c r="F135" s="79" t="str">
        <f>SEKOR!BQ127</f>
        <v/>
      </c>
      <c r="G135" s="79" t="str">
        <f>SEKOR!BR127</f>
        <v/>
      </c>
      <c r="H135" s="79" t="str">
        <f>IF(SEKOR!BT127=0,"",SEKOR!BT127)</f>
        <v/>
      </c>
    </row>
    <row r="136" spans="1:8" ht="21.75" hidden="1" customHeight="1" x14ac:dyDescent="0.25">
      <c r="A136" s="78">
        <v>126</v>
      </c>
      <c r="B136" s="103" t="str">
        <f>IF(SEKOR!C128="","",SEKOR!C128)</f>
        <v/>
      </c>
      <c r="C136" s="104" t="str">
        <f>IF(SEKOR!B128="","",SEKOR!B128)</f>
        <v/>
      </c>
      <c r="D136" s="78" t="str">
        <f>IF(SEKOR!BN128=0,"",SEKOR!BN128)</f>
        <v/>
      </c>
      <c r="E136" s="79" t="str">
        <f>SEKOR!BP128</f>
        <v/>
      </c>
      <c r="F136" s="79" t="str">
        <f>SEKOR!BQ128</f>
        <v/>
      </c>
      <c r="G136" s="79" t="str">
        <f>SEKOR!BR128</f>
        <v/>
      </c>
      <c r="H136" s="79" t="str">
        <f>IF(SEKOR!BT128=0,"",SEKOR!BT128)</f>
        <v/>
      </c>
    </row>
    <row r="137" spans="1:8" ht="21.75" hidden="1" customHeight="1" x14ac:dyDescent="0.25">
      <c r="A137" s="78">
        <v>127</v>
      </c>
      <c r="B137" s="103" t="str">
        <f>IF(SEKOR!C129="","",SEKOR!C129)</f>
        <v/>
      </c>
      <c r="C137" s="104" t="str">
        <f>IF(SEKOR!B129="","",SEKOR!B129)</f>
        <v/>
      </c>
      <c r="D137" s="78" t="str">
        <f>IF(SEKOR!BN129=0,"",SEKOR!BN129)</f>
        <v/>
      </c>
      <c r="E137" s="79" t="str">
        <f>SEKOR!BP129</f>
        <v/>
      </c>
      <c r="F137" s="79" t="str">
        <f>SEKOR!BQ129</f>
        <v/>
      </c>
      <c r="G137" s="79" t="str">
        <f>SEKOR!BR129</f>
        <v/>
      </c>
      <c r="H137" s="79" t="str">
        <f>IF(SEKOR!BT129=0,"",SEKOR!BT129)</f>
        <v/>
      </c>
    </row>
    <row r="138" spans="1:8" ht="21.75" hidden="1" customHeight="1" x14ac:dyDescent="0.25">
      <c r="A138" s="78">
        <v>128</v>
      </c>
      <c r="B138" s="103" t="str">
        <f>IF(SEKOR!C130="","",SEKOR!C130)</f>
        <v/>
      </c>
      <c r="C138" s="104" t="str">
        <f>IF(SEKOR!B130="","",SEKOR!B130)</f>
        <v/>
      </c>
      <c r="D138" s="78" t="str">
        <f>IF(SEKOR!BN130=0,"",SEKOR!BN130)</f>
        <v/>
      </c>
      <c r="E138" s="79" t="str">
        <f>SEKOR!BP130</f>
        <v/>
      </c>
      <c r="F138" s="79" t="str">
        <f>SEKOR!BQ130</f>
        <v/>
      </c>
      <c r="G138" s="79" t="str">
        <f>SEKOR!BR130</f>
        <v/>
      </c>
      <c r="H138" s="79" t="str">
        <f>IF(SEKOR!BT130=0,"",SEKOR!BT130)</f>
        <v/>
      </c>
    </row>
    <row r="139" spans="1:8" ht="21.75" hidden="1" customHeight="1" x14ac:dyDescent="0.25">
      <c r="A139" s="78">
        <v>129</v>
      </c>
      <c r="B139" s="103" t="str">
        <f>IF(SEKOR!C131="","",SEKOR!C131)</f>
        <v/>
      </c>
      <c r="C139" s="104" t="str">
        <f>IF(SEKOR!B131="","",SEKOR!B131)</f>
        <v/>
      </c>
      <c r="D139" s="78" t="str">
        <f>IF(SEKOR!BN131=0,"",SEKOR!BN131)</f>
        <v/>
      </c>
      <c r="E139" s="79" t="str">
        <f>SEKOR!BP131</f>
        <v/>
      </c>
      <c r="F139" s="79" t="str">
        <f>SEKOR!BQ131</f>
        <v/>
      </c>
      <c r="G139" s="79" t="str">
        <f>SEKOR!BR131</f>
        <v/>
      </c>
      <c r="H139" s="79" t="str">
        <f>IF(SEKOR!BT131=0,"",SEKOR!BT131)</f>
        <v/>
      </c>
    </row>
    <row r="140" spans="1:8" ht="21.75" hidden="1" customHeight="1" x14ac:dyDescent="0.25">
      <c r="A140" s="78">
        <v>130</v>
      </c>
      <c r="B140" s="103" t="str">
        <f>IF(SEKOR!C132="","",SEKOR!C132)</f>
        <v/>
      </c>
      <c r="C140" s="104" t="str">
        <f>IF(SEKOR!B132="","",SEKOR!B132)</f>
        <v/>
      </c>
      <c r="D140" s="78" t="str">
        <f>IF(SEKOR!BN132=0,"",SEKOR!BN132)</f>
        <v/>
      </c>
      <c r="E140" s="79" t="str">
        <f>SEKOR!BP132</f>
        <v/>
      </c>
      <c r="F140" s="79" t="str">
        <f>SEKOR!BQ132</f>
        <v/>
      </c>
      <c r="G140" s="79" t="str">
        <f>SEKOR!BR132</f>
        <v/>
      </c>
      <c r="H140" s="79" t="str">
        <f>IF(SEKOR!BT132=0,"",SEKOR!BT132)</f>
        <v/>
      </c>
    </row>
    <row r="141" spans="1:8" ht="21.75" hidden="1" customHeight="1" x14ac:dyDescent="0.25">
      <c r="A141" s="78">
        <v>131</v>
      </c>
      <c r="B141" s="103" t="str">
        <f>IF(SEKOR!C133="","",SEKOR!C133)</f>
        <v/>
      </c>
      <c r="C141" s="104" t="str">
        <f>IF(SEKOR!B133="","",SEKOR!B133)</f>
        <v/>
      </c>
      <c r="D141" s="78" t="str">
        <f>IF(SEKOR!BN133=0,"",SEKOR!BN133)</f>
        <v/>
      </c>
      <c r="E141" s="79" t="str">
        <f>SEKOR!BP133</f>
        <v/>
      </c>
      <c r="F141" s="79" t="str">
        <f>SEKOR!BQ133</f>
        <v/>
      </c>
      <c r="G141" s="79" t="str">
        <f>SEKOR!BR133</f>
        <v/>
      </c>
      <c r="H141" s="79" t="str">
        <f>IF(SEKOR!BT133=0,"",SEKOR!BT133)</f>
        <v/>
      </c>
    </row>
    <row r="142" spans="1:8" ht="21.75" hidden="1" customHeight="1" x14ac:dyDescent="0.25">
      <c r="A142" s="78">
        <v>132</v>
      </c>
      <c r="B142" s="103" t="str">
        <f>IF(SEKOR!C134="","",SEKOR!C134)</f>
        <v/>
      </c>
      <c r="C142" s="104" t="str">
        <f>IF(SEKOR!B134="","",SEKOR!B134)</f>
        <v/>
      </c>
      <c r="D142" s="78" t="str">
        <f>IF(SEKOR!BN134=0,"",SEKOR!BN134)</f>
        <v/>
      </c>
      <c r="E142" s="79" t="str">
        <f>SEKOR!BP134</f>
        <v/>
      </c>
      <c r="F142" s="79" t="str">
        <f>SEKOR!BQ134</f>
        <v/>
      </c>
      <c r="G142" s="79" t="str">
        <f>SEKOR!BR134</f>
        <v/>
      </c>
      <c r="H142" s="79" t="str">
        <f>IF(SEKOR!BT134=0,"",SEKOR!BT134)</f>
        <v/>
      </c>
    </row>
    <row r="143" spans="1:8" ht="21.75" hidden="1" customHeight="1" x14ac:dyDescent="0.25">
      <c r="A143" s="78">
        <v>133</v>
      </c>
      <c r="B143" s="103" t="str">
        <f>IF(SEKOR!C135="","",SEKOR!C135)</f>
        <v/>
      </c>
      <c r="C143" s="104" t="str">
        <f>IF(SEKOR!B135="","",SEKOR!B135)</f>
        <v/>
      </c>
      <c r="D143" s="78" t="str">
        <f>IF(SEKOR!BN135=0,"",SEKOR!BN135)</f>
        <v/>
      </c>
      <c r="E143" s="79" t="str">
        <f>SEKOR!BP135</f>
        <v/>
      </c>
      <c r="F143" s="79" t="str">
        <f>SEKOR!BQ135</f>
        <v/>
      </c>
      <c r="G143" s="79" t="str">
        <f>SEKOR!BR135</f>
        <v/>
      </c>
      <c r="H143" s="79" t="str">
        <f>IF(SEKOR!BT135=0,"",SEKOR!BT135)</f>
        <v/>
      </c>
    </row>
    <row r="144" spans="1:8" ht="21.75" hidden="1" customHeight="1" x14ac:dyDescent="0.25">
      <c r="A144" s="78">
        <v>134</v>
      </c>
      <c r="B144" s="103" t="str">
        <f>IF(SEKOR!C136="","",SEKOR!C136)</f>
        <v/>
      </c>
      <c r="C144" s="104" t="str">
        <f>IF(SEKOR!B136="","",SEKOR!B136)</f>
        <v/>
      </c>
      <c r="D144" s="78" t="str">
        <f>IF(SEKOR!BN136=0,"",SEKOR!BN136)</f>
        <v/>
      </c>
      <c r="E144" s="79" t="str">
        <f>SEKOR!BP136</f>
        <v/>
      </c>
      <c r="F144" s="79" t="str">
        <f>SEKOR!BQ136</f>
        <v/>
      </c>
      <c r="G144" s="79" t="str">
        <f>SEKOR!BR136</f>
        <v/>
      </c>
      <c r="H144" s="79" t="str">
        <f>IF(SEKOR!BT136=0,"",SEKOR!BT136)</f>
        <v/>
      </c>
    </row>
    <row r="145" spans="1:8" ht="21.75" hidden="1" customHeight="1" x14ac:dyDescent="0.25">
      <c r="A145" s="78">
        <v>135</v>
      </c>
      <c r="B145" s="103" t="str">
        <f>IF(SEKOR!C137="","",SEKOR!C137)</f>
        <v/>
      </c>
      <c r="C145" s="104" t="str">
        <f>IF(SEKOR!B137="","",SEKOR!B137)</f>
        <v/>
      </c>
      <c r="D145" s="78" t="str">
        <f>IF(SEKOR!BN137=0,"",SEKOR!BN137)</f>
        <v/>
      </c>
      <c r="E145" s="79" t="str">
        <f>SEKOR!BP137</f>
        <v/>
      </c>
      <c r="F145" s="79" t="str">
        <f>SEKOR!BQ137</f>
        <v/>
      </c>
      <c r="G145" s="79" t="str">
        <f>SEKOR!BR137</f>
        <v/>
      </c>
      <c r="H145" s="79" t="str">
        <f>IF(SEKOR!BT137=0,"",SEKOR!BT137)</f>
        <v/>
      </c>
    </row>
    <row r="146" spans="1:8" ht="21.75" hidden="1" customHeight="1" x14ac:dyDescent="0.25">
      <c r="A146" s="78">
        <v>136</v>
      </c>
      <c r="B146" s="103" t="str">
        <f>IF(SEKOR!C138="","",SEKOR!C138)</f>
        <v/>
      </c>
      <c r="C146" s="104" t="str">
        <f>IF(SEKOR!B138="","",SEKOR!B138)</f>
        <v/>
      </c>
      <c r="D146" s="78" t="str">
        <f>IF(SEKOR!BN138=0,"",SEKOR!BN138)</f>
        <v/>
      </c>
      <c r="E146" s="79" t="str">
        <f>SEKOR!BP138</f>
        <v/>
      </c>
      <c r="F146" s="79" t="str">
        <f>SEKOR!BQ138</f>
        <v/>
      </c>
      <c r="G146" s="79" t="str">
        <f>SEKOR!BR138</f>
        <v/>
      </c>
      <c r="H146" s="79" t="str">
        <f>IF(SEKOR!BT138=0,"",SEKOR!BT138)</f>
        <v/>
      </c>
    </row>
    <row r="147" spans="1:8" ht="21.75" hidden="1" customHeight="1" x14ac:dyDescent="0.25">
      <c r="A147" s="78">
        <v>137</v>
      </c>
      <c r="B147" s="103" t="str">
        <f>IF(SEKOR!C139="","",SEKOR!C139)</f>
        <v/>
      </c>
      <c r="C147" s="104" t="str">
        <f>IF(SEKOR!B139="","",SEKOR!B139)</f>
        <v/>
      </c>
      <c r="D147" s="78" t="str">
        <f>IF(SEKOR!BN139=0,"",SEKOR!BN139)</f>
        <v/>
      </c>
      <c r="E147" s="79" t="str">
        <f>SEKOR!BP139</f>
        <v/>
      </c>
      <c r="F147" s="79" t="str">
        <f>SEKOR!BQ139</f>
        <v/>
      </c>
      <c r="G147" s="79" t="str">
        <f>SEKOR!BR139</f>
        <v/>
      </c>
      <c r="H147" s="79" t="str">
        <f>IF(SEKOR!BT139=0,"",SEKOR!BT139)</f>
        <v/>
      </c>
    </row>
    <row r="148" spans="1:8" ht="21.75" hidden="1" customHeight="1" x14ac:dyDescent="0.25">
      <c r="A148" s="78">
        <v>138</v>
      </c>
      <c r="B148" s="103" t="str">
        <f>IF(SEKOR!C140="","",SEKOR!C140)</f>
        <v/>
      </c>
      <c r="C148" s="104" t="str">
        <f>IF(SEKOR!B140="","",SEKOR!B140)</f>
        <v/>
      </c>
      <c r="D148" s="78" t="str">
        <f>IF(SEKOR!BN140=0,"",SEKOR!BN140)</f>
        <v/>
      </c>
      <c r="E148" s="79" t="str">
        <f>SEKOR!BP140</f>
        <v/>
      </c>
      <c r="F148" s="79" t="str">
        <f>SEKOR!BQ140</f>
        <v/>
      </c>
      <c r="G148" s="79" t="str">
        <f>SEKOR!BR140</f>
        <v/>
      </c>
      <c r="H148" s="79" t="str">
        <f>IF(SEKOR!BT140=0,"",SEKOR!BT140)</f>
        <v/>
      </c>
    </row>
    <row r="149" spans="1:8" ht="21.75" hidden="1" customHeight="1" x14ac:dyDescent="0.25">
      <c r="A149" s="78">
        <v>139</v>
      </c>
      <c r="B149" s="103" t="str">
        <f>IF(SEKOR!C141="","",SEKOR!C141)</f>
        <v/>
      </c>
      <c r="C149" s="104" t="str">
        <f>IF(SEKOR!B141="","",SEKOR!B141)</f>
        <v/>
      </c>
      <c r="D149" s="78" t="str">
        <f>IF(SEKOR!BN141=0,"",SEKOR!BN141)</f>
        <v/>
      </c>
      <c r="E149" s="79" t="str">
        <f>SEKOR!BP141</f>
        <v/>
      </c>
      <c r="F149" s="79" t="str">
        <f>SEKOR!BQ141</f>
        <v/>
      </c>
      <c r="G149" s="79" t="str">
        <f>SEKOR!BR141</f>
        <v/>
      </c>
      <c r="H149" s="79" t="str">
        <f>IF(SEKOR!BT141=0,"",SEKOR!BT141)</f>
        <v/>
      </c>
    </row>
    <row r="150" spans="1:8" ht="21.75" hidden="1" customHeight="1" x14ac:dyDescent="0.25">
      <c r="A150" s="78">
        <v>140</v>
      </c>
      <c r="B150" s="103" t="str">
        <f>IF(SEKOR!C142="","",SEKOR!C142)</f>
        <v/>
      </c>
      <c r="C150" s="104" t="str">
        <f>IF(SEKOR!B142="","",SEKOR!B142)</f>
        <v/>
      </c>
      <c r="D150" s="78" t="str">
        <f>IF(SEKOR!BN142=0,"",SEKOR!BN142)</f>
        <v/>
      </c>
      <c r="E150" s="79" t="str">
        <f>SEKOR!BP142</f>
        <v/>
      </c>
      <c r="F150" s="79" t="str">
        <f>SEKOR!BQ142</f>
        <v/>
      </c>
      <c r="G150" s="79" t="str">
        <f>SEKOR!BR142</f>
        <v/>
      </c>
      <c r="H150" s="79" t="str">
        <f>IF(SEKOR!BT142=0,"",SEKOR!BT142)</f>
        <v/>
      </c>
    </row>
    <row r="151" spans="1:8" ht="21.75" hidden="1" customHeight="1" x14ac:dyDescent="0.25">
      <c r="A151" s="78">
        <v>141</v>
      </c>
      <c r="B151" s="103" t="str">
        <f>IF(SEKOR!C143="","",SEKOR!C143)</f>
        <v/>
      </c>
      <c r="C151" s="104" t="str">
        <f>IF(SEKOR!B143="","",SEKOR!B143)</f>
        <v/>
      </c>
      <c r="D151" s="78" t="str">
        <f>IF(SEKOR!BN143=0,"",SEKOR!BN143)</f>
        <v/>
      </c>
      <c r="E151" s="79" t="str">
        <f>SEKOR!BP143</f>
        <v/>
      </c>
      <c r="F151" s="79" t="str">
        <f>SEKOR!BQ143</f>
        <v/>
      </c>
      <c r="G151" s="79" t="str">
        <f>SEKOR!BR143</f>
        <v/>
      </c>
      <c r="H151" s="79" t="str">
        <f>IF(SEKOR!BT143=0,"",SEKOR!BT143)</f>
        <v/>
      </c>
    </row>
    <row r="152" spans="1:8" ht="21.75" hidden="1" customHeight="1" x14ac:dyDescent="0.25">
      <c r="A152" s="78">
        <v>142</v>
      </c>
      <c r="B152" s="103" t="str">
        <f>IF(SEKOR!C144="","",SEKOR!C144)</f>
        <v/>
      </c>
      <c r="C152" s="104" t="str">
        <f>IF(SEKOR!B144="","",SEKOR!B144)</f>
        <v/>
      </c>
      <c r="D152" s="78" t="str">
        <f>IF(SEKOR!BN144=0,"",SEKOR!BN144)</f>
        <v/>
      </c>
      <c r="E152" s="79" t="str">
        <f>SEKOR!BP144</f>
        <v/>
      </c>
      <c r="F152" s="79" t="str">
        <f>SEKOR!BQ144</f>
        <v/>
      </c>
      <c r="G152" s="79" t="str">
        <f>SEKOR!BR144</f>
        <v/>
      </c>
      <c r="H152" s="79" t="str">
        <f>IF(SEKOR!BT144=0,"",SEKOR!BT144)</f>
        <v/>
      </c>
    </row>
    <row r="153" spans="1:8" ht="21.75" hidden="1" customHeight="1" x14ac:dyDescent="0.25">
      <c r="A153" s="78">
        <v>143</v>
      </c>
      <c r="B153" s="103" t="str">
        <f>IF(SEKOR!C145="","",SEKOR!C145)</f>
        <v/>
      </c>
      <c r="C153" s="104" t="str">
        <f>IF(SEKOR!B145="","",SEKOR!B145)</f>
        <v/>
      </c>
      <c r="D153" s="78" t="str">
        <f>IF(SEKOR!BN145=0,"",SEKOR!BN145)</f>
        <v/>
      </c>
      <c r="E153" s="79" t="str">
        <f>SEKOR!BP145</f>
        <v/>
      </c>
      <c r="F153" s="79" t="str">
        <f>SEKOR!BQ145</f>
        <v/>
      </c>
      <c r="G153" s="79" t="str">
        <f>SEKOR!BR145</f>
        <v/>
      </c>
      <c r="H153" s="79" t="str">
        <f>IF(SEKOR!BT145=0,"",SEKOR!BT145)</f>
        <v/>
      </c>
    </row>
    <row r="154" spans="1:8" ht="21.75" hidden="1" customHeight="1" x14ac:dyDescent="0.25">
      <c r="A154" s="78">
        <v>144</v>
      </c>
      <c r="B154" s="103" t="str">
        <f>IF(SEKOR!C146="","",SEKOR!C146)</f>
        <v/>
      </c>
      <c r="C154" s="104" t="str">
        <f>IF(SEKOR!B146="","",SEKOR!B146)</f>
        <v/>
      </c>
      <c r="D154" s="78" t="str">
        <f>IF(SEKOR!BN146=0,"",SEKOR!BN146)</f>
        <v/>
      </c>
      <c r="E154" s="79" t="str">
        <f>SEKOR!BP146</f>
        <v/>
      </c>
      <c r="F154" s="79" t="str">
        <f>SEKOR!BQ146</f>
        <v/>
      </c>
      <c r="G154" s="79" t="str">
        <f>SEKOR!BR146</f>
        <v/>
      </c>
      <c r="H154" s="79" t="str">
        <f>IF(SEKOR!BT146=0,"",SEKOR!BT146)</f>
        <v/>
      </c>
    </row>
    <row r="155" spans="1:8" ht="21.75" hidden="1" customHeight="1" x14ac:dyDescent="0.25">
      <c r="A155" s="78">
        <v>145</v>
      </c>
      <c r="B155" s="103" t="str">
        <f>IF(SEKOR!C147="","",SEKOR!C147)</f>
        <v/>
      </c>
      <c r="C155" s="104" t="str">
        <f>IF(SEKOR!B147="","",SEKOR!B147)</f>
        <v/>
      </c>
      <c r="D155" s="78" t="str">
        <f>IF(SEKOR!BN147=0,"",SEKOR!BN147)</f>
        <v/>
      </c>
      <c r="E155" s="79" t="str">
        <f>SEKOR!BP147</f>
        <v/>
      </c>
      <c r="F155" s="79" t="str">
        <f>SEKOR!BQ147</f>
        <v/>
      </c>
      <c r="G155" s="79" t="str">
        <f>SEKOR!BR147</f>
        <v/>
      </c>
      <c r="H155" s="79" t="str">
        <f>IF(SEKOR!BT147=0,"",SEKOR!BT147)</f>
        <v/>
      </c>
    </row>
    <row r="156" spans="1:8" ht="21.75" hidden="1" customHeight="1" x14ac:dyDescent="0.25">
      <c r="A156" s="78">
        <v>146</v>
      </c>
      <c r="B156" s="103" t="str">
        <f>IF(SEKOR!C148="","",SEKOR!C148)</f>
        <v/>
      </c>
      <c r="C156" s="104" t="str">
        <f>IF(SEKOR!B148="","",SEKOR!B148)</f>
        <v/>
      </c>
      <c r="D156" s="78" t="str">
        <f>IF(SEKOR!BN148=0,"",SEKOR!BN148)</f>
        <v/>
      </c>
      <c r="E156" s="79" t="str">
        <f>SEKOR!BP148</f>
        <v/>
      </c>
      <c r="F156" s="79" t="str">
        <f>SEKOR!BQ148</f>
        <v/>
      </c>
      <c r="G156" s="79" t="str">
        <f>SEKOR!BR148</f>
        <v/>
      </c>
      <c r="H156" s="79" t="str">
        <f>IF(SEKOR!BT148=0,"",SEKOR!BT148)</f>
        <v/>
      </c>
    </row>
    <row r="157" spans="1:8" ht="21.75" hidden="1" customHeight="1" x14ac:dyDescent="0.25">
      <c r="A157" s="78">
        <v>147</v>
      </c>
      <c r="B157" s="103" t="str">
        <f>IF(SEKOR!C149="","",SEKOR!C149)</f>
        <v/>
      </c>
      <c r="C157" s="104" t="str">
        <f>IF(SEKOR!B149="","",SEKOR!B149)</f>
        <v/>
      </c>
      <c r="D157" s="78" t="str">
        <f>IF(SEKOR!BN149=0,"",SEKOR!BN149)</f>
        <v/>
      </c>
      <c r="E157" s="79" t="str">
        <f>SEKOR!BP149</f>
        <v/>
      </c>
      <c r="F157" s="79" t="str">
        <f>SEKOR!BQ149</f>
        <v/>
      </c>
      <c r="G157" s="79" t="str">
        <f>SEKOR!BR149</f>
        <v/>
      </c>
      <c r="H157" s="79" t="str">
        <f>IF(SEKOR!BT149=0,"",SEKOR!BT149)</f>
        <v/>
      </c>
    </row>
    <row r="158" spans="1:8" ht="21.75" hidden="1" customHeight="1" x14ac:dyDescent="0.25">
      <c r="A158" s="78">
        <v>148</v>
      </c>
      <c r="B158" s="103" t="str">
        <f>IF(SEKOR!C150="","",SEKOR!C150)</f>
        <v/>
      </c>
      <c r="C158" s="104" t="str">
        <f>IF(SEKOR!B150="","",SEKOR!B150)</f>
        <v/>
      </c>
      <c r="D158" s="78" t="str">
        <f>IF(SEKOR!BN150=0,"",SEKOR!BN150)</f>
        <v/>
      </c>
      <c r="E158" s="79" t="str">
        <f>SEKOR!BP150</f>
        <v/>
      </c>
      <c r="F158" s="79" t="str">
        <f>SEKOR!BQ150</f>
        <v/>
      </c>
      <c r="G158" s="79" t="str">
        <f>SEKOR!BR150</f>
        <v/>
      </c>
      <c r="H158" s="79" t="str">
        <f>IF(SEKOR!BT150=0,"",SEKOR!BT150)</f>
        <v/>
      </c>
    </row>
    <row r="159" spans="1:8" ht="21.75" hidden="1" customHeight="1" x14ac:dyDescent="0.25">
      <c r="A159" s="78">
        <v>149</v>
      </c>
      <c r="B159" s="103" t="str">
        <f>IF(SEKOR!C151="","",SEKOR!C151)</f>
        <v/>
      </c>
      <c r="C159" s="104" t="str">
        <f>IF(SEKOR!B151="","",SEKOR!B151)</f>
        <v/>
      </c>
      <c r="D159" s="78" t="str">
        <f>IF(SEKOR!BN151=0,"",SEKOR!BN151)</f>
        <v/>
      </c>
      <c r="E159" s="79" t="str">
        <f>SEKOR!BP151</f>
        <v/>
      </c>
      <c r="F159" s="79" t="str">
        <f>SEKOR!BQ151</f>
        <v/>
      </c>
      <c r="G159" s="79" t="str">
        <f>SEKOR!BR151</f>
        <v/>
      </c>
      <c r="H159" s="79" t="str">
        <f>IF(SEKOR!BT151=0,"",SEKOR!BT151)</f>
        <v/>
      </c>
    </row>
    <row r="160" spans="1:8" ht="21.75" hidden="1" customHeight="1" x14ac:dyDescent="0.25">
      <c r="A160" s="78">
        <v>150</v>
      </c>
      <c r="B160" s="103" t="str">
        <f>IF(SEKOR!C152="","",SEKOR!C152)</f>
        <v/>
      </c>
      <c r="C160" s="104" t="str">
        <f>IF(SEKOR!B152="","",SEKOR!B152)</f>
        <v/>
      </c>
      <c r="D160" s="78" t="str">
        <f>IF(SEKOR!BN152=0,"",SEKOR!BN152)</f>
        <v/>
      </c>
      <c r="E160" s="79" t="str">
        <f>SEKOR!BP152</f>
        <v/>
      </c>
      <c r="F160" s="79" t="str">
        <f>SEKOR!BQ152</f>
        <v/>
      </c>
      <c r="G160" s="79" t="str">
        <f>SEKOR!BR152</f>
        <v/>
      </c>
      <c r="H160" s="79" t="str">
        <f>IF(SEKOR!BT152=0,"",SEKOR!BT152)</f>
        <v/>
      </c>
    </row>
    <row r="161" spans="1:8" ht="21.75" hidden="1" customHeight="1" x14ac:dyDescent="0.25">
      <c r="A161" s="78">
        <v>151</v>
      </c>
      <c r="B161" s="103" t="str">
        <f>IF(SEKOR!C153="","",SEKOR!C153)</f>
        <v/>
      </c>
      <c r="C161" s="104" t="str">
        <f>IF(SEKOR!B153="","",SEKOR!B153)</f>
        <v/>
      </c>
      <c r="D161" s="78" t="str">
        <f>IF(SEKOR!BN153=0,"",SEKOR!BN153)</f>
        <v/>
      </c>
      <c r="E161" s="79" t="str">
        <f>SEKOR!BP153</f>
        <v/>
      </c>
      <c r="F161" s="79" t="str">
        <f>SEKOR!BQ153</f>
        <v/>
      </c>
      <c r="G161" s="79" t="str">
        <f>SEKOR!BR153</f>
        <v/>
      </c>
      <c r="H161" s="79" t="str">
        <f>IF(SEKOR!BT153=0,"",SEKOR!BT153)</f>
        <v/>
      </c>
    </row>
    <row r="162" spans="1:8" ht="21.75" hidden="1" customHeight="1" x14ac:dyDescent="0.25">
      <c r="A162" s="78">
        <v>152</v>
      </c>
      <c r="B162" s="103" t="str">
        <f>IF(SEKOR!C154="","",SEKOR!C154)</f>
        <v/>
      </c>
      <c r="C162" s="104" t="str">
        <f>IF(SEKOR!B154="","",SEKOR!B154)</f>
        <v/>
      </c>
      <c r="D162" s="78" t="str">
        <f>IF(SEKOR!BN154=0,"",SEKOR!BN154)</f>
        <v/>
      </c>
      <c r="E162" s="79" t="str">
        <f>SEKOR!BP154</f>
        <v/>
      </c>
      <c r="F162" s="79" t="str">
        <f>SEKOR!BQ154</f>
        <v/>
      </c>
      <c r="G162" s="79" t="str">
        <f>SEKOR!BR154</f>
        <v/>
      </c>
      <c r="H162" s="79" t="str">
        <f>IF(SEKOR!BT154=0,"",SEKOR!BT154)</f>
        <v/>
      </c>
    </row>
    <row r="163" spans="1:8" ht="21.75" hidden="1" customHeight="1" x14ac:dyDescent="0.25">
      <c r="A163" s="78">
        <v>153</v>
      </c>
      <c r="B163" s="103" t="str">
        <f>IF(SEKOR!C155="","",SEKOR!C155)</f>
        <v/>
      </c>
      <c r="C163" s="104" t="str">
        <f>IF(SEKOR!B155="","",SEKOR!B155)</f>
        <v/>
      </c>
      <c r="D163" s="78" t="str">
        <f>IF(SEKOR!BN155=0,"",SEKOR!BN155)</f>
        <v/>
      </c>
      <c r="E163" s="79" t="str">
        <f>SEKOR!BP155</f>
        <v/>
      </c>
      <c r="F163" s="79" t="str">
        <f>SEKOR!BQ155</f>
        <v/>
      </c>
      <c r="G163" s="79" t="str">
        <f>SEKOR!BR155</f>
        <v/>
      </c>
      <c r="H163" s="79" t="str">
        <f>IF(SEKOR!BT155=0,"",SEKOR!BT155)</f>
        <v/>
      </c>
    </row>
    <row r="164" spans="1:8" ht="21.75" hidden="1" customHeight="1" x14ac:dyDescent="0.25">
      <c r="A164" s="78">
        <v>154</v>
      </c>
      <c r="B164" s="103" t="str">
        <f>IF(SEKOR!C156="","",SEKOR!C156)</f>
        <v/>
      </c>
      <c r="C164" s="104" t="str">
        <f>IF(SEKOR!B156="","",SEKOR!B156)</f>
        <v/>
      </c>
      <c r="D164" s="78" t="str">
        <f>IF(SEKOR!BN156=0,"",SEKOR!BN156)</f>
        <v/>
      </c>
      <c r="E164" s="79" t="str">
        <f>SEKOR!BP156</f>
        <v/>
      </c>
      <c r="F164" s="79" t="str">
        <f>SEKOR!BQ156</f>
        <v/>
      </c>
      <c r="G164" s="79" t="str">
        <f>SEKOR!BR156</f>
        <v/>
      </c>
      <c r="H164" s="79" t="str">
        <f>IF(SEKOR!BT156=0,"",SEKOR!BT156)</f>
        <v/>
      </c>
    </row>
    <row r="165" spans="1:8" ht="21.75" hidden="1" customHeight="1" x14ac:dyDescent="0.25">
      <c r="A165" s="78">
        <v>155</v>
      </c>
      <c r="B165" s="103" t="str">
        <f>IF(SEKOR!C157="","",SEKOR!C157)</f>
        <v/>
      </c>
      <c r="C165" s="104" t="str">
        <f>IF(SEKOR!B157="","",SEKOR!B157)</f>
        <v/>
      </c>
      <c r="D165" s="78" t="str">
        <f>IF(SEKOR!BN157=0,"",SEKOR!BN157)</f>
        <v/>
      </c>
      <c r="E165" s="79" t="str">
        <f>SEKOR!BP157</f>
        <v/>
      </c>
      <c r="F165" s="79" t="str">
        <f>SEKOR!BQ157</f>
        <v/>
      </c>
      <c r="G165" s="79" t="str">
        <f>SEKOR!BR157</f>
        <v/>
      </c>
      <c r="H165" s="79" t="str">
        <f>IF(SEKOR!BT157=0,"",SEKOR!BT157)</f>
        <v/>
      </c>
    </row>
    <row r="166" spans="1:8" ht="21.75" hidden="1" customHeight="1" x14ac:dyDescent="0.25">
      <c r="A166" s="78">
        <v>156</v>
      </c>
      <c r="B166" s="103" t="str">
        <f>IF(SEKOR!C158="","",SEKOR!C158)</f>
        <v/>
      </c>
      <c r="C166" s="104" t="str">
        <f>IF(SEKOR!B158="","",SEKOR!B158)</f>
        <v/>
      </c>
      <c r="D166" s="78" t="str">
        <f>IF(SEKOR!BN158=0,"",SEKOR!BN158)</f>
        <v/>
      </c>
      <c r="E166" s="79" t="str">
        <f>SEKOR!BP158</f>
        <v/>
      </c>
      <c r="F166" s="79" t="str">
        <f>SEKOR!BQ158</f>
        <v/>
      </c>
      <c r="G166" s="79" t="str">
        <f>SEKOR!BR158</f>
        <v/>
      </c>
      <c r="H166" s="79" t="str">
        <f>IF(SEKOR!BT158=0,"",SEKOR!BT158)</f>
        <v/>
      </c>
    </row>
    <row r="167" spans="1:8" ht="21.75" hidden="1" customHeight="1" x14ac:dyDescent="0.25">
      <c r="A167" s="78">
        <v>157</v>
      </c>
      <c r="B167" s="103" t="str">
        <f>IF(SEKOR!C159="","",SEKOR!C159)</f>
        <v/>
      </c>
      <c r="C167" s="104" t="str">
        <f>IF(SEKOR!B159="","",SEKOR!B159)</f>
        <v/>
      </c>
      <c r="D167" s="78" t="str">
        <f>IF(SEKOR!BN159=0,"",SEKOR!BN159)</f>
        <v/>
      </c>
      <c r="E167" s="79" t="str">
        <f>SEKOR!BP159</f>
        <v/>
      </c>
      <c r="F167" s="79" t="str">
        <f>SEKOR!BQ159</f>
        <v/>
      </c>
      <c r="G167" s="79" t="str">
        <f>SEKOR!BR159</f>
        <v/>
      </c>
      <c r="H167" s="79" t="str">
        <f>IF(SEKOR!BT159=0,"",SEKOR!BT159)</f>
        <v/>
      </c>
    </row>
    <row r="168" spans="1:8" ht="21.75" hidden="1" customHeight="1" x14ac:dyDescent="0.25">
      <c r="A168" s="78">
        <v>158</v>
      </c>
      <c r="B168" s="103" t="str">
        <f>IF(SEKOR!C160="","",SEKOR!C160)</f>
        <v/>
      </c>
      <c r="C168" s="104" t="str">
        <f>IF(SEKOR!B160="","",SEKOR!B160)</f>
        <v/>
      </c>
      <c r="D168" s="78" t="str">
        <f>IF(SEKOR!BN160=0,"",SEKOR!BN160)</f>
        <v/>
      </c>
      <c r="E168" s="79" t="str">
        <f>SEKOR!BP160</f>
        <v/>
      </c>
      <c r="F168" s="79" t="str">
        <f>SEKOR!BQ160</f>
        <v/>
      </c>
      <c r="G168" s="79" t="str">
        <f>SEKOR!BR160</f>
        <v/>
      </c>
      <c r="H168" s="79" t="str">
        <f>IF(SEKOR!BT160=0,"",SEKOR!BT160)</f>
        <v/>
      </c>
    </row>
    <row r="169" spans="1:8" ht="21.75" hidden="1" customHeight="1" x14ac:dyDescent="0.25">
      <c r="A169" s="78">
        <v>159</v>
      </c>
      <c r="B169" s="103" t="str">
        <f>IF(SEKOR!C161="","",SEKOR!C161)</f>
        <v/>
      </c>
      <c r="C169" s="104" t="str">
        <f>IF(SEKOR!B161="","",SEKOR!B161)</f>
        <v/>
      </c>
      <c r="D169" s="78" t="str">
        <f>IF(SEKOR!BN161=0,"",SEKOR!BN161)</f>
        <v/>
      </c>
      <c r="E169" s="79" t="str">
        <f>SEKOR!BP161</f>
        <v/>
      </c>
      <c r="F169" s="79" t="str">
        <f>SEKOR!BQ161</f>
        <v/>
      </c>
      <c r="G169" s="79" t="str">
        <f>SEKOR!BR161</f>
        <v/>
      </c>
      <c r="H169" s="79" t="str">
        <f>IF(SEKOR!BT161=0,"",SEKOR!BT161)</f>
        <v/>
      </c>
    </row>
    <row r="170" spans="1:8" ht="21.75" hidden="1" customHeight="1" x14ac:dyDescent="0.25">
      <c r="A170" s="78">
        <v>160</v>
      </c>
      <c r="B170" s="103" t="str">
        <f>IF(SEKOR!C162="","",SEKOR!C162)</f>
        <v/>
      </c>
      <c r="C170" s="104" t="str">
        <f>IF(SEKOR!B162="","",SEKOR!B162)</f>
        <v/>
      </c>
      <c r="D170" s="78" t="str">
        <f>IF(SEKOR!BN162=0,"",SEKOR!BN162)</f>
        <v/>
      </c>
      <c r="E170" s="79" t="str">
        <f>SEKOR!BP162</f>
        <v/>
      </c>
      <c r="F170" s="79" t="str">
        <f>SEKOR!BQ162</f>
        <v/>
      </c>
      <c r="G170" s="79" t="str">
        <f>SEKOR!BR162</f>
        <v/>
      </c>
      <c r="H170" s="79" t="str">
        <f>IF(SEKOR!BT162=0,"",SEKOR!BT162)</f>
        <v/>
      </c>
    </row>
    <row r="171" spans="1:8" ht="21.75" hidden="1" customHeight="1" x14ac:dyDescent="0.25">
      <c r="A171" s="78">
        <v>161</v>
      </c>
      <c r="B171" s="103" t="str">
        <f>IF(SEKOR!C163="","",SEKOR!C163)</f>
        <v/>
      </c>
      <c r="C171" s="104" t="str">
        <f>IF(SEKOR!B163="","",SEKOR!B163)</f>
        <v/>
      </c>
      <c r="D171" s="78" t="str">
        <f>IF(SEKOR!BN163=0,"",SEKOR!BN163)</f>
        <v/>
      </c>
      <c r="E171" s="79" t="str">
        <f>SEKOR!BP163</f>
        <v/>
      </c>
      <c r="F171" s="79" t="str">
        <f>SEKOR!BQ163</f>
        <v/>
      </c>
      <c r="G171" s="79" t="str">
        <f>SEKOR!BR163</f>
        <v/>
      </c>
      <c r="H171" s="79" t="str">
        <f>IF(SEKOR!BT163=0,"",SEKOR!BT163)</f>
        <v/>
      </c>
    </row>
    <row r="172" spans="1:8" ht="21.75" hidden="1" customHeight="1" x14ac:dyDescent="0.25">
      <c r="A172" s="78">
        <v>162</v>
      </c>
      <c r="B172" s="103" t="str">
        <f>IF(SEKOR!C164="","",SEKOR!C164)</f>
        <v/>
      </c>
      <c r="C172" s="104" t="str">
        <f>IF(SEKOR!B164="","",SEKOR!B164)</f>
        <v/>
      </c>
      <c r="D172" s="78" t="str">
        <f>IF(SEKOR!BN164=0,"",SEKOR!BN164)</f>
        <v/>
      </c>
      <c r="E172" s="79" t="str">
        <f>SEKOR!BP164</f>
        <v/>
      </c>
      <c r="F172" s="79" t="str">
        <f>SEKOR!BQ164</f>
        <v/>
      </c>
      <c r="G172" s="79" t="str">
        <f>SEKOR!BR164</f>
        <v/>
      </c>
      <c r="H172" s="79" t="str">
        <f>IF(SEKOR!BT164=0,"",SEKOR!BT164)</f>
        <v/>
      </c>
    </row>
    <row r="173" spans="1:8" ht="21.75" hidden="1" customHeight="1" x14ac:dyDescent="0.25">
      <c r="A173" s="78">
        <v>163</v>
      </c>
      <c r="B173" s="103" t="str">
        <f>IF(SEKOR!C165="","",SEKOR!C165)</f>
        <v/>
      </c>
      <c r="C173" s="104" t="str">
        <f>IF(SEKOR!B165="","",SEKOR!B165)</f>
        <v/>
      </c>
      <c r="D173" s="78" t="str">
        <f>IF(SEKOR!BN165=0,"",SEKOR!BN165)</f>
        <v/>
      </c>
      <c r="E173" s="79" t="str">
        <f>SEKOR!BP165</f>
        <v/>
      </c>
      <c r="F173" s="79" t="str">
        <f>SEKOR!BQ165</f>
        <v/>
      </c>
      <c r="G173" s="79" t="str">
        <f>SEKOR!BR165</f>
        <v/>
      </c>
      <c r="H173" s="79" t="str">
        <f>IF(SEKOR!BT165=0,"",SEKOR!BT165)</f>
        <v/>
      </c>
    </row>
    <row r="174" spans="1:8" ht="21.75" hidden="1" customHeight="1" x14ac:dyDescent="0.25">
      <c r="A174" s="78">
        <v>164</v>
      </c>
      <c r="B174" s="103" t="str">
        <f>IF(SEKOR!C166="","",SEKOR!C166)</f>
        <v/>
      </c>
      <c r="C174" s="104" t="str">
        <f>IF(SEKOR!B166="","",SEKOR!B166)</f>
        <v/>
      </c>
      <c r="D174" s="78" t="str">
        <f>IF(SEKOR!BN166=0,"",SEKOR!BN166)</f>
        <v/>
      </c>
      <c r="E174" s="79" t="str">
        <f>SEKOR!BP166</f>
        <v/>
      </c>
      <c r="F174" s="79" t="str">
        <f>SEKOR!BQ166</f>
        <v/>
      </c>
      <c r="G174" s="79" t="str">
        <f>SEKOR!BR166</f>
        <v/>
      </c>
      <c r="H174" s="79" t="str">
        <f>IF(SEKOR!BT166=0,"",SEKOR!BT166)</f>
        <v/>
      </c>
    </row>
    <row r="175" spans="1:8" ht="21.75" hidden="1" customHeight="1" x14ac:dyDescent="0.25">
      <c r="A175" s="78">
        <v>165</v>
      </c>
      <c r="B175" s="103" t="str">
        <f>IF(SEKOR!C167="","",SEKOR!C167)</f>
        <v/>
      </c>
      <c r="C175" s="104" t="str">
        <f>IF(SEKOR!B167="","",SEKOR!B167)</f>
        <v/>
      </c>
      <c r="D175" s="78" t="str">
        <f>IF(SEKOR!BN167=0,"",SEKOR!BN167)</f>
        <v/>
      </c>
      <c r="E175" s="79" t="str">
        <f>SEKOR!BP167</f>
        <v/>
      </c>
      <c r="F175" s="79" t="str">
        <f>SEKOR!BQ167</f>
        <v/>
      </c>
      <c r="G175" s="79" t="str">
        <f>SEKOR!BR167</f>
        <v/>
      </c>
      <c r="H175" s="79" t="str">
        <f>IF(SEKOR!BT167=0,"",SEKOR!BT167)</f>
        <v/>
      </c>
    </row>
    <row r="176" spans="1:8" ht="21.75" hidden="1" customHeight="1" x14ac:dyDescent="0.25">
      <c r="A176" s="78">
        <v>166</v>
      </c>
      <c r="B176" s="103" t="str">
        <f>IF(SEKOR!C168="","",SEKOR!C168)</f>
        <v/>
      </c>
      <c r="C176" s="104" t="str">
        <f>IF(SEKOR!B168="","",SEKOR!B168)</f>
        <v/>
      </c>
      <c r="D176" s="78" t="str">
        <f>IF(SEKOR!BN168=0,"",SEKOR!BN168)</f>
        <v/>
      </c>
      <c r="E176" s="79" t="str">
        <f>SEKOR!BP168</f>
        <v/>
      </c>
      <c r="F176" s="79" t="str">
        <f>SEKOR!BQ168</f>
        <v/>
      </c>
      <c r="G176" s="79" t="str">
        <f>SEKOR!BR168</f>
        <v/>
      </c>
      <c r="H176" s="79" t="str">
        <f>IF(SEKOR!BT168=0,"",SEKOR!BT168)</f>
        <v/>
      </c>
    </row>
    <row r="177" spans="1:8" ht="21.75" hidden="1" customHeight="1" x14ac:dyDescent="0.25">
      <c r="A177" s="78">
        <v>167</v>
      </c>
      <c r="B177" s="103" t="str">
        <f>IF(SEKOR!C169="","",SEKOR!C169)</f>
        <v/>
      </c>
      <c r="C177" s="104" t="str">
        <f>IF(SEKOR!B169="","",SEKOR!B169)</f>
        <v/>
      </c>
      <c r="D177" s="78" t="str">
        <f>IF(SEKOR!BN169=0,"",SEKOR!BN169)</f>
        <v/>
      </c>
      <c r="E177" s="79" t="str">
        <f>SEKOR!BP169</f>
        <v/>
      </c>
      <c r="F177" s="79" t="str">
        <f>SEKOR!BQ169</f>
        <v/>
      </c>
      <c r="G177" s="79" t="str">
        <f>SEKOR!BR169</f>
        <v/>
      </c>
      <c r="H177" s="79" t="str">
        <f>IF(SEKOR!BT169=0,"",SEKOR!BT169)</f>
        <v/>
      </c>
    </row>
    <row r="178" spans="1:8" ht="21.75" hidden="1" customHeight="1" x14ac:dyDescent="0.25">
      <c r="A178" s="78">
        <v>168</v>
      </c>
      <c r="B178" s="103" t="str">
        <f>IF(SEKOR!C170="","",SEKOR!C170)</f>
        <v/>
      </c>
      <c r="C178" s="104" t="str">
        <f>IF(SEKOR!B170="","",SEKOR!B170)</f>
        <v/>
      </c>
      <c r="D178" s="78" t="str">
        <f>IF(SEKOR!BN170=0,"",SEKOR!BN170)</f>
        <v/>
      </c>
      <c r="E178" s="79" t="str">
        <f>SEKOR!BP170</f>
        <v/>
      </c>
      <c r="F178" s="79" t="str">
        <f>SEKOR!BQ170</f>
        <v/>
      </c>
      <c r="G178" s="79" t="str">
        <f>SEKOR!BR170</f>
        <v/>
      </c>
      <c r="H178" s="79" t="str">
        <f>IF(SEKOR!BT170=0,"",SEKOR!BT170)</f>
        <v/>
      </c>
    </row>
    <row r="179" spans="1:8" ht="21.75" hidden="1" customHeight="1" x14ac:dyDescent="0.25">
      <c r="A179" s="78">
        <v>169</v>
      </c>
      <c r="B179" s="103" t="str">
        <f>IF(SEKOR!C171="","",SEKOR!C171)</f>
        <v/>
      </c>
      <c r="C179" s="104" t="str">
        <f>IF(SEKOR!B171="","",SEKOR!B171)</f>
        <v/>
      </c>
      <c r="D179" s="78" t="str">
        <f>IF(SEKOR!BN171=0,"",SEKOR!BN171)</f>
        <v/>
      </c>
      <c r="E179" s="79" t="str">
        <f>SEKOR!BP171</f>
        <v/>
      </c>
      <c r="F179" s="79" t="str">
        <f>SEKOR!BQ171</f>
        <v/>
      </c>
      <c r="G179" s="79" t="str">
        <f>SEKOR!BR171</f>
        <v/>
      </c>
      <c r="H179" s="79" t="str">
        <f>IF(SEKOR!BT171=0,"",SEKOR!BT171)</f>
        <v/>
      </c>
    </row>
    <row r="180" spans="1:8" ht="21.75" hidden="1" customHeight="1" x14ac:dyDescent="0.25">
      <c r="A180" s="78">
        <v>170</v>
      </c>
      <c r="B180" s="103" t="str">
        <f>IF(SEKOR!C172="","",SEKOR!C172)</f>
        <v/>
      </c>
      <c r="C180" s="104" t="str">
        <f>IF(SEKOR!B172="","",SEKOR!B172)</f>
        <v/>
      </c>
      <c r="D180" s="78" t="str">
        <f>IF(SEKOR!BN172=0,"",SEKOR!BN172)</f>
        <v/>
      </c>
      <c r="E180" s="79" t="str">
        <f>SEKOR!BP172</f>
        <v/>
      </c>
      <c r="F180" s="79" t="str">
        <f>SEKOR!BQ172</f>
        <v/>
      </c>
      <c r="G180" s="79" t="str">
        <f>SEKOR!BR172</f>
        <v/>
      </c>
      <c r="H180" s="79" t="str">
        <f>IF(SEKOR!BT172=0,"",SEKOR!BT172)</f>
        <v/>
      </c>
    </row>
    <row r="181" spans="1:8" ht="21.75" hidden="1" customHeight="1" x14ac:dyDescent="0.25">
      <c r="A181" s="78">
        <v>171</v>
      </c>
      <c r="B181" s="103" t="str">
        <f>IF(SEKOR!C173="","",SEKOR!C173)</f>
        <v/>
      </c>
      <c r="C181" s="104" t="str">
        <f>IF(SEKOR!B173="","",SEKOR!B173)</f>
        <v/>
      </c>
      <c r="D181" s="78" t="str">
        <f>IF(SEKOR!BN173=0,"",SEKOR!BN173)</f>
        <v/>
      </c>
      <c r="E181" s="79" t="str">
        <f>SEKOR!BP173</f>
        <v/>
      </c>
      <c r="F181" s="79" t="str">
        <f>SEKOR!BQ173</f>
        <v/>
      </c>
      <c r="G181" s="79" t="str">
        <f>SEKOR!BR173</f>
        <v/>
      </c>
      <c r="H181" s="79" t="str">
        <f>IF(SEKOR!BT173=0,"",SEKOR!BT173)</f>
        <v/>
      </c>
    </row>
    <row r="182" spans="1:8" ht="21.75" hidden="1" customHeight="1" x14ac:dyDescent="0.25">
      <c r="A182" s="78">
        <v>172</v>
      </c>
      <c r="B182" s="103" t="str">
        <f>IF(SEKOR!C174="","",SEKOR!C174)</f>
        <v/>
      </c>
      <c r="C182" s="104" t="str">
        <f>IF(SEKOR!B174="","",SEKOR!B174)</f>
        <v/>
      </c>
      <c r="D182" s="78" t="str">
        <f>IF(SEKOR!BN174=0,"",SEKOR!BN174)</f>
        <v/>
      </c>
      <c r="E182" s="79" t="str">
        <f>SEKOR!BP174</f>
        <v/>
      </c>
      <c r="F182" s="79" t="str">
        <f>SEKOR!BQ174</f>
        <v/>
      </c>
      <c r="G182" s="79" t="str">
        <f>SEKOR!BR174</f>
        <v/>
      </c>
      <c r="H182" s="79" t="str">
        <f>IF(SEKOR!BT174=0,"",SEKOR!BT174)</f>
        <v/>
      </c>
    </row>
    <row r="183" spans="1:8" ht="21.75" hidden="1" customHeight="1" x14ac:dyDescent="0.25">
      <c r="A183" s="78">
        <v>173</v>
      </c>
      <c r="B183" s="103" t="str">
        <f>IF(SEKOR!C175="","",SEKOR!C175)</f>
        <v/>
      </c>
      <c r="C183" s="104" t="str">
        <f>IF(SEKOR!B175="","",SEKOR!B175)</f>
        <v/>
      </c>
      <c r="D183" s="78" t="str">
        <f>IF(SEKOR!BN175=0,"",SEKOR!BN175)</f>
        <v/>
      </c>
      <c r="E183" s="79" t="str">
        <f>SEKOR!BP175</f>
        <v/>
      </c>
      <c r="F183" s="79" t="str">
        <f>SEKOR!BQ175</f>
        <v/>
      </c>
      <c r="G183" s="79" t="str">
        <f>SEKOR!BR175</f>
        <v/>
      </c>
      <c r="H183" s="79" t="str">
        <f>IF(SEKOR!BT175=0,"",SEKOR!BT175)</f>
        <v/>
      </c>
    </row>
    <row r="184" spans="1:8" ht="21.75" hidden="1" customHeight="1" x14ac:dyDescent="0.25">
      <c r="A184" s="78">
        <v>174</v>
      </c>
      <c r="B184" s="103" t="str">
        <f>IF(SEKOR!C176="","",SEKOR!C176)</f>
        <v/>
      </c>
      <c r="C184" s="104" t="str">
        <f>IF(SEKOR!B176="","",SEKOR!B176)</f>
        <v/>
      </c>
      <c r="D184" s="78" t="str">
        <f>IF(SEKOR!BN176=0,"",SEKOR!BN176)</f>
        <v/>
      </c>
      <c r="E184" s="79" t="str">
        <f>SEKOR!BP176</f>
        <v/>
      </c>
      <c r="F184" s="79" t="str">
        <f>SEKOR!BQ176</f>
        <v/>
      </c>
      <c r="G184" s="79" t="str">
        <f>SEKOR!BR176</f>
        <v/>
      </c>
      <c r="H184" s="79" t="str">
        <f>IF(SEKOR!BT176=0,"",SEKOR!BT176)</f>
        <v/>
      </c>
    </row>
    <row r="185" spans="1:8" ht="21.75" hidden="1" customHeight="1" x14ac:dyDescent="0.25">
      <c r="A185" s="78">
        <v>175</v>
      </c>
      <c r="B185" s="103" t="str">
        <f>IF(SEKOR!C177="","",SEKOR!C177)</f>
        <v/>
      </c>
      <c r="C185" s="104" t="str">
        <f>IF(SEKOR!B177="","",SEKOR!B177)</f>
        <v/>
      </c>
      <c r="D185" s="78" t="str">
        <f>IF(SEKOR!BN177=0,"",SEKOR!BN177)</f>
        <v/>
      </c>
      <c r="E185" s="79" t="str">
        <f>SEKOR!BP177</f>
        <v/>
      </c>
      <c r="F185" s="79" t="str">
        <f>SEKOR!BQ177</f>
        <v/>
      </c>
      <c r="G185" s="79" t="str">
        <f>SEKOR!BR177</f>
        <v/>
      </c>
      <c r="H185" s="79" t="str">
        <f>IF(SEKOR!BT177=0,"",SEKOR!BT177)</f>
        <v/>
      </c>
    </row>
    <row r="186" spans="1:8" ht="21.75" hidden="1" customHeight="1" x14ac:dyDescent="0.25">
      <c r="A186" s="78">
        <v>176</v>
      </c>
      <c r="B186" s="103" t="str">
        <f>IF(SEKOR!C178="","",SEKOR!C178)</f>
        <v/>
      </c>
      <c r="C186" s="104" t="str">
        <f>IF(SEKOR!B178="","",SEKOR!B178)</f>
        <v/>
      </c>
      <c r="D186" s="78" t="str">
        <f>IF(SEKOR!BN178=0,"",SEKOR!BN178)</f>
        <v/>
      </c>
      <c r="E186" s="79" t="str">
        <f>SEKOR!BP178</f>
        <v/>
      </c>
      <c r="F186" s="79" t="str">
        <f>SEKOR!BQ178</f>
        <v/>
      </c>
      <c r="G186" s="79" t="str">
        <f>SEKOR!BR178</f>
        <v/>
      </c>
      <c r="H186" s="79" t="str">
        <f>IF(SEKOR!BT178=0,"",SEKOR!BT178)</f>
        <v/>
      </c>
    </row>
    <row r="187" spans="1:8" ht="21.75" hidden="1" customHeight="1" x14ac:dyDescent="0.25">
      <c r="A187" s="78">
        <v>177</v>
      </c>
      <c r="B187" s="103" t="str">
        <f>IF(SEKOR!C179="","",SEKOR!C179)</f>
        <v/>
      </c>
      <c r="C187" s="104" t="str">
        <f>IF(SEKOR!B179="","",SEKOR!B179)</f>
        <v/>
      </c>
      <c r="D187" s="78" t="str">
        <f>IF(SEKOR!BN179=0,"",SEKOR!BN179)</f>
        <v/>
      </c>
      <c r="E187" s="79" t="str">
        <f>SEKOR!BP179</f>
        <v/>
      </c>
      <c r="F187" s="79" t="str">
        <f>SEKOR!BQ179</f>
        <v/>
      </c>
      <c r="G187" s="79" t="str">
        <f>SEKOR!BR179</f>
        <v/>
      </c>
      <c r="H187" s="79" t="str">
        <f>IF(SEKOR!BT179=0,"",SEKOR!BT179)</f>
        <v/>
      </c>
    </row>
    <row r="188" spans="1:8" ht="21.75" hidden="1" customHeight="1" x14ac:dyDescent="0.25">
      <c r="A188" s="78">
        <v>178</v>
      </c>
      <c r="B188" s="103" t="str">
        <f>IF(SEKOR!C180="","",SEKOR!C180)</f>
        <v/>
      </c>
      <c r="C188" s="104" t="str">
        <f>IF(SEKOR!B180="","",SEKOR!B180)</f>
        <v/>
      </c>
      <c r="D188" s="78" t="str">
        <f>IF(SEKOR!BN180=0,"",SEKOR!BN180)</f>
        <v/>
      </c>
      <c r="E188" s="79" t="str">
        <f>SEKOR!BP180</f>
        <v/>
      </c>
      <c r="F188" s="79" t="str">
        <f>SEKOR!BQ180</f>
        <v/>
      </c>
      <c r="G188" s="79" t="str">
        <f>SEKOR!BR180</f>
        <v/>
      </c>
      <c r="H188" s="79" t="str">
        <f>IF(SEKOR!BT180=0,"",SEKOR!BT180)</f>
        <v/>
      </c>
    </row>
    <row r="189" spans="1:8" ht="21.75" hidden="1" customHeight="1" x14ac:dyDescent="0.25">
      <c r="A189" s="78">
        <v>179</v>
      </c>
      <c r="B189" s="103" t="str">
        <f>IF(SEKOR!C181="","",SEKOR!C181)</f>
        <v/>
      </c>
      <c r="C189" s="104" t="str">
        <f>IF(SEKOR!B181="","",SEKOR!B181)</f>
        <v/>
      </c>
      <c r="D189" s="78" t="str">
        <f>IF(SEKOR!BN181=0,"",SEKOR!BN181)</f>
        <v/>
      </c>
      <c r="E189" s="79" t="str">
        <f>SEKOR!BP181</f>
        <v/>
      </c>
      <c r="F189" s="79" t="str">
        <f>SEKOR!BQ181</f>
        <v/>
      </c>
      <c r="G189" s="79" t="str">
        <f>SEKOR!BR181</f>
        <v/>
      </c>
      <c r="H189" s="79" t="str">
        <f>IF(SEKOR!BT181=0,"",SEKOR!BT181)</f>
        <v/>
      </c>
    </row>
    <row r="190" spans="1:8" ht="21.75" hidden="1" customHeight="1" x14ac:dyDescent="0.25">
      <c r="A190" s="78">
        <v>180</v>
      </c>
      <c r="B190" s="103" t="str">
        <f>IF(SEKOR!C182="","",SEKOR!C182)</f>
        <v/>
      </c>
      <c r="C190" s="104" t="str">
        <f>IF(SEKOR!B182="","",SEKOR!B182)</f>
        <v/>
      </c>
      <c r="D190" s="78" t="str">
        <f>IF(SEKOR!BN182=0,"",SEKOR!BN182)</f>
        <v/>
      </c>
      <c r="E190" s="79" t="str">
        <f>SEKOR!BP182</f>
        <v/>
      </c>
      <c r="F190" s="79" t="str">
        <f>SEKOR!BQ182</f>
        <v/>
      </c>
      <c r="G190" s="79" t="str">
        <f>SEKOR!BR182</f>
        <v/>
      </c>
      <c r="H190" s="79" t="str">
        <f>IF(SEKOR!BT182=0,"",SEKOR!BT182)</f>
        <v/>
      </c>
    </row>
    <row r="191" spans="1:8" ht="21.75" hidden="1" customHeight="1" x14ac:dyDescent="0.25">
      <c r="A191" s="78">
        <v>181</v>
      </c>
      <c r="B191" s="103" t="str">
        <f>IF(SEKOR!C183="","",SEKOR!C183)</f>
        <v/>
      </c>
      <c r="C191" s="104" t="str">
        <f>IF(SEKOR!B183="","",SEKOR!B183)</f>
        <v/>
      </c>
      <c r="D191" s="78" t="str">
        <f>IF(SEKOR!BN183=0,"",SEKOR!BN183)</f>
        <v/>
      </c>
      <c r="E191" s="79" t="str">
        <f>SEKOR!BP183</f>
        <v/>
      </c>
      <c r="F191" s="79" t="str">
        <f>SEKOR!BQ183</f>
        <v/>
      </c>
      <c r="G191" s="79" t="str">
        <f>SEKOR!BR183</f>
        <v/>
      </c>
      <c r="H191" s="79" t="str">
        <f>IF(SEKOR!BT183=0,"",SEKOR!BT183)</f>
        <v/>
      </c>
    </row>
    <row r="192" spans="1:8" ht="21.75" hidden="1" customHeight="1" x14ac:dyDescent="0.25">
      <c r="A192" s="78">
        <v>182</v>
      </c>
      <c r="B192" s="103" t="str">
        <f>IF(SEKOR!C184="","",SEKOR!C184)</f>
        <v/>
      </c>
      <c r="C192" s="104" t="str">
        <f>IF(SEKOR!B184="","",SEKOR!B184)</f>
        <v/>
      </c>
      <c r="D192" s="78" t="str">
        <f>IF(SEKOR!BN184=0,"",SEKOR!BN184)</f>
        <v/>
      </c>
      <c r="E192" s="79" t="str">
        <f>SEKOR!BP184</f>
        <v/>
      </c>
      <c r="F192" s="79" t="str">
        <f>SEKOR!BQ184</f>
        <v/>
      </c>
      <c r="G192" s="79" t="str">
        <f>SEKOR!BR184</f>
        <v/>
      </c>
      <c r="H192" s="79" t="str">
        <f>IF(SEKOR!BT184=0,"",SEKOR!BT184)</f>
        <v/>
      </c>
    </row>
    <row r="193" spans="1:8" ht="21.75" hidden="1" customHeight="1" x14ac:dyDescent="0.25">
      <c r="A193" s="78">
        <v>183</v>
      </c>
      <c r="B193" s="103" t="str">
        <f>IF(SEKOR!C185="","",SEKOR!C185)</f>
        <v/>
      </c>
      <c r="C193" s="104" t="str">
        <f>IF(SEKOR!B185="","",SEKOR!B185)</f>
        <v/>
      </c>
      <c r="D193" s="78" t="str">
        <f>IF(SEKOR!BN185=0,"",SEKOR!BN185)</f>
        <v/>
      </c>
      <c r="E193" s="79" t="str">
        <f>SEKOR!BP185</f>
        <v/>
      </c>
      <c r="F193" s="79" t="str">
        <f>SEKOR!BQ185</f>
        <v/>
      </c>
      <c r="G193" s="79" t="str">
        <f>SEKOR!BR185</f>
        <v/>
      </c>
      <c r="H193" s="79" t="str">
        <f>IF(SEKOR!BT185=0,"",SEKOR!BT185)</f>
        <v/>
      </c>
    </row>
    <row r="194" spans="1:8" ht="21.75" hidden="1" customHeight="1" x14ac:dyDescent="0.25">
      <c r="A194" s="78">
        <v>184</v>
      </c>
      <c r="B194" s="103" t="str">
        <f>IF(SEKOR!C186="","",SEKOR!C186)</f>
        <v/>
      </c>
      <c r="C194" s="104" t="str">
        <f>IF(SEKOR!B186="","",SEKOR!B186)</f>
        <v/>
      </c>
      <c r="D194" s="78" t="str">
        <f>IF(SEKOR!BN186=0,"",SEKOR!BN186)</f>
        <v/>
      </c>
      <c r="E194" s="79" t="str">
        <f>SEKOR!BP186</f>
        <v/>
      </c>
      <c r="F194" s="79" t="str">
        <f>SEKOR!BQ186</f>
        <v/>
      </c>
      <c r="G194" s="79" t="str">
        <f>SEKOR!BR186</f>
        <v/>
      </c>
      <c r="H194" s="79" t="str">
        <f>IF(SEKOR!BT186=0,"",SEKOR!BT186)</f>
        <v/>
      </c>
    </row>
    <row r="195" spans="1:8" ht="21.75" hidden="1" customHeight="1" x14ac:dyDescent="0.25">
      <c r="A195" s="78">
        <v>185</v>
      </c>
      <c r="B195" s="103" t="str">
        <f>IF(SEKOR!C187="","",SEKOR!C187)</f>
        <v/>
      </c>
      <c r="C195" s="104" t="str">
        <f>IF(SEKOR!B187="","",SEKOR!B187)</f>
        <v/>
      </c>
      <c r="D195" s="78" t="str">
        <f>IF(SEKOR!BN187=0,"",SEKOR!BN187)</f>
        <v/>
      </c>
      <c r="E195" s="79" t="str">
        <f>SEKOR!BP187</f>
        <v/>
      </c>
      <c r="F195" s="79" t="str">
        <f>SEKOR!BQ187</f>
        <v/>
      </c>
      <c r="G195" s="79" t="str">
        <f>SEKOR!BR187</f>
        <v/>
      </c>
      <c r="H195" s="79" t="str">
        <f>IF(SEKOR!BT187=0,"",SEKOR!BT187)</f>
        <v/>
      </c>
    </row>
    <row r="196" spans="1:8" ht="21.75" hidden="1" customHeight="1" x14ac:dyDescent="0.25">
      <c r="A196" s="78">
        <v>186</v>
      </c>
      <c r="B196" s="103" t="str">
        <f>IF(SEKOR!C188="","",SEKOR!C188)</f>
        <v/>
      </c>
      <c r="C196" s="104" t="str">
        <f>IF(SEKOR!B188="","",SEKOR!B188)</f>
        <v/>
      </c>
      <c r="D196" s="78" t="str">
        <f>IF(SEKOR!BN188=0,"",SEKOR!BN188)</f>
        <v/>
      </c>
      <c r="E196" s="79" t="str">
        <f>SEKOR!BP188</f>
        <v/>
      </c>
      <c r="F196" s="79" t="str">
        <f>SEKOR!BQ188</f>
        <v/>
      </c>
      <c r="G196" s="79" t="str">
        <f>SEKOR!BR188</f>
        <v/>
      </c>
      <c r="H196" s="79" t="str">
        <f>IF(SEKOR!BT188=0,"",SEKOR!BT188)</f>
        <v/>
      </c>
    </row>
    <row r="197" spans="1:8" ht="21.75" hidden="1" customHeight="1" x14ac:dyDescent="0.25">
      <c r="A197" s="78">
        <v>187</v>
      </c>
      <c r="B197" s="103" t="str">
        <f>IF(SEKOR!C189="","",SEKOR!C189)</f>
        <v/>
      </c>
      <c r="C197" s="104" t="str">
        <f>IF(SEKOR!B189="","",SEKOR!B189)</f>
        <v/>
      </c>
      <c r="D197" s="78" t="str">
        <f>IF(SEKOR!BN189=0,"",SEKOR!BN189)</f>
        <v/>
      </c>
      <c r="E197" s="79" t="str">
        <f>SEKOR!BP189</f>
        <v/>
      </c>
      <c r="F197" s="79" t="str">
        <f>SEKOR!BQ189</f>
        <v/>
      </c>
      <c r="G197" s="79" t="str">
        <f>SEKOR!BR189</f>
        <v/>
      </c>
      <c r="H197" s="79" t="str">
        <f>IF(SEKOR!BT189=0,"",SEKOR!BT189)</f>
        <v/>
      </c>
    </row>
    <row r="198" spans="1:8" ht="21.75" hidden="1" customHeight="1" x14ac:dyDescent="0.25">
      <c r="A198" s="78">
        <v>188</v>
      </c>
      <c r="B198" s="103" t="str">
        <f>IF(SEKOR!C190="","",SEKOR!C190)</f>
        <v/>
      </c>
      <c r="C198" s="104" t="str">
        <f>IF(SEKOR!B190="","",SEKOR!B190)</f>
        <v/>
      </c>
      <c r="D198" s="78" t="str">
        <f>IF(SEKOR!BN190=0,"",SEKOR!BN190)</f>
        <v/>
      </c>
      <c r="E198" s="79" t="str">
        <f>SEKOR!BP190</f>
        <v/>
      </c>
      <c r="F198" s="79" t="str">
        <f>SEKOR!BQ190</f>
        <v/>
      </c>
      <c r="G198" s="79" t="str">
        <f>SEKOR!BR190</f>
        <v/>
      </c>
      <c r="H198" s="79" t="str">
        <f>IF(SEKOR!BT190=0,"",SEKOR!BT190)</f>
        <v/>
      </c>
    </row>
    <row r="199" spans="1:8" ht="21.75" hidden="1" customHeight="1" x14ac:dyDescent="0.25">
      <c r="A199" s="78">
        <v>189</v>
      </c>
      <c r="B199" s="103" t="str">
        <f>IF(SEKOR!C191="","",SEKOR!C191)</f>
        <v/>
      </c>
      <c r="C199" s="104" t="str">
        <f>IF(SEKOR!B191="","",SEKOR!B191)</f>
        <v/>
      </c>
      <c r="D199" s="78" t="str">
        <f>IF(SEKOR!BN191=0,"",SEKOR!BN191)</f>
        <v/>
      </c>
      <c r="E199" s="79" t="str">
        <f>SEKOR!BP191</f>
        <v/>
      </c>
      <c r="F199" s="79" t="str">
        <f>SEKOR!BQ191</f>
        <v/>
      </c>
      <c r="G199" s="79" t="str">
        <f>SEKOR!BR191</f>
        <v/>
      </c>
      <c r="H199" s="79" t="str">
        <f>IF(SEKOR!BT191=0,"",SEKOR!BT191)</f>
        <v/>
      </c>
    </row>
    <row r="200" spans="1:8" ht="21.75" hidden="1" customHeight="1" x14ac:dyDescent="0.25">
      <c r="A200" s="78">
        <v>190</v>
      </c>
      <c r="B200" s="103" t="str">
        <f>IF(SEKOR!C192="","",SEKOR!C192)</f>
        <v/>
      </c>
      <c r="C200" s="104" t="str">
        <f>IF(SEKOR!B192="","",SEKOR!B192)</f>
        <v/>
      </c>
      <c r="D200" s="78" t="str">
        <f>IF(SEKOR!BN192=0,"",SEKOR!BN192)</f>
        <v/>
      </c>
      <c r="E200" s="79" t="str">
        <f>SEKOR!BP192</f>
        <v/>
      </c>
      <c r="F200" s="79" t="str">
        <f>SEKOR!BQ192</f>
        <v/>
      </c>
      <c r="G200" s="79" t="str">
        <f>SEKOR!BR192</f>
        <v/>
      </c>
      <c r="H200" s="79" t="str">
        <f>IF(SEKOR!BT192=0,"",SEKOR!BT192)</f>
        <v/>
      </c>
    </row>
    <row r="201" spans="1:8" ht="21.75" hidden="1" customHeight="1" x14ac:dyDescent="0.25">
      <c r="A201" s="78">
        <v>191</v>
      </c>
      <c r="B201" s="103" t="str">
        <f>IF(SEKOR!C193="","",SEKOR!C193)</f>
        <v/>
      </c>
      <c r="C201" s="104" t="str">
        <f>IF(SEKOR!B193="","",SEKOR!B193)</f>
        <v/>
      </c>
      <c r="D201" s="78" t="str">
        <f>IF(SEKOR!BN193=0,"",SEKOR!BN193)</f>
        <v/>
      </c>
      <c r="E201" s="79" t="str">
        <f>SEKOR!BP193</f>
        <v/>
      </c>
      <c r="F201" s="79" t="str">
        <f>SEKOR!BQ193</f>
        <v/>
      </c>
      <c r="G201" s="79" t="str">
        <f>SEKOR!BR193</f>
        <v/>
      </c>
      <c r="H201" s="79" t="str">
        <f>IF(SEKOR!BT193=0,"",SEKOR!BT193)</f>
        <v/>
      </c>
    </row>
    <row r="202" spans="1:8" ht="21.75" hidden="1" customHeight="1" x14ac:dyDescent="0.25">
      <c r="A202" s="78">
        <v>192</v>
      </c>
      <c r="B202" s="103" t="str">
        <f>IF(SEKOR!C194="","",SEKOR!C194)</f>
        <v/>
      </c>
      <c r="C202" s="104" t="str">
        <f>IF(SEKOR!B194="","",SEKOR!B194)</f>
        <v/>
      </c>
      <c r="D202" s="78" t="str">
        <f>IF(SEKOR!BN194=0,"",SEKOR!BN194)</f>
        <v/>
      </c>
      <c r="E202" s="79" t="str">
        <f>SEKOR!BP194</f>
        <v/>
      </c>
      <c r="F202" s="79" t="str">
        <f>SEKOR!BQ194</f>
        <v/>
      </c>
      <c r="G202" s="79" t="str">
        <f>SEKOR!BR194</f>
        <v/>
      </c>
      <c r="H202" s="79" t="str">
        <f>IF(SEKOR!BT194=0,"",SEKOR!BT194)</f>
        <v/>
      </c>
    </row>
    <row r="203" spans="1:8" ht="21.75" hidden="1" customHeight="1" x14ac:dyDescent="0.25">
      <c r="A203" s="78">
        <v>193</v>
      </c>
      <c r="B203" s="103" t="str">
        <f>IF(SEKOR!C195="","",SEKOR!C195)</f>
        <v/>
      </c>
      <c r="C203" s="104" t="str">
        <f>IF(SEKOR!B195="","",SEKOR!B195)</f>
        <v/>
      </c>
      <c r="D203" s="78" t="str">
        <f>IF(SEKOR!BN195=0,"",SEKOR!BN195)</f>
        <v/>
      </c>
      <c r="E203" s="79" t="str">
        <f>SEKOR!BP195</f>
        <v/>
      </c>
      <c r="F203" s="79" t="str">
        <f>SEKOR!BQ195</f>
        <v/>
      </c>
      <c r="G203" s="79" t="str">
        <f>SEKOR!BR195</f>
        <v/>
      </c>
      <c r="H203" s="79" t="str">
        <f>IF(SEKOR!BT195=0,"",SEKOR!BT195)</f>
        <v/>
      </c>
    </row>
    <row r="204" spans="1:8" ht="21.75" hidden="1" customHeight="1" x14ac:dyDescent="0.25">
      <c r="A204" s="78">
        <v>194</v>
      </c>
      <c r="B204" s="103" t="str">
        <f>IF(SEKOR!C196="","",SEKOR!C196)</f>
        <v/>
      </c>
      <c r="C204" s="104" t="str">
        <f>IF(SEKOR!B196="","",SEKOR!B196)</f>
        <v/>
      </c>
      <c r="D204" s="78" t="str">
        <f>IF(SEKOR!BN196=0,"",SEKOR!BN196)</f>
        <v/>
      </c>
      <c r="E204" s="79" t="str">
        <f>SEKOR!BP196</f>
        <v/>
      </c>
      <c r="F204" s="79" t="str">
        <f>SEKOR!BQ196</f>
        <v/>
      </c>
      <c r="G204" s="79" t="str">
        <f>SEKOR!BR196</f>
        <v/>
      </c>
      <c r="H204" s="79" t="str">
        <f>IF(SEKOR!BT196=0,"",SEKOR!BT196)</f>
        <v/>
      </c>
    </row>
    <row r="205" spans="1:8" ht="21.75" hidden="1" customHeight="1" x14ac:dyDescent="0.25">
      <c r="A205" s="78">
        <v>195</v>
      </c>
      <c r="B205" s="103" t="str">
        <f>IF(SEKOR!C197="","",SEKOR!C197)</f>
        <v/>
      </c>
      <c r="C205" s="104" t="str">
        <f>IF(SEKOR!B197="","",SEKOR!B197)</f>
        <v/>
      </c>
      <c r="D205" s="78" t="str">
        <f>IF(SEKOR!BN197=0,"",SEKOR!BN197)</f>
        <v/>
      </c>
      <c r="E205" s="79" t="str">
        <f>SEKOR!BP197</f>
        <v/>
      </c>
      <c r="F205" s="79" t="str">
        <f>SEKOR!BQ197</f>
        <v/>
      </c>
      <c r="G205" s="79" t="str">
        <f>SEKOR!BR197</f>
        <v/>
      </c>
      <c r="H205" s="79" t="str">
        <f>IF(SEKOR!BT197=0,"",SEKOR!BT197)</f>
        <v/>
      </c>
    </row>
    <row r="206" spans="1:8" ht="21.75" hidden="1" customHeight="1" x14ac:dyDescent="0.25">
      <c r="A206" s="78">
        <v>196</v>
      </c>
      <c r="B206" s="103" t="str">
        <f>IF(SEKOR!C198="","",SEKOR!C198)</f>
        <v/>
      </c>
      <c r="C206" s="104" t="str">
        <f>IF(SEKOR!B198="","",SEKOR!B198)</f>
        <v/>
      </c>
      <c r="D206" s="78" t="str">
        <f>IF(SEKOR!BN198=0,"",SEKOR!BN198)</f>
        <v/>
      </c>
      <c r="E206" s="79" t="str">
        <f>SEKOR!BP198</f>
        <v/>
      </c>
      <c r="F206" s="79" t="str">
        <f>SEKOR!BQ198</f>
        <v/>
      </c>
      <c r="G206" s="79" t="str">
        <f>SEKOR!BR198</f>
        <v/>
      </c>
      <c r="H206" s="79" t="str">
        <f>IF(SEKOR!BT198=0,"",SEKOR!BT198)</f>
        <v/>
      </c>
    </row>
    <row r="207" spans="1:8" ht="21.75" hidden="1" customHeight="1" x14ac:dyDescent="0.25">
      <c r="A207" s="78">
        <v>197</v>
      </c>
      <c r="B207" s="103" t="str">
        <f>IF(SEKOR!C199="","",SEKOR!C199)</f>
        <v/>
      </c>
      <c r="C207" s="104" t="str">
        <f>IF(SEKOR!B199="","",SEKOR!B199)</f>
        <v/>
      </c>
      <c r="D207" s="78" t="str">
        <f>IF(SEKOR!BN199=0,"",SEKOR!BN199)</f>
        <v/>
      </c>
      <c r="E207" s="79" t="str">
        <f>SEKOR!BP199</f>
        <v/>
      </c>
      <c r="F207" s="79" t="str">
        <f>SEKOR!BQ199</f>
        <v/>
      </c>
      <c r="G207" s="79" t="str">
        <f>SEKOR!BR199</f>
        <v/>
      </c>
      <c r="H207" s="79" t="str">
        <f>IF(SEKOR!BT199=0,"",SEKOR!BT199)</f>
        <v/>
      </c>
    </row>
    <row r="208" spans="1:8" ht="21.75" hidden="1" customHeight="1" x14ac:dyDescent="0.25">
      <c r="A208" s="78">
        <v>198</v>
      </c>
      <c r="B208" s="103" t="str">
        <f>IF(SEKOR!C200="","",SEKOR!C200)</f>
        <v/>
      </c>
      <c r="C208" s="104" t="str">
        <f>IF(SEKOR!B200="","",SEKOR!B200)</f>
        <v/>
      </c>
      <c r="D208" s="78" t="str">
        <f>IF(SEKOR!BN200=0,"",SEKOR!BN200)</f>
        <v/>
      </c>
      <c r="E208" s="79" t="str">
        <f>SEKOR!BP200</f>
        <v/>
      </c>
      <c r="F208" s="79" t="str">
        <f>SEKOR!BQ200</f>
        <v/>
      </c>
      <c r="G208" s="79" t="str">
        <f>SEKOR!BR200</f>
        <v/>
      </c>
      <c r="H208" s="79" t="str">
        <f>IF(SEKOR!BT200=0,"",SEKOR!BT200)</f>
        <v/>
      </c>
    </row>
    <row r="209" spans="1:8" ht="21.75" hidden="1" customHeight="1" x14ac:dyDescent="0.25">
      <c r="A209" s="78">
        <v>199</v>
      </c>
      <c r="B209" s="103" t="str">
        <f>IF(SEKOR!C201="","",SEKOR!C201)</f>
        <v/>
      </c>
      <c r="C209" s="104" t="str">
        <f>IF(SEKOR!B201="","",SEKOR!B201)</f>
        <v/>
      </c>
      <c r="D209" s="78" t="str">
        <f>IF(SEKOR!BN201=0,"",SEKOR!BN201)</f>
        <v/>
      </c>
      <c r="E209" s="79" t="str">
        <f>SEKOR!BP201</f>
        <v/>
      </c>
      <c r="F209" s="79" t="str">
        <f>SEKOR!BQ201</f>
        <v/>
      </c>
      <c r="G209" s="79" t="str">
        <f>SEKOR!BR201</f>
        <v/>
      </c>
      <c r="H209" s="79" t="str">
        <f>IF(SEKOR!BT201=0,"",SEKOR!BT201)</f>
        <v/>
      </c>
    </row>
    <row r="210" spans="1:8" ht="21.75" hidden="1" customHeight="1" x14ac:dyDescent="0.25">
      <c r="A210" s="78">
        <v>200</v>
      </c>
      <c r="B210" s="103" t="str">
        <f>IF(SEKOR!C202="","",SEKOR!C202)</f>
        <v/>
      </c>
      <c r="C210" s="104" t="str">
        <f>IF(SEKOR!B202="","",SEKOR!B202)</f>
        <v/>
      </c>
      <c r="D210" s="78" t="str">
        <f>IF(SEKOR!BN202=0,"",SEKOR!BN202)</f>
        <v/>
      </c>
      <c r="E210" s="79" t="str">
        <f>SEKOR!BP202</f>
        <v/>
      </c>
      <c r="F210" s="79" t="str">
        <f>SEKOR!BQ202</f>
        <v/>
      </c>
      <c r="G210" s="79" t="str">
        <f>SEKOR!BR202</f>
        <v/>
      </c>
      <c r="H210" s="79" t="str">
        <f>IF(SEKOR!BT202=0,"",SEKOR!BT202)</f>
        <v/>
      </c>
    </row>
    <row r="211" spans="1:8" ht="21.75" hidden="1" customHeight="1" x14ac:dyDescent="0.25">
      <c r="A211" s="78">
        <v>201</v>
      </c>
      <c r="B211" s="103" t="str">
        <f>IF(SEKOR!C203="","",SEKOR!C203)</f>
        <v/>
      </c>
      <c r="C211" s="104" t="str">
        <f>IF(SEKOR!B203="","",SEKOR!B203)</f>
        <v/>
      </c>
      <c r="D211" s="78" t="str">
        <f>IF(SEKOR!BN203=0,"",SEKOR!BN203)</f>
        <v/>
      </c>
      <c r="E211" s="79" t="str">
        <f>SEKOR!BP203</f>
        <v/>
      </c>
      <c r="F211" s="79" t="str">
        <f>SEKOR!BQ203</f>
        <v/>
      </c>
      <c r="G211" s="79" t="str">
        <f>SEKOR!BR203</f>
        <v/>
      </c>
      <c r="H211" s="79" t="str">
        <f>IF(SEKOR!BT203=0,"",SEKOR!BT203)</f>
        <v/>
      </c>
    </row>
    <row r="212" spans="1:8" ht="21.75" hidden="1" customHeight="1" x14ac:dyDescent="0.25">
      <c r="A212" s="78">
        <v>202</v>
      </c>
      <c r="B212" s="103" t="str">
        <f>IF(SEKOR!C204="","",SEKOR!C204)</f>
        <v/>
      </c>
      <c r="C212" s="104" t="str">
        <f>IF(SEKOR!B204="","",SEKOR!B204)</f>
        <v/>
      </c>
      <c r="D212" s="78" t="str">
        <f>IF(SEKOR!BN204=0,"",SEKOR!BN204)</f>
        <v/>
      </c>
      <c r="E212" s="79" t="str">
        <f>SEKOR!BP204</f>
        <v/>
      </c>
      <c r="F212" s="79" t="str">
        <f>SEKOR!BQ204</f>
        <v/>
      </c>
      <c r="G212" s="79" t="str">
        <f>SEKOR!BR204</f>
        <v/>
      </c>
      <c r="H212" s="79" t="str">
        <f>IF(SEKOR!BT204=0,"",SEKOR!BT204)</f>
        <v/>
      </c>
    </row>
    <row r="213" spans="1:8" ht="21.75" hidden="1" customHeight="1" x14ac:dyDescent="0.25">
      <c r="A213" s="78">
        <v>203</v>
      </c>
      <c r="B213" s="103" t="str">
        <f>IF(SEKOR!C205="","",SEKOR!C205)</f>
        <v/>
      </c>
      <c r="C213" s="104" t="str">
        <f>IF(SEKOR!B205="","",SEKOR!B205)</f>
        <v/>
      </c>
      <c r="D213" s="78" t="str">
        <f>IF(SEKOR!BN205=0,"",SEKOR!BN205)</f>
        <v/>
      </c>
      <c r="E213" s="79" t="str">
        <f>SEKOR!BP205</f>
        <v/>
      </c>
      <c r="F213" s="79" t="str">
        <f>SEKOR!BQ205</f>
        <v/>
      </c>
      <c r="G213" s="79" t="str">
        <f>SEKOR!BR205</f>
        <v/>
      </c>
      <c r="H213" s="79" t="str">
        <f>IF(SEKOR!BT205=0,"",SEKOR!BT205)</f>
        <v/>
      </c>
    </row>
    <row r="214" spans="1:8" ht="21.75" hidden="1" customHeight="1" x14ac:dyDescent="0.25">
      <c r="A214" s="78">
        <v>204</v>
      </c>
      <c r="B214" s="103" t="str">
        <f>IF(SEKOR!C206="","",SEKOR!C206)</f>
        <v/>
      </c>
      <c r="C214" s="104" t="str">
        <f>IF(SEKOR!B206="","",SEKOR!B206)</f>
        <v/>
      </c>
      <c r="D214" s="78" t="str">
        <f>IF(SEKOR!BN206=0,"",SEKOR!BN206)</f>
        <v/>
      </c>
      <c r="E214" s="79" t="str">
        <f>SEKOR!BP206</f>
        <v/>
      </c>
      <c r="F214" s="79" t="str">
        <f>SEKOR!BQ206</f>
        <v/>
      </c>
      <c r="G214" s="79" t="str">
        <f>SEKOR!BR206</f>
        <v/>
      </c>
      <c r="H214" s="79" t="str">
        <f>IF(SEKOR!BT206=0,"",SEKOR!BT206)</f>
        <v/>
      </c>
    </row>
    <row r="215" spans="1:8" ht="21.75" hidden="1" customHeight="1" x14ac:dyDescent="0.25">
      <c r="A215" s="78">
        <v>205</v>
      </c>
      <c r="B215" s="103" t="str">
        <f>IF(SEKOR!C207="","",SEKOR!C207)</f>
        <v/>
      </c>
      <c r="C215" s="104" t="str">
        <f>IF(SEKOR!B207="","",SEKOR!B207)</f>
        <v/>
      </c>
      <c r="D215" s="78" t="str">
        <f>IF(SEKOR!BN207=0,"",SEKOR!BN207)</f>
        <v/>
      </c>
      <c r="E215" s="79" t="str">
        <f>SEKOR!BP207</f>
        <v/>
      </c>
      <c r="F215" s="79" t="str">
        <f>SEKOR!BQ207</f>
        <v/>
      </c>
      <c r="G215" s="79" t="str">
        <f>SEKOR!BR207</f>
        <v/>
      </c>
      <c r="H215" s="79" t="str">
        <f>IF(SEKOR!BT207=0,"",SEKOR!BT207)</f>
        <v/>
      </c>
    </row>
    <row r="216" spans="1:8" ht="21.75" hidden="1" customHeight="1" x14ac:dyDescent="0.25">
      <c r="A216" s="78">
        <v>206</v>
      </c>
      <c r="B216" s="103" t="str">
        <f>IF(SEKOR!C208="","",SEKOR!C208)</f>
        <v/>
      </c>
      <c r="C216" s="104" t="str">
        <f>IF(SEKOR!B208="","",SEKOR!B208)</f>
        <v/>
      </c>
      <c r="D216" s="78" t="str">
        <f>IF(SEKOR!BN208=0,"",SEKOR!BN208)</f>
        <v/>
      </c>
      <c r="E216" s="79" t="str">
        <f>SEKOR!BP208</f>
        <v/>
      </c>
      <c r="F216" s="79" t="str">
        <f>SEKOR!BQ208</f>
        <v/>
      </c>
      <c r="G216" s="79" t="str">
        <f>SEKOR!BR208</f>
        <v/>
      </c>
      <c r="H216" s="79" t="str">
        <f>IF(SEKOR!BT208=0,"",SEKOR!BT208)</f>
        <v/>
      </c>
    </row>
    <row r="217" spans="1:8" ht="21.75" hidden="1" customHeight="1" x14ac:dyDescent="0.25">
      <c r="A217" s="78">
        <v>207</v>
      </c>
      <c r="B217" s="103" t="str">
        <f>IF(SEKOR!C209="","",SEKOR!C209)</f>
        <v/>
      </c>
      <c r="C217" s="104" t="str">
        <f>IF(SEKOR!B209="","",SEKOR!B209)</f>
        <v/>
      </c>
      <c r="D217" s="78" t="str">
        <f>IF(SEKOR!BN209=0,"",SEKOR!BN209)</f>
        <v/>
      </c>
      <c r="E217" s="79" t="str">
        <f>SEKOR!BP209</f>
        <v/>
      </c>
      <c r="F217" s="79" t="str">
        <f>SEKOR!BQ209</f>
        <v/>
      </c>
      <c r="G217" s="79" t="str">
        <f>SEKOR!BR209</f>
        <v/>
      </c>
      <c r="H217" s="79" t="str">
        <f>IF(SEKOR!BT209=0,"",SEKOR!BT209)</f>
        <v/>
      </c>
    </row>
    <row r="218" spans="1:8" ht="21.75" hidden="1" customHeight="1" x14ac:dyDescent="0.25">
      <c r="A218" s="78">
        <v>208</v>
      </c>
      <c r="B218" s="103" t="str">
        <f>IF(SEKOR!C210="","",SEKOR!C210)</f>
        <v/>
      </c>
      <c r="C218" s="104" t="str">
        <f>IF(SEKOR!B210="","",SEKOR!B210)</f>
        <v/>
      </c>
      <c r="D218" s="78" t="str">
        <f>IF(SEKOR!BN210=0,"",SEKOR!BN210)</f>
        <v/>
      </c>
      <c r="E218" s="79" t="str">
        <f>SEKOR!BP210</f>
        <v/>
      </c>
      <c r="F218" s="79" t="str">
        <f>SEKOR!BQ210</f>
        <v/>
      </c>
      <c r="G218" s="79" t="str">
        <f>SEKOR!BR210</f>
        <v/>
      </c>
      <c r="H218" s="79" t="str">
        <f>IF(SEKOR!BT210=0,"",SEKOR!BT210)</f>
        <v/>
      </c>
    </row>
    <row r="219" spans="1:8" ht="21.75" hidden="1" customHeight="1" x14ac:dyDescent="0.25">
      <c r="A219" s="78">
        <v>209</v>
      </c>
      <c r="B219" s="103" t="str">
        <f>IF(SEKOR!C211="","",SEKOR!C211)</f>
        <v/>
      </c>
      <c r="C219" s="104" t="str">
        <f>IF(SEKOR!B211="","",SEKOR!B211)</f>
        <v/>
      </c>
      <c r="D219" s="78" t="str">
        <f>IF(SEKOR!BN211=0,"",SEKOR!BN211)</f>
        <v/>
      </c>
      <c r="E219" s="79" t="str">
        <f>SEKOR!BP211</f>
        <v/>
      </c>
      <c r="F219" s="79" t="str">
        <f>SEKOR!BQ211</f>
        <v/>
      </c>
      <c r="G219" s="79" t="str">
        <f>SEKOR!BR211</f>
        <v/>
      </c>
      <c r="H219" s="79" t="str">
        <f>IF(SEKOR!BT211=0,"",SEKOR!BT211)</f>
        <v/>
      </c>
    </row>
    <row r="220" spans="1:8" ht="21.75" hidden="1" customHeight="1" x14ac:dyDescent="0.25">
      <c r="A220" s="78">
        <v>210</v>
      </c>
      <c r="B220" s="103" t="str">
        <f>IF(SEKOR!C212="","",SEKOR!C212)</f>
        <v/>
      </c>
      <c r="C220" s="104" t="str">
        <f>IF(SEKOR!B212="","",SEKOR!B212)</f>
        <v/>
      </c>
      <c r="D220" s="78" t="str">
        <f>IF(SEKOR!BN212=0,"",SEKOR!BN212)</f>
        <v/>
      </c>
      <c r="E220" s="79" t="str">
        <f>SEKOR!BP212</f>
        <v/>
      </c>
      <c r="F220" s="79" t="str">
        <f>SEKOR!BQ212</f>
        <v/>
      </c>
      <c r="G220" s="79" t="str">
        <f>SEKOR!BR212</f>
        <v/>
      </c>
      <c r="H220" s="79" t="str">
        <f>IF(SEKOR!BT212=0,"",SEKOR!BT212)</f>
        <v/>
      </c>
    </row>
    <row r="221" spans="1:8" ht="21.75" hidden="1" customHeight="1" x14ac:dyDescent="0.25">
      <c r="A221" s="78">
        <v>211</v>
      </c>
      <c r="B221" s="103" t="str">
        <f>IF(SEKOR!C213="","",SEKOR!C213)</f>
        <v/>
      </c>
      <c r="C221" s="104" t="str">
        <f>IF(SEKOR!B213="","",SEKOR!B213)</f>
        <v/>
      </c>
      <c r="D221" s="78" t="str">
        <f>IF(SEKOR!BN213=0,"",SEKOR!BN213)</f>
        <v/>
      </c>
      <c r="E221" s="79" t="str">
        <f>SEKOR!BP213</f>
        <v/>
      </c>
      <c r="F221" s="79" t="str">
        <f>SEKOR!BQ213</f>
        <v/>
      </c>
      <c r="G221" s="79" t="str">
        <f>SEKOR!BR213</f>
        <v/>
      </c>
      <c r="H221" s="79" t="str">
        <f>IF(SEKOR!BT213=0,"",SEKOR!BT213)</f>
        <v/>
      </c>
    </row>
    <row r="222" spans="1:8" ht="21.75" hidden="1" customHeight="1" x14ac:dyDescent="0.25">
      <c r="A222" s="78">
        <v>212</v>
      </c>
      <c r="B222" s="103" t="str">
        <f>IF(SEKOR!C214="","",SEKOR!C214)</f>
        <v/>
      </c>
      <c r="C222" s="104" t="str">
        <f>IF(SEKOR!B214="","",SEKOR!B214)</f>
        <v/>
      </c>
      <c r="D222" s="78" t="str">
        <f>IF(SEKOR!BN214=0,"",SEKOR!BN214)</f>
        <v/>
      </c>
      <c r="E222" s="79" t="str">
        <f>SEKOR!BP214</f>
        <v/>
      </c>
      <c r="F222" s="79" t="str">
        <f>SEKOR!BQ214</f>
        <v/>
      </c>
      <c r="G222" s="79" t="str">
        <f>SEKOR!BR214</f>
        <v/>
      </c>
      <c r="H222" s="79" t="str">
        <f>IF(SEKOR!BT214=0,"",SEKOR!BT214)</f>
        <v/>
      </c>
    </row>
    <row r="223" spans="1:8" ht="21.75" hidden="1" customHeight="1" x14ac:dyDescent="0.25">
      <c r="A223" s="78">
        <v>213</v>
      </c>
      <c r="B223" s="103" t="str">
        <f>IF(SEKOR!C215="","",SEKOR!C215)</f>
        <v/>
      </c>
      <c r="C223" s="104" t="str">
        <f>IF(SEKOR!B215="","",SEKOR!B215)</f>
        <v/>
      </c>
      <c r="D223" s="78" t="str">
        <f>IF(SEKOR!BN215=0,"",SEKOR!BN215)</f>
        <v/>
      </c>
      <c r="E223" s="79" t="str">
        <f>SEKOR!BP215</f>
        <v/>
      </c>
      <c r="F223" s="79" t="str">
        <f>SEKOR!BQ215</f>
        <v/>
      </c>
      <c r="G223" s="79" t="str">
        <f>SEKOR!BR215</f>
        <v/>
      </c>
      <c r="H223" s="79" t="str">
        <f>IF(SEKOR!BT215=0,"",SEKOR!BT215)</f>
        <v/>
      </c>
    </row>
    <row r="224" spans="1:8" ht="21.75" hidden="1" customHeight="1" x14ac:dyDescent="0.25">
      <c r="A224" s="78">
        <v>214</v>
      </c>
      <c r="B224" s="103" t="str">
        <f>IF(SEKOR!C216="","",SEKOR!C216)</f>
        <v/>
      </c>
      <c r="C224" s="104" t="str">
        <f>IF(SEKOR!B216="","",SEKOR!B216)</f>
        <v/>
      </c>
      <c r="D224" s="78" t="str">
        <f>IF(SEKOR!BN216=0,"",SEKOR!BN216)</f>
        <v/>
      </c>
      <c r="E224" s="79" t="str">
        <f>SEKOR!BP216</f>
        <v/>
      </c>
      <c r="F224" s="79" t="str">
        <f>SEKOR!BQ216</f>
        <v/>
      </c>
      <c r="G224" s="79" t="str">
        <f>SEKOR!BR216</f>
        <v/>
      </c>
      <c r="H224" s="79" t="str">
        <f>IF(SEKOR!BT216=0,"",SEKOR!BT216)</f>
        <v/>
      </c>
    </row>
    <row r="225" spans="1:8" ht="21.75" hidden="1" customHeight="1" x14ac:dyDescent="0.25">
      <c r="A225" s="78">
        <v>215</v>
      </c>
      <c r="B225" s="103" t="str">
        <f>IF(SEKOR!C217="","",SEKOR!C217)</f>
        <v/>
      </c>
      <c r="C225" s="104" t="str">
        <f>IF(SEKOR!B217="","",SEKOR!B217)</f>
        <v/>
      </c>
      <c r="D225" s="78" t="str">
        <f>IF(SEKOR!BN217=0,"",SEKOR!BN217)</f>
        <v/>
      </c>
      <c r="E225" s="79" t="str">
        <f>SEKOR!BP217</f>
        <v/>
      </c>
      <c r="F225" s="79" t="str">
        <f>SEKOR!BQ217</f>
        <v/>
      </c>
      <c r="G225" s="79" t="str">
        <f>SEKOR!BR217</f>
        <v/>
      </c>
      <c r="H225" s="79" t="str">
        <f>IF(SEKOR!BT217=0,"",SEKOR!BT217)</f>
        <v/>
      </c>
    </row>
    <row r="226" spans="1:8" ht="21.75" hidden="1" customHeight="1" x14ac:dyDescent="0.25">
      <c r="A226" s="78">
        <v>216</v>
      </c>
      <c r="B226" s="103" t="str">
        <f>IF(SEKOR!C218="","",SEKOR!C218)</f>
        <v/>
      </c>
      <c r="C226" s="104" t="str">
        <f>IF(SEKOR!B218="","",SEKOR!B218)</f>
        <v/>
      </c>
      <c r="D226" s="78" t="str">
        <f>IF(SEKOR!BN218=0,"",SEKOR!BN218)</f>
        <v/>
      </c>
      <c r="E226" s="79" t="str">
        <f>SEKOR!BP218</f>
        <v/>
      </c>
      <c r="F226" s="79" t="str">
        <f>SEKOR!BQ218</f>
        <v/>
      </c>
      <c r="G226" s="79" t="str">
        <f>SEKOR!BR218</f>
        <v/>
      </c>
      <c r="H226" s="79" t="str">
        <f>IF(SEKOR!BT218=0,"",SEKOR!BT218)</f>
        <v/>
      </c>
    </row>
    <row r="227" spans="1:8" ht="21.75" hidden="1" customHeight="1" x14ac:dyDescent="0.25">
      <c r="A227" s="78">
        <v>217</v>
      </c>
      <c r="B227" s="103" t="str">
        <f>IF(SEKOR!C219="","",SEKOR!C219)</f>
        <v/>
      </c>
      <c r="C227" s="104" t="str">
        <f>IF(SEKOR!B219="","",SEKOR!B219)</f>
        <v/>
      </c>
      <c r="D227" s="78" t="str">
        <f>IF(SEKOR!BN219=0,"",SEKOR!BN219)</f>
        <v/>
      </c>
      <c r="E227" s="79" t="str">
        <f>SEKOR!BP219</f>
        <v/>
      </c>
      <c r="F227" s="79" t="str">
        <f>SEKOR!BQ219</f>
        <v/>
      </c>
      <c r="G227" s="79" t="str">
        <f>SEKOR!BR219</f>
        <v/>
      </c>
      <c r="H227" s="79" t="str">
        <f>IF(SEKOR!BT219=0,"",SEKOR!BT219)</f>
        <v/>
      </c>
    </row>
    <row r="228" spans="1:8" ht="21.75" hidden="1" customHeight="1" x14ac:dyDescent="0.25">
      <c r="A228" s="78">
        <v>218</v>
      </c>
      <c r="B228" s="103" t="str">
        <f>IF(SEKOR!C220="","",SEKOR!C220)</f>
        <v/>
      </c>
      <c r="C228" s="104" t="str">
        <f>IF(SEKOR!B220="","",SEKOR!B220)</f>
        <v/>
      </c>
      <c r="D228" s="78" t="str">
        <f>IF(SEKOR!BN220=0,"",SEKOR!BN220)</f>
        <v/>
      </c>
      <c r="E228" s="79" t="str">
        <f>SEKOR!BP220</f>
        <v/>
      </c>
      <c r="F228" s="79" t="str">
        <f>SEKOR!BQ220</f>
        <v/>
      </c>
      <c r="G228" s="79" t="str">
        <f>SEKOR!BR220</f>
        <v/>
      </c>
      <c r="H228" s="79" t="str">
        <f>IF(SEKOR!BT220=0,"",SEKOR!BT220)</f>
        <v/>
      </c>
    </row>
    <row r="229" spans="1:8" ht="21.75" hidden="1" customHeight="1" x14ac:dyDescent="0.25">
      <c r="A229" s="78">
        <v>219</v>
      </c>
      <c r="B229" s="103" t="str">
        <f>IF(SEKOR!C221="","",SEKOR!C221)</f>
        <v/>
      </c>
      <c r="C229" s="104" t="str">
        <f>IF(SEKOR!B221="","",SEKOR!B221)</f>
        <v/>
      </c>
      <c r="D229" s="78" t="str">
        <f>IF(SEKOR!BN221=0,"",SEKOR!BN221)</f>
        <v/>
      </c>
      <c r="E229" s="79" t="str">
        <f>SEKOR!BP221</f>
        <v/>
      </c>
      <c r="F229" s="79" t="str">
        <f>SEKOR!BQ221</f>
        <v/>
      </c>
      <c r="G229" s="79" t="str">
        <f>SEKOR!BR221</f>
        <v/>
      </c>
      <c r="H229" s="79" t="str">
        <f>IF(SEKOR!BT221=0,"",SEKOR!BT221)</f>
        <v/>
      </c>
    </row>
    <row r="230" spans="1:8" ht="21.75" hidden="1" customHeight="1" x14ac:dyDescent="0.25">
      <c r="A230" s="78">
        <v>220</v>
      </c>
      <c r="B230" s="103" t="str">
        <f>IF(SEKOR!C222="","",SEKOR!C222)</f>
        <v/>
      </c>
      <c r="C230" s="104" t="str">
        <f>IF(SEKOR!B222="","",SEKOR!B222)</f>
        <v/>
      </c>
      <c r="D230" s="78" t="str">
        <f>IF(SEKOR!BN222=0,"",SEKOR!BN222)</f>
        <v/>
      </c>
      <c r="E230" s="79" t="str">
        <f>SEKOR!BP222</f>
        <v/>
      </c>
      <c r="F230" s="79" t="str">
        <f>SEKOR!BQ222</f>
        <v/>
      </c>
      <c r="G230" s="79" t="str">
        <f>SEKOR!BR222</f>
        <v/>
      </c>
      <c r="H230" s="79" t="str">
        <f>IF(SEKOR!BT222=0,"",SEKOR!BT222)</f>
        <v/>
      </c>
    </row>
    <row r="231" spans="1:8" x14ac:dyDescent="0.25"/>
    <row r="232" spans="1:8" x14ac:dyDescent="0.25"/>
    <row r="233" spans="1:8" x14ac:dyDescent="0.25">
      <c r="D233" s="217">
        <f ca="1">Pengumuman!D230</f>
        <v>45272</v>
      </c>
      <c r="E233" s="217"/>
      <c r="F233" s="217"/>
    </row>
    <row r="234" spans="1:8" x14ac:dyDescent="0.25">
      <c r="D234" s="107" t="str">
        <f>Pengumuman!D231</f>
        <v>Guru Mata Pelajaran</v>
      </c>
      <c r="F234" s="107"/>
      <c r="G234" s="107"/>
    </row>
    <row r="235" spans="1:8" ht="15.75" x14ac:dyDescent="0.25">
      <c r="E235" s="215"/>
      <c r="F235" s="215"/>
      <c r="G235" s="215"/>
    </row>
    <row r="236" spans="1:8" ht="15.75" x14ac:dyDescent="0.25">
      <c r="E236" s="215"/>
      <c r="F236" s="215"/>
      <c r="G236" s="215"/>
    </row>
    <row r="237" spans="1:8" ht="15.75" x14ac:dyDescent="0.25">
      <c r="E237" s="215"/>
      <c r="F237" s="215"/>
      <c r="G237" s="215"/>
    </row>
    <row r="238" spans="1:8" x14ac:dyDescent="0.25">
      <c r="D238" s="107" t="str">
        <f>Pengumuman!D235</f>
        <v>Abdul Hadi</v>
      </c>
      <c r="F238" s="107"/>
      <c r="G238" s="107"/>
    </row>
    <row r="239" spans="1:8" ht="15.75" x14ac:dyDescent="0.25">
      <c r="E239" s="215"/>
      <c r="F239" s="215"/>
      <c r="G239" s="215"/>
    </row>
    <row r="240" spans="1:8" ht="15.75" x14ac:dyDescent="0.25">
      <c r="E240" s="215"/>
      <c r="F240" s="215"/>
      <c r="G240" s="215"/>
    </row>
    <row r="241" x14ac:dyDescent="0.25"/>
    <row r="242" x14ac:dyDescent="0.25"/>
  </sheetData>
  <sheetProtection formatColumns="0" formatRows="0"/>
  <mergeCells count="7">
    <mergeCell ref="E237:G237"/>
    <mergeCell ref="E239:G239"/>
    <mergeCell ref="E240:G240"/>
    <mergeCell ref="A1:H1"/>
    <mergeCell ref="D233:F233"/>
    <mergeCell ref="E235:G235"/>
    <mergeCell ref="E236:G236"/>
  </mergeCells>
  <conditionalFormatting sqref="E8:H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{C5F885CA-4BA2-434A-BC2D-8103CB8842D3}</x14:id>
        </ext>
      </extLst>
    </cfRule>
  </conditionalFormatting>
  <pageMargins left="0.56000000000000005" right="0.52" top="0.5" bottom="0.61" header="0.31496062992125984" footer="0.31496062992125984"/>
  <pageSetup paperSize="9" scale="90" fitToHeight="0" orientation="portrait" horizontalDpi="4294967293" verticalDpi="0" r:id="rId1"/>
  <headerFooter>
    <oddFooter>&amp;RHalaman &amp;P dari 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5F885CA-4BA2-434A-BC2D-8103CB8842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E8:H8</xm:sqref>
        </x14:conditionalFormatting>
        <x14:conditionalFormatting xmlns:xm="http://schemas.microsoft.com/office/excel/2006/main">
          <x14:cfRule type="cellIs" priority="5" operator="lessThan" id="{344A5748-E47C-49E6-A1F3-9EA6E8EDD024}">
            <xm:f>DATA!$J$12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E3:H5</xm:sqref>
        </x14:conditionalFormatting>
        <x14:conditionalFormatting xmlns:xm="http://schemas.microsoft.com/office/excel/2006/main">
          <x14:cfRule type="cellIs" priority="4" operator="lessThan" id="{C471803F-D053-40FD-A56D-376DCCA4B4E7}">
            <xm:f>DATA!$J$12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E11:F230</xm:sqref>
        </x14:conditionalFormatting>
        <x14:conditionalFormatting xmlns:xm="http://schemas.microsoft.com/office/excel/2006/main">
          <x14:cfRule type="cellIs" priority="1" operator="lessThan" id="{418844FE-155B-47B8-98C6-F29A4AA83E31}">
            <xm:f>DATA!$J$14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H11:H230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534AA-F98E-47E9-A389-B3C71EE5F371}">
  <sheetPr codeName="Sheet10">
    <tabColor rgb="FF00B050"/>
    <pageSetUpPr fitToPage="1"/>
  </sheetPr>
  <dimension ref="A1:AL239"/>
  <sheetViews>
    <sheetView topLeftCell="C1" workbookViewId="0">
      <selection activeCell="AK12" sqref="AK12"/>
    </sheetView>
  </sheetViews>
  <sheetFormatPr defaultRowHeight="15" x14ac:dyDescent="0.2"/>
  <cols>
    <col min="1" max="1" width="4" style="143" bestFit="1" customWidth="1"/>
    <col min="2" max="2" width="9.140625" style="144" customWidth="1"/>
    <col min="3" max="3" width="20.42578125" style="143" customWidth="1"/>
    <col min="4" max="4" width="9.140625" style="143" customWidth="1"/>
    <col min="5" max="5" width="11" style="143" customWidth="1"/>
    <col min="6" max="6" width="11.5703125" style="143" hidden="1" customWidth="1"/>
    <col min="7" max="7" width="10.140625" style="143" hidden="1" customWidth="1"/>
    <col min="8" max="8" width="8.85546875" style="143" customWidth="1"/>
    <col min="9" max="11" width="4.85546875" style="145" customWidth="1"/>
    <col min="12" max="28" width="4.85546875" style="145" hidden="1" customWidth="1"/>
    <col min="29" max="29" width="4.85546875" style="145" customWidth="1"/>
    <col min="30" max="30" width="7" style="145" hidden="1" customWidth="1"/>
    <col min="31" max="31" width="8.28515625" style="143" hidden="1" customWidth="1"/>
    <col min="32" max="32" width="7" style="143" hidden="1" customWidth="1"/>
    <col min="33" max="33" width="8.28515625" style="143" hidden="1" customWidth="1"/>
    <col min="34" max="35" width="7" style="143" hidden="1" customWidth="1"/>
    <col min="36" max="36" width="10.28515625" style="143" hidden="1" customWidth="1"/>
    <col min="37" max="37" width="8" style="143" customWidth="1"/>
    <col min="38" max="38" width="1" style="143" customWidth="1"/>
    <col min="39" max="39" width="8.7109375" style="143" customWidth="1"/>
    <col min="40" max="16384" width="9.140625" style="143"/>
  </cols>
  <sheetData>
    <row r="1" spans="1:38" ht="21" customHeight="1" x14ac:dyDescent="0.2">
      <c r="A1" s="220" t="s">
        <v>496</v>
      </c>
      <c r="B1" s="220"/>
      <c r="C1" s="220"/>
      <c r="D1" s="160" t="s">
        <v>507</v>
      </c>
      <c r="E1" s="151"/>
      <c r="F1" s="151"/>
      <c r="G1" s="151"/>
      <c r="H1" s="151"/>
      <c r="I1" s="224" t="s">
        <v>3</v>
      </c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178"/>
      <c r="AD1" s="156"/>
      <c r="AE1" s="151"/>
      <c r="AF1" s="151"/>
      <c r="AG1" s="151"/>
      <c r="AH1" s="151"/>
      <c r="AI1" s="151"/>
      <c r="AJ1" s="151"/>
      <c r="AK1" s="162">
        <f>MAX($AK$12:$AK$232)</f>
        <v>132.5</v>
      </c>
      <c r="AL1" s="149"/>
    </row>
    <row r="2" spans="1:38" ht="6" customHeight="1" x14ac:dyDescent="0.25">
      <c r="A2" s="152"/>
      <c r="B2" s="156"/>
      <c r="C2" s="152"/>
      <c r="D2" s="153"/>
      <c r="E2" s="151"/>
      <c r="F2" s="151"/>
      <c r="G2" s="151"/>
      <c r="H2" s="151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1"/>
      <c r="AF2" s="151"/>
      <c r="AG2" s="151"/>
      <c r="AH2" s="151"/>
      <c r="AI2" s="151"/>
      <c r="AJ2" s="151"/>
      <c r="AK2" s="151"/>
      <c r="AL2" s="149"/>
    </row>
    <row r="3" spans="1:38" ht="19.5" customHeight="1" x14ac:dyDescent="0.2">
      <c r="A3" s="220" t="s">
        <v>497</v>
      </c>
      <c r="B3" s="220"/>
      <c r="C3" s="220"/>
      <c r="D3" s="161">
        <v>3</v>
      </c>
      <c r="E3" s="151"/>
      <c r="F3" s="151"/>
      <c r="G3" s="151"/>
      <c r="H3" s="151"/>
      <c r="I3" s="224" t="s">
        <v>4</v>
      </c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178"/>
      <c r="AD3" s="157"/>
      <c r="AE3" s="151"/>
      <c r="AF3" s="151"/>
      <c r="AG3" s="151"/>
      <c r="AH3" s="151"/>
      <c r="AI3" s="151"/>
      <c r="AJ3" s="151"/>
      <c r="AK3" s="162">
        <f>MIN(AK12:AK232)</f>
        <v>95.583333333333343</v>
      </c>
      <c r="AL3" s="149"/>
    </row>
    <row r="4" spans="1:38" ht="6" customHeight="1" x14ac:dyDescent="0.2">
      <c r="A4" s="151"/>
      <c r="B4" s="150"/>
      <c r="C4" s="151"/>
      <c r="D4" s="151"/>
      <c r="E4" s="151"/>
      <c r="F4" s="151"/>
      <c r="G4" s="151"/>
      <c r="H4" s="151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1"/>
      <c r="AF4" s="151"/>
      <c r="AG4" s="151"/>
      <c r="AH4" s="151"/>
      <c r="AI4" s="151"/>
      <c r="AJ4" s="151"/>
      <c r="AK4" s="151"/>
      <c r="AL4" s="149"/>
    </row>
    <row r="5" spans="1:38" ht="21" customHeight="1" x14ac:dyDescent="0.2">
      <c r="A5" s="151"/>
      <c r="B5" s="150"/>
      <c r="C5" s="151"/>
      <c r="D5" s="151"/>
      <c r="E5" s="151"/>
      <c r="F5" s="151"/>
      <c r="G5" s="151"/>
      <c r="H5" s="151"/>
      <c r="I5" s="225" t="s">
        <v>512</v>
      </c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25"/>
      <c r="Y5" s="225"/>
      <c r="Z5" s="225"/>
      <c r="AA5" s="225"/>
      <c r="AB5" s="225"/>
      <c r="AC5" s="179"/>
      <c r="AD5" s="156"/>
      <c r="AE5" s="151"/>
      <c r="AF5" s="151"/>
      <c r="AG5" s="151"/>
      <c r="AH5" s="151"/>
      <c r="AI5" s="151"/>
      <c r="AJ5" s="151"/>
      <c r="AK5" s="237">
        <f>IF(DATAINFO!$N$7=0,"100%",DATAINFO!$N$7)</f>
        <v>2</v>
      </c>
      <c r="AL5" s="149"/>
    </row>
    <row r="6" spans="1:38" ht="6" customHeight="1" x14ac:dyDescent="0.2">
      <c r="A6" s="151"/>
      <c r="B6" s="150"/>
      <c r="C6" s="151"/>
      <c r="D6" s="151"/>
      <c r="E6" s="151"/>
      <c r="F6" s="151"/>
      <c r="G6" s="151"/>
      <c r="H6" s="151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1"/>
      <c r="AF6" s="151"/>
      <c r="AG6" s="151"/>
      <c r="AH6" s="151"/>
      <c r="AI6" s="151"/>
      <c r="AJ6" s="151"/>
      <c r="AK6" s="151"/>
      <c r="AL6" s="149"/>
    </row>
    <row r="7" spans="1:38" ht="21" customHeight="1" x14ac:dyDescent="0.2">
      <c r="A7" s="223"/>
      <c r="B7" s="223"/>
      <c r="C7" s="223"/>
      <c r="D7" s="151"/>
      <c r="E7" s="151"/>
      <c r="F7" s="151"/>
      <c r="G7" s="151"/>
      <c r="H7" s="151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177"/>
      <c r="AD7" s="156"/>
      <c r="AE7" s="151"/>
      <c r="AF7" s="151"/>
      <c r="AG7" s="151"/>
      <c r="AH7" s="151"/>
      <c r="AI7" s="151"/>
      <c r="AJ7" s="151"/>
      <c r="AK7" s="159"/>
      <c r="AL7" s="149"/>
    </row>
    <row r="8" spans="1:38" ht="36" customHeight="1" x14ac:dyDescent="0.2">
      <c r="A8" s="229" t="str">
        <f>"DAFTAR NILAI AKHIR MATAPELAJARAN "
&amp;DATA!F4&amp;" KELAS "&amp;DATA!F8&amp;" "&amp;DATA!J8&amp;" TAHUN/SEMESTER "&amp;DATA!F10&amp;"/"&amp;DATA!J10</f>
        <v>DAFTAR NILAI AKHIR MATAPELAJARAN BAHASA INGGRIS KELAS XII SEMUA TAHUN/SEMESTER 2024/Ganjil</v>
      </c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  <c r="AI8" s="229"/>
      <c r="AJ8" s="229"/>
      <c r="AK8" s="229"/>
    </row>
    <row r="10" spans="1:38" s="146" customFormat="1" ht="21" customHeight="1" x14ac:dyDescent="0.25">
      <c r="A10" s="228" t="s">
        <v>14</v>
      </c>
      <c r="B10" s="228" t="s">
        <v>15</v>
      </c>
      <c r="C10" s="228" t="s">
        <v>16</v>
      </c>
      <c r="D10" s="228"/>
      <c r="E10" s="226" t="s">
        <v>289</v>
      </c>
      <c r="F10" s="226" t="s">
        <v>290</v>
      </c>
      <c r="G10" s="226" t="s">
        <v>291</v>
      </c>
      <c r="H10" s="226" t="s">
        <v>258</v>
      </c>
      <c r="I10" s="238" t="s">
        <v>498</v>
      </c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39"/>
      <c r="AB10" s="239"/>
      <c r="AC10" s="240"/>
      <c r="AD10" s="154" t="s">
        <v>499</v>
      </c>
      <c r="AE10" s="148" t="s">
        <v>500</v>
      </c>
      <c r="AF10" s="148" t="s">
        <v>501</v>
      </c>
      <c r="AG10" s="234" t="s">
        <v>509</v>
      </c>
      <c r="AH10" s="234" t="s">
        <v>510</v>
      </c>
      <c r="AI10" s="234" t="s">
        <v>511</v>
      </c>
      <c r="AJ10" s="234" t="s">
        <v>508</v>
      </c>
      <c r="AK10" s="218" t="s">
        <v>495</v>
      </c>
    </row>
    <row r="11" spans="1:38" ht="15.75" customHeight="1" x14ac:dyDescent="0.2">
      <c r="A11" s="228"/>
      <c r="B11" s="228"/>
      <c r="C11" s="228"/>
      <c r="D11" s="228"/>
      <c r="E11" s="226"/>
      <c r="F11" s="226"/>
      <c r="G11" s="226"/>
      <c r="H11" s="226"/>
      <c r="I11" s="78">
        <v>1</v>
      </c>
      <c r="J11" s="78">
        <v>2</v>
      </c>
      <c r="K11" s="78">
        <v>3</v>
      </c>
      <c r="L11" s="78">
        <v>4</v>
      </c>
      <c r="M11" s="78">
        <v>5</v>
      </c>
      <c r="N11" s="78">
        <v>6</v>
      </c>
      <c r="O11" s="78">
        <v>7</v>
      </c>
      <c r="P11" s="78">
        <v>8</v>
      </c>
      <c r="Q11" s="78">
        <v>9</v>
      </c>
      <c r="R11" s="78">
        <v>10</v>
      </c>
      <c r="S11" s="78">
        <v>11</v>
      </c>
      <c r="T11" s="78">
        <v>12</v>
      </c>
      <c r="U11" s="78">
        <v>13</v>
      </c>
      <c r="V11" s="78">
        <v>14</v>
      </c>
      <c r="W11" s="78">
        <v>15</v>
      </c>
      <c r="X11" s="78">
        <v>16</v>
      </c>
      <c r="Y11" s="78">
        <v>17</v>
      </c>
      <c r="Z11" s="78">
        <v>18</v>
      </c>
      <c r="AA11" s="78">
        <v>19</v>
      </c>
      <c r="AB11" s="78">
        <v>20</v>
      </c>
      <c r="AC11" s="78" t="s">
        <v>509</v>
      </c>
      <c r="AD11" s="163">
        <f>DATAINFO!$L$6</f>
        <v>0</v>
      </c>
      <c r="AE11" s="164">
        <f>IF(D1="KONVERT",(1-$AD$11),DATAINFO!$L$4)</f>
        <v>1</v>
      </c>
      <c r="AF11" s="164">
        <f>IF(D1="KONVERT","",IF(H12="","",DATAINFO!$L$5))</f>
        <v>0</v>
      </c>
      <c r="AG11" s="235"/>
      <c r="AH11" s="235"/>
      <c r="AI11" s="235"/>
      <c r="AJ11" s="235"/>
      <c r="AK11" s="218"/>
    </row>
    <row r="12" spans="1:38" ht="20.100000000000001" customHeight="1" x14ac:dyDescent="0.2">
      <c r="A12" s="67">
        <f>IF(B12="","",COUNTA($B$12:$B12))</f>
        <v>1</v>
      </c>
      <c r="B12" s="126">
        <f>IF(SEKOR!B3="","",SEKOR!B3)</f>
        <v>234586</v>
      </c>
      <c r="C12" s="227" t="str">
        <f>IF(SEKOR!C3="","",SEKOR!C3)</f>
        <v>  Ahmad Fahlipi</v>
      </c>
      <c r="D12" s="227"/>
      <c r="E12" s="79">
        <f>SEKOR!BP3</f>
        <v>62.5</v>
      </c>
      <c r="F12" s="79">
        <f>SEKOR!BQ3</f>
        <v>80.645161290322577</v>
      </c>
      <c r="G12" s="79">
        <f>SEKOR!BT3</f>
        <v>80</v>
      </c>
      <c r="H12" s="79">
        <f>IF(DATA!$F$18="YA",IF(SEKOR!BR3=0,"",SEKOR!BR3),"")</f>
        <v>90</v>
      </c>
      <c r="I12" s="78">
        <v>80</v>
      </c>
      <c r="J12" s="78">
        <v>95</v>
      </c>
      <c r="K12" s="78">
        <v>76</v>
      </c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>
        <f>IFERROR(SUM(I12:AB12),0)</f>
        <v>251</v>
      </c>
      <c r="AD12" s="79">
        <f>IFERROR(IF($B12="","",(SUM(I12:AB12)/$D$3)*$AD$11),0)</f>
        <v>0</v>
      </c>
      <c r="AE12" s="79">
        <f>IFERROR(IF($B12="","",IF($D$1="PAP",($E12*$AE$11),IF($D$1="PAN",($F12*$AE$11),IF($D$1="KONVERT",$G12*$AE$11)))),0)</f>
        <v>62.5</v>
      </c>
      <c r="AF12" s="79">
        <f>IFERROR(IF($B12="","",IF($D$1="KONVERT","",IF(H12="","",($H12*$AF$11)))),0)</f>
        <v>0</v>
      </c>
      <c r="AG12" s="79">
        <f>SUM(I12:AB12)/$D$3</f>
        <v>83.666666666666671</v>
      </c>
      <c r="AH12" s="79">
        <f>IF($B12="","",IF($D$1="PAP",($E12),IF($D$1="PAN",($F12),IF($D$1="KONVERT",$G12))))</f>
        <v>62.5</v>
      </c>
      <c r="AI12" s="79">
        <f>IF($B12="","",IF($D$1="KONVERT","",IF(H12="","",$H12)))</f>
        <v>90</v>
      </c>
      <c r="AJ12" s="79">
        <f>IFERROR(SUM(AG12:AI12)/DATAINFO!$N$7,0)</f>
        <v>118.08333333333334</v>
      </c>
      <c r="AK12" s="155">
        <f>IF($B12="","",IF(AJ12&gt;0,AJ12,SUM(AD12:AF12)))</f>
        <v>118.08333333333334</v>
      </c>
    </row>
    <row r="13" spans="1:38" ht="20.100000000000001" customHeight="1" x14ac:dyDescent="0.2">
      <c r="A13" s="67">
        <f>IF(B13="","",COUNTA($B$12:$B13))</f>
        <v>2</v>
      </c>
      <c r="B13" s="147" t="str">
        <f>IF(Konversi!C12="","",Konversi!C12)</f>
        <v>  234595</v>
      </c>
      <c r="C13" s="227" t="str">
        <f>IF(Konversi!B12="","",Konversi!B12)</f>
        <v>  Amalia Rahayu</v>
      </c>
      <c r="D13" s="227"/>
      <c r="E13" s="79">
        <f>SEKOR!BP4</f>
        <v>75</v>
      </c>
      <c r="F13" s="79">
        <f>SEKOR!BQ4</f>
        <v>96.774193548387103</v>
      </c>
      <c r="G13" s="79">
        <f>SEKOR!BT4</f>
        <v>89</v>
      </c>
      <c r="H13" s="79">
        <f>IF(DATA!$F$18="YA",IF(SEKOR!BR4=0,"",SEKOR!BR4),"")</f>
        <v>90</v>
      </c>
      <c r="I13" s="78">
        <v>100</v>
      </c>
      <c r="J13" s="78">
        <v>100</v>
      </c>
      <c r="K13" s="78">
        <v>100</v>
      </c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>
        <f t="shared" ref="AC13:AC76" si="0">IFERROR(SUM(I13:AB13),0)</f>
        <v>300</v>
      </c>
      <c r="AD13" s="79">
        <f t="shared" ref="AD13:AD76" si="1">IFERROR(IF($B13="","",(SUM(I13:AB13)/$D$3)*$AD$11),0)</f>
        <v>0</v>
      </c>
      <c r="AE13" s="79">
        <f t="shared" ref="AE13:AE76" si="2">IFERROR(IF($B13="","",IF($D$1="PAP",($E13*$AE$11),IF($D$1="PAN",($F13*$AE$11),IF($D$1="KONVERT",$G13*$AE$11)))),0)</f>
        <v>75</v>
      </c>
      <c r="AF13" s="79">
        <f t="shared" ref="AF13:AF76" si="3">IFERROR(IF($B13="","",IF($D$1="KONVERT","",IF(H13="","",($H13*$AF$11)))),0)</f>
        <v>0</v>
      </c>
      <c r="AG13" s="79">
        <f t="shared" ref="AG13:AG76" si="4">SUM(I13:AB13)/$D$3</f>
        <v>100</v>
      </c>
      <c r="AH13" s="79">
        <f t="shared" ref="AH13:AH76" si="5">IF($B13="","",IF($D$1="PAP",($E13),IF($D$1="PAN",($F13),IF($D$1="KONVERT",$G13))))</f>
        <v>75</v>
      </c>
      <c r="AI13" s="79">
        <f t="shared" ref="AI13:AI76" si="6">IF($B13="","",IF($D$1="KONVERT","",IF(H13="","",$H13)))</f>
        <v>90</v>
      </c>
      <c r="AJ13" s="79">
        <f>IFERROR(SUM(AG13:AI13)/DATAINFO!$N$7,0)</f>
        <v>132.5</v>
      </c>
      <c r="AK13" s="155">
        <f t="shared" ref="AK13:AK76" si="7">IF($B13="","",IF(AJ13&gt;0,AJ13,SUM(AD13:AF13)))</f>
        <v>132.5</v>
      </c>
    </row>
    <row r="14" spans="1:38" ht="20.100000000000001" customHeight="1" x14ac:dyDescent="0.2">
      <c r="A14" s="67">
        <f>IF(B14="","",COUNTA($B$12:$B14))</f>
        <v>3</v>
      </c>
      <c r="B14" s="147" t="str">
        <f>IF(Konversi!C13="","",Konversi!C13)</f>
        <v>  234596</v>
      </c>
      <c r="C14" s="227" t="str">
        <f>IF(Konversi!B13="","",Konversi!B13)</f>
        <v>  Andhika</v>
      </c>
      <c r="D14" s="227"/>
      <c r="E14" s="79">
        <f>SEKOR!BP5</f>
        <v>52.5</v>
      </c>
      <c r="F14" s="79">
        <f>SEKOR!BQ5</f>
        <v>67.741935483870961</v>
      </c>
      <c r="G14" s="79">
        <f>SEKOR!BT5</f>
        <v>74</v>
      </c>
      <c r="H14" s="79">
        <f>IF(DATA!$F$18="YA",IF(SEKOR!BR5=0,"",SEKOR!BR5),"")</f>
        <v>90</v>
      </c>
      <c r="I14" s="78">
        <v>80</v>
      </c>
      <c r="J14" s="78">
        <v>95</v>
      </c>
      <c r="K14" s="78">
        <v>76</v>
      </c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>
        <f t="shared" si="0"/>
        <v>251</v>
      </c>
      <c r="AD14" s="79">
        <f t="shared" si="1"/>
        <v>0</v>
      </c>
      <c r="AE14" s="79">
        <f t="shared" si="2"/>
        <v>52.5</v>
      </c>
      <c r="AF14" s="79">
        <f t="shared" si="3"/>
        <v>0</v>
      </c>
      <c r="AG14" s="79">
        <f t="shared" si="4"/>
        <v>83.666666666666671</v>
      </c>
      <c r="AH14" s="79">
        <f t="shared" si="5"/>
        <v>52.5</v>
      </c>
      <c r="AI14" s="79">
        <f t="shared" si="6"/>
        <v>90</v>
      </c>
      <c r="AJ14" s="79">
        <f>IFERROR(SUM(AG14:AI14)/DATAINFO!$N$7,0)</f>
        <v>113.08333333333334</v>
      </c>
      <c r="AK14" s="155">
        <f t="shared" si="7"/>
        <v>113.08333333333334</v>
      </c>
    </row>
    <row r="15" spans="1:38" ht="20.100000000000001" customHeight="1" x14ac:dyDescent="0.2">
      <c r="A15" s="67">
        <f>IF(B15="","",COUNTA($B$12:$B15))</f>
        <v>4</v>
      </c>
      <c r="B15" s="147" t="str">
        <f>IF(Konversi!C14="","",Konversi!C14)</f>
        <v>  234601</v>
      </c>
      <c r="C15" s="227" t="str">
        <f>IF(Konversi!B14="","",Konversi!B14)</f>
        <v>  Bina Yanti</v>
      </c>
      <c r="D15" s="227"/>
      <c r="E15" s="79">
        <f>SEKOR!BP6</f>
        <v>65</v>
      </c>
      <c r="F15" s="79">
        <f>SEKOR!BQ6</f>
        <v>83.870967741935488</v>
      </c>
      <c r="G15" s="79">
        <f>SEKOR!BT6</f>
        <v>82</v>
      </c>
      <c r="H15" s="79">
        <f>IF(DATA!$F$18="YA",IF(SEKOR!BR6=0,"",SEKOR!BR6),"")</f>
        <v>90</v>
      </c>
      <c r="I15" s="78">
        <v>80</v>
      </c>
      <c r="J15" s="78">
        <v>95</v>
      </c>
      <c r="K15" s="78">
        <v>76</v>
      </c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>
        <f t="shared" si="0"/>
        <v>251</v>
      </c>
      <c r="AD15" s="79">
        <f t="shared" si="1"/>
        <v>0</v>
      </c>
      <c r="AE15" s="79">
        <f t="shared" si="2"/>
        <v>65</v>
      </c>
      <c r="AF15" s="79">
        <f t="shared" si="3"/>
        <v>0</v>
      </c>
      <c r="AG15" s="79">
        <f t="shared" si="4"/>
        <v>83.666666666666671</v>
      </c>
      <c r="AH15" s="79">
        <f t="shared" si="5"/>
        <v>65</v>
      </c>
      <c r="AI15" s="79">
        <f t="shared" si="6"/>
        <v>90</v>
      </c>
      <c r="AJ15" s="79">
        <f>IFERROR(SUM(AG15:AI15)/DATAINFO!$N$7,0)</f>
        <v>119.33333333333334</v>
      </c>
      <c r="AK15" s="155">
        <f t="shared" si="7"/>
        <v>119.33333333333334</v>
      </c>
    </row>
    <row r="16" spans="1:38" ht="20.100000000000001" customHeight="1" x14ac:dyDescent="0.2">
      <c r="A16" s="67">
        <f>IF(B16="","",COUNTA($B$12:$B16))</f>
        <v>5</v>
      </c>
      <c r="B16" s="147" t="str">
        <f>IF(Konversi!C15="","",Konversi!C15)</f>
        <v>  234602</v>
      </c>
      <c r="C16" s="227" t="str">
        <f>IF(Konversi!B15="","",Konversi!B15)</f>
        <v>  Desty Listianingsih</v>
      </c>
      <c r="D16" s="227"/>
      <c r="E16" s="79">
        <f>SEKOR!BP7</f>
        <v>42.5</v>
      </c>
      <c r="F16" s="79">
        <f>SEKOR!BQ7</f>
        <v>54.838709677419352</v>
      </c>
      <c r="G16" s="79">
        <f>SEKOR!BT7</f>
        <v>67</v>
      </c>
      <c r="H16" s="79">
        <f>IF(DATA!$F$18="YA",IF(SEKOR!BR7=0,"",SEKOR!BR7),"")</f>
        <v>90</v>
      </c>
      <c r="I16" s="78">
        <v>80</v>
      </c>
      <c r="J16" s="78">
        <v>95</v>
      </c>
      <c r="K16" s="78">
        <v>76</v>
      </c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>
        <f t="shared" si="0"/>
        <v>251</v>
      </c>
      <c r="AD16" s="79">
        <f t="shared" si="1"/>
        <v>0</v>
      </c>
      <c r="AE16" s="79">
        <f t="shared" si="2"/>
        <v>42.5</v>
      </c>
      <c r="AF16" s="79">
        <f t="shared" si="3"/>
        <v>0</v>
      </c>
      <c r="AG16" s="79">
        <f t="shared" si="4"/>
        <v>83.666666666666671</v>
      </c>
      <c r="AH16" s="79">
        <f t="shared" si="5"/>
        <v>42.5</v>
      </c>
      <c r="AI16" s="79">
        <f t="shared" si="6"/>
        <v>90</v>
      </c>
      <c r="AJ16" s="79">
        <f>IFERROR(SUM(AG16:AI16)/DATAINFO!$N$7,0)</f>
        <v>108.08333333333334</v>
      </c>
      <c r="AK16" s="155">
        <f t="shared" si="7"/>
        <v>108.08333333333334</v>
      </c>
    </row>
    <row r="17" spans="1:37" ht="20.100000000000001" customHeight="1" x14ac:dyDescent="0.2">
      <c r="A17" s="67">
        <f>IF(B17="","",COUNTA($B$12:$B17))</f>
        <v>6</v>
      </c>
      <c r="B17" s="147" t="str">
        <f>IF(Konversi!C16="","",Konversi!C16)</f>
        <v>  234610</v>
      </c>
      <c r="C17" s="227" t="str">
        <f>IF(Konversi!B16="","",Konversi!B16)</f>
        <v>  Gita Maghfirahalfariani</v>
      </c>
      <c r="D17" s="227"/>
      <c r="E17" s="79">
        <f>SEKOR!BP8</f>
        <v>37.5</v>
      </c>
      <c r="F17" s="79">
        <f>SEKOR!BQ8</f>
        <v>48.387096774193552</v>
      </c>
      <c r="G17" s="79">
        <f>SEKOR!BT8</f>
        <v>64</v>
      </c>
      <c r="H17" s="79">
        <f>IF(DATA!$F$18="YA",IF(SEKOR!BR8=0,"",SEKOR!BR8),"")</f>
        <v>90</v>
      </c>
      <c r="I17" s="78">
        <v>80</v>
      </c>
      <c r="J17" s="78">
        <v>95</v>
      </c>
      <c r="K17" s="78">
        <v>76</v>
      </c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>
        <f t="shared" si="0"/>
        <v>251</v>
      </c>
      <c r="AD17" s="79">
        <f t="shared" si="1"/>
        <v>0</v>
      </c>
      <c r="AE17" s="79">
        <f t="shared" si="2"/>
        <v>37.5</v>
      </c>
      <c r="AF17" s="79">
        <f t="shared" si="3"/>
        <v>0</v>
      </c>
      <c r="AG17" s="79">
        <f t="shared" si="4"/>
        <v>83.666666666666671</v>
      </c>
      <c r="AH17" s="79">
        <f t="shared" si="5"/>
        <v>37.5</v>
      </c>
      <c r="AI17" s="79">
        <f t="shared" si="6"/>
        <v>90</v>
      </c>
      <c r="AJ17" s="79">
        <f>IFERROR(SUM(AG17:AI17)/DATAINFO!$N$7,0)</f>
        <v>105.58333333333334</v>
      </c>
      <c r="AK17" s="155">
        <f t="shared" si="7"/>
        <v>105.58333333333334</v>
      </c>
    </row>
    <row r="18" spans="1:37" ht="20.100000000000001" customHeight="1" x14ac:dyDescent="0.2">
      <c r="A18" s="67">
        <f>IF(B18="","",COUNTA($B$12:$B18))</f>
        <v>7</v>
      </c>
      <c r="B18" s="147" t="str">
        <f>IF(Konversi!C17="","",Konversi!C17)</f>
        <v>  234622</v>
      </c>
      <c r="C18" s="227" t="str">
        <f>IF(Konversi!B17="","",Konversi!B17)</f>
        <v>  Juleha</v>
      </c>
      <c r="D18" s="227"/>
      <c r="E18" s="79">
        <f>SEKOR!BP9</f>
        <v>62.5</v>
      </c>
      <c r="F18" s="79">
        <f>SEKOR!BQ9</f>
        <v>80.645161290322577</v>
      </c>
      <c r="G18" s="79">
        <f>SEKOR!BT9</f>
        <v>80</v>
      </c>
      <c r="H18" s="79">
        <f>IF(DATA!$F$18="YA",IF(SEKOR!BR9=0,"",SEKOR!BR9),"")</f>
        <v>90</v>
      </c>
      <c r="I18" s="78">
        <v>80</v>
      </c>
      <c r="J18" s="78">
        <v>95</v>
      </c>
      <c r="K18" s="78">
        <v>76</v>
      </c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>
        <f t="shared" si="0"/>
        <v>251</v>
      </c>
      <c r="AD18" s="79">
        <f t="shared" si="1"/>
        <v>0</v>
      </c>
      <c r="AE18" s="79">
        <f t="shared" si="2"/>
        <v>62.5</v>
      </c>
      <c r="AF18" s="79">
        <f t="shared" si="3"/>
        <v>0</v>
      </c>
      <c r="AG18" s="79">
        <f t="shared" si="4"/>
        <v>83.666666666666671</v>
      </c>
      <c r="AH18" s="79">
        <f t="shared" si="5"/>
        <v>62.5</v>
      </c>
      <c r="AI18" s="79">
        <f t="shared" si="6"/>
        <v>90</v>
      </c>
      <c r="AJ18" s="79">
        <f>IFERROR(SUM(AG18:AI18)/DATAINFO!$N$7,0)</f>
        <v>118.08333333333334</v>
      </c>
      <c r="AK18" s="155">
        <f t="shared" si="7"/>
        <v>118.08333333333334</v>
      </c>
    </row>
    <row r="19" spans="1:37" ht="20.100000000000001" customHeight="1" x14ac:dyDescent="0.2">
      <c r="A19" s="67">
        <f>IF(B19="","",COUNTA($B$12:$B19))</f>
        <v>8</v>
      </c>
      <c r="B19" s="147" t="str">
        <f>IF(Konversi!C18="","",Konversi!C18)</f>
        <v>  234623</v>
      </c>
      <c r="C19" s="227" t="str">
        <f>IF(Konversi!B18="","",Konversi!B18)</f>
        <v>  Juwairiah</v>
      </c>
      <c r="D19" s="227"/>
      <c r="E19" s="79">
        <f>SEKOR!BP10</f>
        <v>37.5</v>
      </c>
      <c r="F19" s="79">
        <f>SEKOR!BQ10</f>
        <v>48.387096774193552</v>
      </c>
      <c r="G19" s="79">
        <f>SEKOR!BT10</f>
        <v>64</v>
      </c>
      <c r="H19" s="79">
        <f>IF(DATA!$F$18="YA",IF(SEKOR!BR10=0,"",SEKOR!BR10),"")</f>
        <v>90</v>
      </c>
      <c r="I19" s="78">
        <v>80</v>
      </c>
      <c r="J19" s="78">
        <v>95</v>
      </c>
      <c r="K19" s="78">
        <v>76</v>
      </c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>
        <f t="shared" si="0"/>
        <v>251</v>
      </c>
      <c r="AD19" s="79">
        <f t="shared" si="1"/>
        <v>0</v>
      </c>
      <c r="AE19" s="79">
        <f t="shared" si="2"/>
        <v>37.5</v>
      </c>
      <c r="AF19" s="79">
        <f t="shared" si="3"/>
        <v>0</v>
      </c>
      <c r="AG19" s="79">
        <f t="shared" si="4"/>
        <v>83.666666666666671</v>
      </c>
      <c r="AH19" s="79">
        <f t="shared" si="5"/>
        <v>37.5</v>
      </c>
      <c r="AI19" s="79">
        <f t="shared" si="6"/>
        <v>90</v>
      </c>
      <c r="AJ19" s="79">
        <f>IFERROR(SUM(AG19:AI19)/DATAINFO!$N$7,0)</f>
        <v>105.58333333333334</v>
      </c>
      <c r="AK19" s="155">
        <f t="shared" si="7"/>
        <v>105.58333333333334</v>
      </c>
    </row>
    <row r="20" spans="1:37" ht="20.100000000000001" customHeight="1" x14ac:dyDescent="0.2">
      <c r="A20" s="67">
        <f>IF(B20="","",COUNTA($B$12:$B20))</f>
        <v>9</v>
      </c>
      <c r="B20" s="147" t="str">
        <f>IF(Konversi!C19="","",Konversi!C19)</f>
        <v>  234633</v>
      </c>
      <c r="C20" s="227" t="str">
        <f>IF(Konversi!B19="","",Konversi!B19)</f>
        <v>  M. Rafiqi</v>
      </c>
      <c r="D20" s="227"/>
      <c r="E20" s="79">
        <f>SEKOR!BP11</f>
        <v>52.5</v>
      </c>
      <c r="F20" s="79">
        <f>SEKOR!BQ11</f>
        <v>67.741935483870961</v>
      </c>
      <c r="G20" s="79">
        <f>SEKOR!BT11</f>
        <v>74</v>
      </c>
      <c r="H20" s="79">
        <f>IF(DATA!$F$18="YA",IF(SEKOR!BR11=0,"",SEKOR!BR11),"")</f>
        <v>90</v>
      </c>
      <c r="I20" s="78">
        <v>80</v>
      </c>
      <c r="J20" s="78">
        <v>95</v>
      </c>
      <c r="K20" s="78">
        <v>76</v>
      </c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>
        <f t="shared" si="0"/>
        <v>251</v>
      </c>
      <c r="AD20" s="79">
        <f t="shared" si="1"/>
        <v>0</v>
      </c>
      <c r="AE20" s="79">
        <f t="shared" si="2"/>
        <v>52.5</v>
      </c>
      <c r="AF20" s="79">
        <f t="shared" si="3"/>
        <v>0</v>
      </c>
      <c r="AG20" s="79">
        <f t="shared" si="4"/>
        <v>83.666666666666671</v>
      </c>
      <c r="AH20" s="79">
        <f t="shared" si="5"/>
        <v>52.5</v>
      </c>
      <c r="AI20" s="79">
        <f t="shared" si="6"/>
        <v>90</v>
      </c>
      <c r="AJ20" s="79">
        <f>IFERROR(SUM(AG20:AI20)/DATAINFO!$N$7,0)</f>
        <v>113.08333333333334</v>
      </c>
      <c r="AK20" s="155">
        <f t="shared" si="7"/>
        <v>113.08333333333334</v>
      </c>
    </row>
    <row r="21" spans="1:37" ht="20.100000000000001" customHeight="1" x14ac:dyDescent="0.2">
      <c r="A21" s="67">
        <f>IF(B21="","",COUNTA($B$12:$B21))</f>
        <v>10</v>
      </c>
      <c r="B21" s="147" t="str">
        <f>IF(Konversi!C20="","",Konversi!C20)</f>
        <v>  234656</v>
      </c>
      <c r="C21" s="227" t="str">
        <f>IF(Konversi!B20="","",Konversi!B20)</f>
        <v>  Muhammad Hafiz Fadilah</v>
      </c>
      <c r="D21" s="227"/>
      <c r="E21" s="79">
        <f>SEKOR!BP12</f>
        <v>65</v>
      </c>
      <c r="F21" s="79">
        <f>SEKOR!BQ12</f>
        <v>83.870967741935488</v>
      </c>
      <c r="G21" s="79">
        <f>SEKOR!BT12</f>
        <v>82</v>
      </c>
      <c r="H21" s="79">
        <f>IF(DATA!$F$18="YA",IF(SEKOR!BR12=0,"",SEKOR!BR12),"")</f>
        <v>90</v>
      </c>
      <c r="I21" s="78">
        <v>80</v>
      </c>
      <c r="J21" s="78">
        <v>95</v>
      </c>
      <c r="K21" s="78">
        <v>76</v>
      </c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>
        <f t="shared" si="0"/>
        <v>251</v>
      </c>
      <c r="AD21" s="79">
        <f t="shared" si="1"/>
        <v>0</v>
      </c>
      <c r="AE21" s="79">
        <f t="shared" si="2"/>
        <v>65</v>
      </c>
      <c r="AF21" s="79">
        <f t="shared" si="3"/>
        <v>0</v>
      </c>
      <c r="AG21" s="79">
        <f t="shared" si="4"/>
        <v>83.666666666666671</v>
      </c>
      <c r="AH21" s="79">
        <f t="shared" si="5"/>
        <v>65</v>
      </c>
      <c r="AI21" s="79">
        <f t="shared" si="6"/>
        <v>90</v>
      </c>
      <c r="AJ21" s="79">
        <f>IFERROR(SUM(AG21:AI21)/DATAINFO!$N$7,0)</f>
        <v>119.33333333333334</v>
      </c>
      <c r="AK21" s="155">
        <f t="shared" si="7"/>
        <v>119.33333333333334</v>
      </c>
    </row>
    <row r="22" spans="1:37" ht="20.100000000000001" customHeight="1" x14ac:dyDescent="0.2">
      <c r="A22" s="67">
        <f>IF(B22="","",COUNTA($B$12:$B22))</f>
        <v>11</v>
      </c>
      <c r="B22" s="147" t="str">
        <f>IF(Konversi!C21="","",Konversi!C21)</f>
        <v>  234660</v>
      </c>
      <c r="C22" s="227" t="str">
        <f>IF(Konversi!B21="","",Konversi!B21)</f>
        <v>  Muhammad Iqbal Firdaus</v>
      </c>
      <c r="D22" s="227"/>
      <c r="E22" s="79">
        <f>SEKOR!BP13</f>
        <v>75</v>
      </c>
      <c r="F22" s="79">
        <f>SEKOR!BQ13</f>
        <v>96.774193548387103</v>
      </c>
      <c r="G22" s="79">
        <f>SEKOR!BT13</f>
        <v>89</v>
      </c>
      <c r="H22" s="79">
        <f>IF(DATA!$F$18="YA",IF(SEKOR!BR13=0,"",SEKOR!BR13),"")</f>
        <v>90</v>
      </c>
      <c r="I22" s="78">
        <v>80</v>
      </c>
      <c r="J22" s="78">
        <v>95</v>
      </c>
      <c r="K22" s="78">
        <v>76</v>
      </c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>
        <f t="shared" si="0"/>
        <v>251</v>
      </c>
      <c r="AD22" s="79">
        <f t="shared" si="1"/>
        <v>0</v>
      </c>
      <c r="AE22" s="79">
        <f t="shared" si="2"/>
        <v>75</v>
      </c>
      <c r="AF22" s="79">
        <f t="shared" si="3"/>
        <v>0</v>
      </c>
      <c r="AG22" s="79">
        <f t="shared" si="4"/>
        <v>83.666666666666671</v>
      </c>
      <c r="AH22" s="79">
        <f t="shared" si="5"/>
        <v>75</v>
      </c>
      <c r="AI22" s="79">
        <f t="shared" si="6"/>
        <v>90</v>
      </c>
      <c r="AJ22" s="79">
        <f>IFERROR(SUM(AG22:AI22)/DATAINFO!$N$7,0)</f>
        <v>124.33333333333334</v>
      </c>
      <c r="AK22" s="155">
        <f t="shared" si="7"/>
        <v>124.33333333333334</v>
      </c>
    </row>
    <row r="23" spans="1:37" ht="20.100000000000001" customHeight="1" x14ac:dyDescent="0.2">
      <c r="A23" s="67">
        <f>IF(B23="","",COUNTA($B$12:$B23))</f>
        <v>12</v>
      </c>
      <c r="B23" s="147" t="str">
        <f>IF(Konversi!C22="","",Konversi!C22)</f>
        <v>  234661</v>
      </c>
      <c r="C23" s="227" t="str">
        <f>IF(Konversi!B22="","",Konversi!B22)</f>
        <v>  Muhammad Jamil</v>
      </c>
      <c r="D23" s="227"/>
      <c r="E23" s="79">
        <f>SEKOR!BP14</f>
        <v>45</v>
      </c>
      <c r="F23" s="79">
        <f>SEKOR!BQ14</f>
        <v>58.064516129032263</v>
      </c>
      <c r="G23" s="79">
        <f>SEKOR!BT14</f>
        <v>69</v>
      </c>
      <c r="H23" s="79">
        <f>IF(DATA!$F$18="YA",IF(SEKOR!BR14=0,"",SEKOR!BR14),"")</f>
        <v>90</v>
      </c>
      <c r="I23" s="78">
        <v>80</v>
      </c>
      <c r="J23" s="78">
        <v>95</v>
      </c>
      <c r="K23" s="78">
        <v>76</v>
      </c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>
        <f t="shared" si="0"/>
        <v>251</v>
      </c>
      <c r="AD23" s="79">
        <f t="shared" si="1"/>
        <v>0</v>
      </c>
      <c r="AE23" s="79">
        <f t="shared" si="2"/>
        <v>45</v>
      </c>
      <c r="AF23" s="79">
        <f t="shared" si="3"/>
        <v>0</v>
      </c>
      <c r="AG23" s="79">
        <f t="shared" si="4"/>
        <v>83.666666666666671</v>
      </c>
      <c r="AH23" s="79">
        <f t="shared" si="5"/>
        <v>45</v>
      </c>
      <c r="AI23" s="79">
        <f t="shared" si="6"/>
        <v>90</v>
      </c>
      <c r="AJ23" s="79">
        <f>IFERROR(SUM(AG23:AI23)/DATAINFO!$N$7,0)</f>
        <v>109.33333333333334</v>
      </c>
      <c r="AK23" s="155">
        <f t="shared" si="7"/>
        <v>109.33333333333334</v>
      </c>
    </row>
    <row r="24" spans="1:37" ht="20.100000000000001" customHeight="1" x14ac:dyDescent="0.2">
      <c r="A24" s="67">
        <f>IF(B24="","",COUNTA($B$12:$B24))</f>
        <v>13</v>
      </c>
      <c r="B24" s="147" t="str">
        <f>IF(Konversi!C23="","",Konversi!C23)</f>
        <v>  234662</v>
      </c>
      <c r="C24" s="227" t="str">
        <f>IF(Konversi!B23="","",Konversi!B23)</f>
        <v>  Muhammad Mubaraq</v>
      </c>
      <c r="D24" s="227"/>
      <c r="E24" s="79">
        <f>SEKOR!BP15</f>
        <v>65</v>
      </c>
      <c r="F24" s="79">
        <f>SEKOR!BQ15</f>
        <v>83.870967741935488</v>
      </c>
      <c r="G24" s="79">
        <f>SEKOR!BT15</f>
        <v>82</v>
      </c>
      <c r="H24" s="79">
        <f>IF(DATA!$F$18="YA",IF(SEKOR!BR15=0,"",SEKOR!BR15),"")</f>
        <v>90</v>
      </c>
      <c r="I24" s="78">
        <v>80</v>
      </c>
      <c r="J24" s="78">
        <v>95</v>
      </c>
      <c r="K24" s="78">
        <v>76</v>
      </c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>
        <f t="shared" si="0"/>
        <v>251</v>
      </c>
      <c r="AD24" s="79">
        <f t="shared" si="1"/>
        <v>0</v>
      </c>
      <c r="AE24" s="79">
        <f t="shared" si="2"/>
        <v>65</v>
      </c>
      <c r="AF24" s="79">
        <f t="shared" si="3"/>
        <v>0</v>
      </c>
      <c r="AG24" s="79">
        <f t="shared" si="4"/>
        <v>83.666666666666671</v>
      </c>
      <c r="AH24" s="79">
        <f t="shared" si="5"/>
        <v>65</v>
      </c>
      <c r="AI24" s="79">
        <f t="shared" si="6"/>
        <v>90</v>
      </c>
      <c r="AJ24" s="79">
        <f>IFERROR(SUM(AG24:AI24)/DATAINFO!$N$7,0)</f>
        <v>119.33333333333334</v>
      </c>
      <c r="AK24" s="155">
        <f t="shared" si="7"/>
        <v>119.33333333333334</v>
      </c>
    </row>
    <row r="25" spans="1:37" ht="20.100000000000001" customHeight="1" x14ac:dyDescent="0.2">
      <c r="A25" s="67">
        <f>IF(B25="","",COUNTA($B$12:$B25))</f>
        <v>14</v>
      </c>
      <c r="B25" s="147" t="str">
        <f>IF(Konversi!C24="","",Konversi!C24)</f>
        <v>  234632</v>
      </c>
      <c r="C25" s="227" t="str">
        <f>IF(Konversi!B24="","",Konversi!B24)</f>
        <v>  Muhammad Nazril Ilmi</v>
      </c>
      <c r="D25" s="227"/>
      <c r="E25" s="79">
        <f>SEKOR!BP16</f>
        <v>35</v>
      </c>
      <c r="F25" s="79">
        <f>SEKOR!BQ16</f>
        <v>45.161290322580641</v>
      </c>
      <c r="G25" s="79">
        <f>SEKOR!BT16</f>
        <v>62</v>
      </c>
      <c r="H25" s="79">
        <f>IF(DATA!$F$18="YA",IF(SEKOR!BR16=0,"",SEKOR!BR16),"")</f>
        <v>90</v>
      </c>
      <c r="I25" s="78">
        <v>80</v>
      </c>
      <c r="J25" s="78">
        <v>95</v>
      </c>
      <c r="K25" s="78">
        <v>76</v>
      </c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>
        <f t="shared" si="0"/>
        <v>251</v>
      </c>
      <c r="AD25" s="79">
        <f t="shared" si="1"/>
        <v>0</v>
      </c>
      <c r="AE25" s="79">
        <f t="shared" si="2"/>
        <v>35</v>
      </c>
      <c r="AF25" s="79">
        <f t="shared" si="3"/>
        <v>0</v>
      </c>
      <c r="AG25" s="79">
        <f t="shared" si="4"/>
        <v>83.666666666666671</v>
      </c>
      <c r="AH25" s="79">
        <f t="shared" si="5"/>
        <v>35</v>
      </c>
      <c r="AI25" s="79">
        <f t="shared" si="6"/>
        <v>90</v>
      </c>
      <c r="AJ25" s="79">
        <f>IFERROR(SUM(AG25:AI25)/DATAINFO!$N$7,0)</f>
        <v>104.33333333333334</v>
      </c>
      <c r="AK25" s="155">
        <f t="shared" si="7"/>
        <v>104.33333333333334</v>
      </c>
    </row>
    <row r="26" spans="1:37" ht="20.100000000000001" customHeight="1" x14ac:dyDescent="0.2">
      <c r="A26" s="67">
        <f>IF(B26="","",COUNTA($B$12:$B26))</f>
        <v>15</v>
      </c>
      <c r="B26" s="147" t="str">
        <f>IF(Konversi!C25="","",Konversi!C25)</f>
        <v>  234678</v>
      </c>
      <c r="C26" s="227" t="str">
        <f>IF(Konversi!B25="","",Konversi!B25)</f>
        <v>  Muthia Rima Putri</v>
      </c>
      <c r="D26" s="227"/>
      <c r="E26" s="79">
        <f>SEKOR!BP17</f>
        <v>65</v>
      </c>
      <c r="F26" s="79">
        <f>SEKOR!BQ17</f>
        <v>83.870967741935488</v>
      </c>
      <c r="G26" s="79">
        <f>SEKOR!BT17</f>
        <v>82</v>
      </c>
      <c r="H26" s="79">
        <f>IF(DATA!$F$18="YA",IF(SEKOR!BR17=0,"",SEKOR!BR17),"")</f>
        <v>90</v>
      </c>
      <c r="I26" s="78">
        <v>80</v>
      </c>
      <c r="J26" s="78">
        <v>95</v>
      </c>
      <c r="K26" s="78">
        <v>76</v>
      </c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>
        <f t="shared" si="0"/>
        <v>251</v>
      </c>
      <c r="AD26" s="79">
        <f t="shared" si="1"/>
        <v>0</v>
      </c>
      <c r="AE26" s="79">
        <f t="shared" si="2"/>
        <v>65</v>
      </c>
      <c r="AF26" s="79">
        <f t="shared" si="3"/>
        <v>0</v>
      </c>
      <c r="AG26" s="79">
        <f t="shared" si="4"/>
        <v>83.666666666666671</v>
      </c>
      <c r="AH26" s="79">
        <f t="shared" si="5"/>
        <v>65</v>
      </c>
      <c r="AI26" s="79">
        <f t="shared" si="6"/>
        <v>90</v>
      </c>
      <c r="AJ26" s="79">
        <f>IFERROR(SUM(AG26:AI26)/DATAINFO!$N$7,0)</f>
        <v>119.33333333333334</v>
      </c>
      <c r="AK26" s="155">
        <f t="shared" si="7"/>
        <v>119.33333333333334</v>
      </c>
    </row>
    <row r="27" spans="1:37" ht="20.100000000000001" customHeight="1" x14ac:dyDescent="0.2">
      <c r="A27" s="67">
        <f>IF(B27="","",COUNTA($B$12:$B27))</f>
        <v>16</v>
      </c>
      <c r="B27" s="147" t="str">
        <f>IF(Konversi!C26="","",Konversi!C26)</f>
        <v>  234680</v>
      </c>
      <c r="C27" s="227" t="str">
        <f>IF(Konversi!B26="","",Konversi!B26)</f>
        <v>  Nanda Mujlina Putri</v>
      </c>
      <c r="D27" s="227"/>
      <c r="E27" s="79">
        <f>SEKOR!BP18</f>
        <v>57.499999999999993</v>
      </c>
      <c r="F27" s="79">
        <f>SEKOR!BQ18</f>
        <v>74.193548387096769</v>
      </c>
      <c r="G27" s="79">
        <f>SEKOR!BT18</f>
        <v>77</v>
      </c>
      <c r="H27" s="79">
        <f>IF(DATA!$F$18="YA",IF(SEKOR!BR18=0,"",SEKOR!BR18),"")</f>
        <v>90</v>
      </c>
      <c r="I27" s="78">
        <v>80</v>
      </c>
      <c r="J27" s="78">
        <v>95</v>
      </c>
      <c r="K27" s="78">
        <v>76</v>
      </c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>
        <f t="shared" si="0"/>
        <v>251</v>
      </c>
      <c r="AD27" s="79">
        <f t="shared" si="1"/>
        <v>0</v>
      </c>
      <c r="AE27" s="79">
        <f t="shared" si="2"/>
        <v>57.499999999999993</v>
      </c>
      <c r="AF27" s="79">
        <f t="shared" si="3"/>
        <v>0</v>
      </c>
      <c r="AG27" s="79">
        <f t="shared" si="4"/>
        <v>83.666666666666671</v>
      </c>
      <c r="AH27" s="79">
        <f t="shared" si="5"/>
        <v>57.499999999999993</v>
      </c>
      <c r="AI27" s="79">
        <f t="shared" si="6"/>
        <v>90</v>
      </c>
      <c r="AJ27" s="79">
        <f>IFERROR(SUM(AG27:AI27)/DATAINFO!$N$7,0)</f>
        <v>115.58333333333333</v>
      </c>
      <c r="AK27" s="155">
        <f t="shared" si="7"/>
        <v>115.58333333333333</v>
      </c>
    </row>
    <row r="28" spans="1:37" ht="20.100000000000001" customHeight="1" x14ac:dyDescent="0.2">
      <c r="A28" s="67">
        <f>IF(B28="","",COUNTA($B$12:$B28))</f>
        <v>17</v>
      </c>
      <c r="B28" s="147" t="str">
        <f>IF(Konversi!C27="","",Konversi!C27)</f>
        <v>  234685</v>
      </c>
      <c r="C28" s="227" t="str">
        <f>IF(Konversi!B27="","",Konversi!B27)</f>
        <v>  Noor Andini</v>
      </c>
      <c r="D28" s="227"/>
      <c r="E28" s="79">
        <f>SEKOR!BP19</f>
        <v>47.5</v>
      </c>
      <c r="F28" s="79">
        <f>SEKOR!BQ19</f>
        <v>61.29032258064516</v>
      </c>
      <c r="G28" s="79">
        <f>SEKOR!BT19</f>
        <v>70</v>
      </c>
      <c r="H28" s="79">
        <f>IF(DATA!$F$18="YA",IF(SEKOR!BR19=0,"",SEKOR!BR19),"")</f>
        <v>90</v>
      </c>
      <c r="I28" s="78">
        <v>80</v>
      </c>
      <c r="J28" s="78">
        <v>95</v>
      </c>
      <c r="K28" s="78">
        <v>76</v>
      </c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>
        <f t="shared" si="0"/>
        <v>251</v>
      </c>
      <c r="AD28" s="79">
        <f t="shared" si="1"/>
        <v>0</v>
      </c>
      <c r="AE28" s="79">
        <f t="shared" si="2"/>
        <v>47.5</v>
      </c>
      <c r="AF28" s="79">
        <f t="shared" si="3"/>
        <v>0</v>
      </c>
      <c r="AG28" s="79">
        <f t="shared" si="4"/>
        <v>83.666666666666671</v>
      </c>
      <c r="AH28" s="79">
        <f t="shared" si="5"/>
        <v>47.5</v>
      </c>
      <c r="AI28" s="79">
        <f t="shared" si="6"/>
        <v>90</v>
      </c>
      <c r="AJ28" s="79">
        <f>IFERROR(SUM(AG28:AI28)/DATAINFO!$N$7,0)</f>
        <v>110.58333333333334</v>
      </c>
      <c r="AK28" s="155">
        <f t="shared" si="7"/>
        <v>110.58333333333334</v>
      </c>
    </row>
    <row r="29" spans="1:37" ht="20.100000000000001" customHeight="1" x14ac:dyDescent="0.2">
      <c r="A29" s="67">
        <f>IF(B29="","",COUNTA($B$12:$B29))</f>
        <v>18</v>
      </c>
      <c r="B29" s="147" t="str">
        <f>IF(Konversi!C28="","",Konversi!C28)</f>
        <v>  234695</v>
      </c>
      <c r="C29" s="227" t="str">
        <f>IF(Konversi!B28="","",Konversi!B28)</f>
        <v>  Nurhayanti</v>
      </c>
      <c r="D29" s="227"/>
      <c r="E29" s="79">
        <f>SEKOR!BP20</f>
        <v>77.5</v>
      </c>
      <c r="F29" s="79">
        <f>SEKOR!BQ20</f>
        <v>100</v>
      </c>
      <c r="G29" s="79">
        <f>SEKOR!BT20</f>
        <v>90</v>
      </c>
      <c r="H29" s="79">
        <f>IF(DATA!$F$18="YA",IF(SEKOR!BR20=0,"",SEKOR!BR20),"")</f>
        <v>90</v>
      </c>
      <c r="I29" s="78">
        <v>80</v>
      </c>
      <c r="J29" s="78">
        <v>95</v>
      </c>
      <c r="K29" s="78">
        <v>76</v>
      </c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>
        <f t="shared" si="0"/>
        <v>251</v>
      </c>
      <c r="AD29" s="79">
        <f t="shared" si="1"/>
        <v>0</v>
      </c>
      <c r="AE29" s="79">
        <f t="shared" si="2"/>
        <v>77.5</v>
      </c>
      <c r="AF29" s="79">
        <f t="shared" si="3"/>
        <v>0</v>
      </c>
      <c r="AG29" s="79">
        <f t="shared" si="4"/>
        <v>83.666666666666671</v>
      </c>
      <c r="AH29" s="79">
        <f t="shared" si="5"/>
        <v>77.5</v>
      </c>
      <c r="AI29" s="79">
        <f t="shared" si="6"/>
        <v>90</v>
      </c>
      <c r="AJ29" s="79">
        <f>IFERROR(SUM(AG29:AI29)/DATAINFO!$N$7,0)</f>
        <v>125.58333333333334</v>
      </c>
      <c r="AK29" s="155">
        <f t="shared" si="7"/>
        <v>125.58333333333334</v>
      </c>
    </row>
    <row r="30" spans="1:37" ht="20.100000000000001" customHeight="1" x14ac:dyDescent="0.2">
      <c r="A30" s="67">
        <f>IF(B30="","",COUNTA($B$12:$B30))</f>
        <v>19</v>
      </c>
      <c r="B30" s="147" t="str">
        <f>IF(Konversi!C29="","",Konversi!C29)</f>
        <v>  234709</v>
      </c>
      <c r="C30" s="227" t="str">
        <f>IF(Konversi!B29="","",Konversi!B29)</f>
        <v>  Raisol</v>
      </c>
      <c r="D30" s="227"/>
      <c r="E30" s="79">
        <f>SEKOR!BP21</f>
        <v>17.5</v>
      </c>
      <c r="F30" s="79">
        <f>SEKOR!BQ21</f>
        <v>22.58064516129032</v>
      </c>
      <c r="G30" s="79">
        <f>SEKOR!BT21</f>
        <v>50</v>
      </c>
      <c r="H30" s="79">
        <f>IF(DATA!$F$18="YA",IF(SEKOR!BR21=0,"",SEKOR!BR21),"")</f>
        <v>90</v>
      </c>
      <c r="I30" s="78">
        <v>80</v>
      </c>
      <c r="J30" s="78">
        <v>95</v>
      </c>
      <c r="K30" s="78">
        <v>76</v>
      </c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>
        <f t="shared" si="0"/>
        <v>251</v>
      </c>
      <c r="AD30" s="79">
        <f t="shared" si="1"/>
        <v>0</v>
      </c>
      <c r="AE30" s="79">
        <f t="shared" si="2"/>
        <v>17.5</v>
      </c>
      <c r="AF30" s="79">
        <f t="shared" si="3"/>
        <v>0</v>
      </c>
      <c r="AG30" s="79">
        <f t="shared" si="4"/>
        <v>83.666666666666671</v>
      </c>
      <c r="AH30" s="79">
        <f t="shared" si="5"/>
        <v>17.5</v>
      </c>
      <c r="AI30" s="79">
        <f t="shared" si="6"/>
        <v>90</v>
      </c>
      <c r="AJ30" s="79">
        <f>IFERROR(SUM(AG30:AI30)/DATAINFO!$N$7,0)</f>
        <v>95.583333333333343</v>
      </c>
      <c r="AK30" s="155">
        <f t="shared" si="7"/>
        <v>95.583333333333343</v>
      </c>
    </row>
    <row r="31" spans="1:37" ht="20.100000000000001" customHeight="1" x14ac:dyDescent="0.2">
      <c r="A31" s="67">
        <f>IF(B31="","",COUNTA($B$12:$B31))</f>
        <v>20</v>
      </c>
      <c r="B31" s="147" t="str">
        <f>IF(Konversi!C30="","",Konversi!C30)</f>
        <v>  234708</v>
      </c>
      <c r="C31" s="227" t="str">
        <f>IF(Konversi!B30="","",Konversi!B30)</f>
        <v>  Rayshar Andhika Pratama</v>
      </c>
      <c r="D31" s="227"/>
      <c r="E31" s="79">
        <f>SEKOR!BP22</f>
        <v>25</v>
      </c>
      <c r="F31" s="79">
        <f>SEKOR!BQ22</f>
        <v>32.258064516129032</v>
      </c>
      <c r="G31" s="79">
        <f>SEKOR!BT22</f>
        <v>55</v>
      </c>
      <c r="H31" s="79">
        <f>IF(DATA!$F$18="YA",IF(SEKOR!BR22=0,"",SEKOR!BR22),"")</f>
        <v>90</v>
      </c>
      <c r="I31" s="78">
        <v>80</v>
      </c>
      <c r="J31" s="78">
        <v>95</v>
      </c>
      <c r="K31" s="78">
        <v>76</v>
      </c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>
        <f t="shared" si="0"/>
        <v>251</v>
      </c>
      <c r="AD31" s="79">
        <f t="shared" si="1"/>
        <v>0</v>
      </c>
      <c r="AE31" s="79">
        <f t="shared" si="2"/>
        <v>25</v>
      </c>
      <c r="AF31" s="79">
        <f t="shared" si="3"/>
        <v>0</v>
      </c>
      <c r="AG31" s="79">
        <f t="shared" si="4"/>
        <v>83.666666666666671</v>
      </c>
      <c r="AH31" s="79">
        <f t="shared" si="5"/>
        <v>25</v>
      </c>
      <c r="AI31" s="79">
        <f t="shared" si="6"/>
        <v>90</v>
      </c>
      <c r="AJ31" s="79">
        <f>IFERROR(SUM(AG31:AI31)/DATAINFO!$N$7,0)</f>
        <v>99.333333333333343</v>
      </c>
      <c r="AK31" s="155">
        <f t="shared" si="7"/>
        <v>99.333333333333343</v>
      </c>
    </row>
    <row r="32" spans="1:37" ht="20.100000000000001" customHeight="1" x14ac:dyDescent="0.2">
      <c r="A32" s="67">
        <f>IF(B32="","",COUNTA($B$12:$B32))</f>
        <v>21</v>
      </c>
      <c r="B32" s="147" t="str">
        <f>IF(Konversi!C31="","",Konversi!C31)</f>
        <v>  234711</v>
      </c>
      <c r="C32" s="227" t="str">
        <f>IF(Konversi!B31="","",Konversi!B31)</f>
        <v>  Rino Fiansyah</v>
      </c>
      <c r="D32" s="227"/>
      <c r="E32" s="79">
        <f>SEKOR!BP23</f>
        <v>40</v>
      </c>
      <c r="F32" s="79">
        <f>SEKOR!BQ23</f>
        <v>51.612903225806448</v>
      </c>
      <c r="G32" s="79">
        <f>SEKOR!BT23</f>
        <v>65</v>
      </c>
      <c r="H32" s="79">
        <f>IF(DATA!$F$18="YA",IF(SEKOR!BR23=0,"",SEKOR!BR23),"")</f>
        <v>90</v>
      </c>
      <c r="I32" s="78">
        <v>80</v>
      </c>
      <c r="J32" s="78">
        <v>95</v>
      </c>
      <c r="K32" s="78">
        <v>76</v>
      </c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>
        <f t="shared" si="0"/>
        <v>251</v>
      </c>
      <c r="AD32" s="79">
        <f t="shared" si="1"/>
        <v>0</v>
      </c>
      <c r="AE32" s="79">
        <f t="shared" si="2"/>
        <v>40</v>
      </c>
      <c r="AF32" s="79">
        <f t="shared" si="3"/>
        <v>0</v>
      </c>
      <c r="AG32" s="79">
        <f t="shared" si="4"/>
        <v>83.666666666666671</v>
      </c>
      <c r="AH32" s="79">
        <f t="shared" si="5"/>
        <v>40</v>
      </c>
      <c r="AI32" s="79">
        <f t="shared" si="6"/>
        <v>90</v>
      </c>
      <c r="AJ32" s="79">
        <f>IFERROR(SUM(AG32:AI32)/DATAINFO!$N$7,0)</f>
        <v>106.83333333333334</v>
      </c>
      <c r="AK32" s="155">
        <f t="shared" si="7"/>
        <v>106.83333333333334</v>
      </c>
    </row>
    <row r="33" spans="1:37" ht="20.100000000000001" customHeight="1" x14ac:dyDescent="0.2">
      <c r="A33" s="67">
        <f>IF(B33="","",COUNTA($B$12:$B33))</f>
        <v>22</v>
      </c>
      <c r="B33" s="147" t="str">
        <f>IF(Konversi!C32="","",Konversi!C32)</f>
        <v>  234712</v>
      </c>
      <c r="C33" s="227" t="str">
        <f>IF(Konversi!B32="","",Konversi!B32)</f>
        <v>  Ririn Dea Razmiarti</v>
      </c>
      <c r="D33" s="227"/>
      <c r="E33" s="79">
        <f>SEKOR!BP24</f>
        <v>65</v>
      </c>
      <c r="F33" s="79">
        <f>SEKOR!BQ24</f>
        <v>83.870967741935488</v>
      </c>
      <c r="G33" s="79">
        <f>SEKOR!BT24</f>
        <v>82</v>
      </c>
      <c r="H33" s="79">
        <f>IF(DATA!$F$18="YA",IF(SEKOR!BR24=0,"",SEKOR!BR24),"")</f>
        <v>90</v>
      </c>
      <c r="I33" s="78">
        <v>80</v>
      </c>
      <c r="J33" s="78">
        <v>95</v>
      </c>
      <c r="K33" s="78">
        <v>76</v>
      </c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>
        <f t="shared" si="0"/>
        <v>251</v>
      </c>
      <c r="AD33" s="79">
        <f t="shared" si="1"/>
        <v>0</v>
      </c>
      <c r="AE33" s="79">
        <f t="shared" si="2"/>
        <v>65</v>
      </c>
      <c r="AF33" s="79">
        <f t="shared" si="3"/>
        <v>0</v>
      </c>
      <c r="AG33" s="79">
        <f t="shared" si="4"/>
        <v>83.666666666666671</v>
      </c>
      <c r="AH33" s="79">
        <f t="shared" si="5"/>
        <v>65</v>
      </c>
      <c r="AI33" s="79">
        <f t="shared" si="6"/>
        <v>90</v>
      </c>
      <c r="AJ33" s="79">
        <f>IFERROR(SUM(AG33:AI33)/DATAINFO!$N$7,0)</f>
        <v>119.33333333333334</v>
      </c>
      <c r="AK33" s="155">
        <f t="shared" si="7"/>
        <v>119.33333333333334</v>
      </c>
    </row>
    <row r="34" spans="1:37" ht="20.100000000000001" customHeight="1" x14ac:dyDescent="0.2">
      <c r="A34" s="67">
        <f>IF(B34="","",COUNTA($B$12:$B34))</f>
        <v>23</v>
      </c>
      <c r="B34" s="147" t="str">
        <f>IF(Konversi!C33="","",Konversi!C33)</f>
        <v>  234719</v>
      </c>
      <c r="C34" s="227" t="str">
        <f>IF(Konversi!B33="","",Konversi!B33)</f>
        <v>  Suci Rahmawati</v>
      </c>
      <c r="D34" s="227"/>
      <c r="E34" s="79">
        <f>SEKOR!BP25</f>
        <v>52.5</v>
      </c>
      <c r="F34" s="79">
        <f>SEKOR!BQ25</f>
        <v>67.741935483870961</v>
      </c>
      <c r="G34" s="79">
        <f>SEKOR!BT25</f>
        <v>74</v>
      </c>
      <c r="H34" s="79">
        <f>IF(DATA!$F$18="YA",IF(SEKOR!BR25=0,"",SEKOR!BR25),"")</f>
        <v>90</v>
      </c>
      <c r="I34" s="78">
        <v>80</v>
      </c>
      <c r="J34" s="78">
        <v>95</v>
      </c>
      <c r="K34" s="78">
        <v>76</v>
      </c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>
        <f t="shared" si="0"/>
        <v>251</v>
      </c>
      <c r="AD34" s="79">
        <f t="shared" si="1"/>
        <v>0</v>
      </c>
      <c r="AE34" s="79">
        <f t="shared" si="2"/>
        <v>52.5</v>
      </c>
      <c r="AF34" s="79">
        <f t="shared" si="3"/>
        <v>0</v>
      </c>
      <c r="AG34" s="79">
        <f t="shared" si="4"/>
        <v>83.666666666666671</v>
      </c>
      <c r="AH34" s="79">
        <f t="shared" si="5"/>
        <v>52.5</v>
      </c>
      <c r="AI34" s="79">
        <f t="shared" si="6"/>
        <v>90</v>
      </c>
      <c r="AJ34" s="79">
        <f>IFERROR(SUM(AG34:AI34)/DATAINFO!$N$7,0)</f>
        <v>113.08333333333334</v>
      </c>
      <c r="AK34" s="155">
        <f t="shared" si="7"/>
        <v>113.08333333333334</v>
      </c>
    </row>
    <row r="35" spans="1:37" ht="20.100000000000001" customHeight="1" x14ac:dyDescent="0.2">
      <c r="A35" s="67">
        <f>IF(B35="","",COUNTA($B$12:$B35))</f>
        <v>24</v>
      </c>
      <c r="B35" s="147" t="str">
        <f>IF(Konversi!C34="","",Konversi!C34)</f>
        <v>  234721</v>
      </c>
      <c r="C35" s="227" t="str">
        <f>IF(Konversi!B34="","",Konversi!B34)</f>
        <v>  Syifa Aulia Rahmah</v>
      </c>
      <c r="D35" s="227"/>
      <c r="E35" s="79">
        <f>SEKOR!BP26</f>
        <v>47.5</v>
      </c>
      <c r="F35" s="79">
        <f>SEKOR!BQ26</f>
        <v>61.29032258064516</v>
      </c>
      <c r="G35" s="79">
        <f>SEKOR!BT26</f>
        <v>70</v>
      </c>
      <c r="H35" s="79">
        <f>IF(DATA!$F$18="YA",IF(SEKOR!BR26=0,"",SEKOR!BR26),"")</f>
        <v>90</v>
      </c>
      <c r="I35" s="78">
        <v>80</v>
      </c>
      <c r="J35" s="78">
        <v>95</v>
      </c>
      <c r="K35" s="78">
        <v>76</v>
      </c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>
        <f t="shared" si="0"/>
        <v>251</v>
      </c>
      <c r="AD35" s="79">
        <f t="shared" si="1"/>
        <v>0</v>
      </c>
      <c r="AE35" s="79">
        <f t="shared" si="2"/>
        <v>47.5</v>
      </c>
      <c r="AF35" s="79">
        <f t="shared" si="3"/>
        <v>0</v>
      </c>
      <c r="AG35" s="79">
        <f t="shared" si="4"/>
        <v>83.666666666666671</v>
      </c>
      <c r="AH35" s="79">
        <f t="shared" si="5"/>
        <v>47.5</v>
      </c>
      <c r="AI35" s="79">
        <f t="shared" si="6"/>
        <v>90</v>
      </c>
      <c r="AJ35" s="79">
        <f>IFERROR(SUM(AG35:AI35)/DATAINFO!$N$7,0)</f>
        <v>110.58333333333334</v>
      </c>
      <c r="AK35" s="155">
        <f t="shared" si="7"/>
        <v>110.58333333333334</v>
      </c>
    </row>
    <row r="36" spans="1:37" ht="20.100000000000001" customHeight="1" x14ac:dyDescent="0.2">
      <c r="A36" s="67">
        <f>IF(B36="","",COUNTA($B$12:$B36))</f>
        <v>25</v>
      </c>
      <c r="B36" s="147" t="str">
        <f>IF(Konversi!C35="","",Konversi!C35)</f>
        <v>  234727</v>
      </c>
      <c r="C36" s="227" t="str">
        <f>IF(Konversi!B35="","",Konversi!B35)</f>
        <v>  Zainuddin</v>
      </c>
      <c r="D36" s="227"/>
      <c r="E36" s="79">
        <f>SEKOR!BP27</f>
        <v>52.5</v>
      </c>
      <c r="F36" s="79">
        <f>SEKOR!BQ27</f>
        <v>67.741935483870961</v>
      </c>
      <c r="G36" s="79">
        <f>SEKOR!BT27</f>
        <v>74</v>
      </c>
      <c r="H36" s="79">
        <f>IF(DATA!$F$18="YA",IF(SEKOR!BR27=0,"",SEKOR!BR27),"")</f>
        <v>90</v>
      </c>
      <c r="I36" s="78">
        <v>80</v>
      </c>
      <c r="J36" s="78">
        <v>95</v>
      </c>
      <c r="K36" s="78">
        <v>76</v>
      </c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>
        <f t="shared" si="0"/>
        <v>251</v>
      </c>
      <c r="AD36" s="79">
        <f t="shared" si="1"/>
        <v>0</v>
      </c>
      <c r="AE36" s="79">
        <f t="shared" si="2"/>
        <v>52.5</v>
      </c>
      <c r="AF36" s="79">
        <f t="shared" si="3"/>
        <v>0</v>
      </c>
      <c r="AG36" s="79">
        <f t="shared" si="4"/>
        <v>83.666666666666671</v>
      </c>
      <c r="AH36" s="79">
        <f t="shared" si="5"/>
        <v>52.5</v>
      </c>
      <c r="AI36" s="79">
        <f t="shared" si="6"/>
        <v>90</v>
      </c>
      <c r="AJ36" s="79">
        <f>IFERROR(SUM(AG36:AI36)/DATAINFO!$N$7,0)</f>
        <v>113.08333333333334</v>
      </c>
      <c r="AK36" s="155">
        <f t="shared" si="7"/>
        <v>113.08333333333334</v>
      </c>
    </row>
    <row r="37" spans="1:37" ht="20.100000000000001" customHeight="1" x14ac:dyDescent="0.2">
      <c r="A37" s="67">
        <f>IF(B37="","",COUNTA($B$12:$B37))</f>
        <v>26</v>
      </c>
      <c r="B37" s="147" t="str">
        <f>IF(Konversi!C36="","",Konversi!C36)</f>
        <v>  1</v>
      </c>
      <c r="C37" s="227" t="str">
        <f>IF(Konversi!B36="","",Konversi!B36)</f>
        <v>  Latif</v>
      </c>
      <c r="D37" s="227"/>
      <c r="E37" s="79">
        <f>SEKOR!BP28</f>
        <v>37.5</v>
      </c>
      <c r="F37" s="79">
        <f>SEKOR!BQ28</f>
        <v>48.387096774193552</v>
      </c>
      <c r="G37" s="79">
        <f>SEKOR!BT28</f>
        <v>64</v>
      </c>
      <c r="H37" s="79">
        <f>IF(DATA!$F$18="YA",IF(SEKOR!BR28=0,"",SEKOR!BR28),"")</f>
        <v>90</v>
      </c>
      <c r="I37" s="78">
        <v>80</v>
      </c>
      <c r="J37" s="78">
        <v>95</v>
      </c>
      <c r="K37" s="78">
        <v>76</v>
      </c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>
        <f t="shared" si="0"/>
        <v>251</v>
      </c>
      <c r="AD37" s="79">
        <f t="shared" si="1"/>
        <v>0</v>
      </c>
      <c r="AE37" s="79">
        <f t="shared" si="2"/>
        <v>37.5</v>
      </c>
      <c r="AF37" s="79">
        <f t="shared" si="3"/>
        <v>0</v>
      </c>
      <c r="AG37" s="79">
        <f t="shared" si="4"/>
        <v>83.666666666666671</v>
      </c>
      <c r="AH37" s="79">
        <f t="shared" si="5"/>
        <v>37.5</v>
      </c>
      <c r="AI37" s="79">
        <f t="shared" si="6"/>
        <v>90</v>
      </c>
      <c r="AJ37" s="79">
        <f>IFERROR(SUM(AG37:AI37)/DATAINFO!$N$7,0)</f>
        <v>105.58333333333334</v>
      </c>
      <c r="AK37" s="155">
        <f t="shared" si="7"/>
        <v>105.58333333333334</v>
      </c>
    </row>
    <row r="38" spans="1:37" ht="20.100000000000001" customHeight="1" x14ac:dyDescent="0.2">
      <c r="A38" s="67">
        <f>IF(B38="","",COUNTA($B$12:$B38))</f>
        <v>27</v>
      </c>
      <c r="B38" s="147" t="str">
        <f>IF(Konversi!C37="","",Konversi!C37)</f>
        <v>  2</v>
      </c>
      <c r="C38" s="227" t="str">
        <f>IF(Konversi!B37="","",Konversi!B37)</f>
        <v>  Ahmad Zaidan Rizki</v>
      </c>
      <c r="D38" s="227"/>
      <c r="E38" s="79">
        <f>SEKOR!BP29</f>
        <v>17.5</v>
      </c>
      <c r="F38" s="79">
        <f>SEKOR!BQ29</f>
        <v>22.58064516129032</v>
      </c>
      <c r="G38" s="79">
        <f>SEKOR!BT29</f>
        <v>50</v>
      </c>
      <c r="H38" s="79">
        <f>IF(DATA!$F$18="YA",IF(SEKOR!BR29=0,"",SEKOR!BR29),"")</f>
        <v>90</v>
      </c>
      <c r="I38" s="78">
        <v>80</v>
      </c>
      <c r="J38" s="78">
        <v>95</v>
      </c>
      <c r="K38" s="78">
        <v>76</v>
      </c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>
        <f t="shared" si="0"/>
        <v>251</v>
      </c>
      <c r="AD38" s="79">
        <f t="shared" si="1"/>
        <v>0</v>
      </c>
      <c r="AE38" s="79">
        <f t="shared" si="2"/>
        <v>17.5</v>
      </c>
      <c r="AF38" s="79">
        <f t="shared" si="3"/>
        <v>0</v>
      </c>
      <c r="AG38" s="79">
        <f t="shared" si="4"/>
        <v>83.666666666666671</v>
      </c>
      <c r="AH38" s="79">
        <f t="shared" si="5"/>
        <v>17.5</v>
      </c>
      <c r="AI38" s="79">
        <f t="shared" si="6"/>
        <v>90</v>
      </c>
      <c r="AJ38" s="79">
        <f>IFERROR(SUM(AG38:AI38)/DATAINFO!$N$7,0)</f>
        <v>95.583333333333343</v>
      </c>
      <c r="AK38" s="155">
        <f t="shared" si="7"/>
        <v>95.583333333333343</v>
      </c>
    </row>
    <row r="39" spans="1:37" ht="20.100000000000001" customHeight="1" x14ac:dyDescent="0.2">
      <c r="A39" s="67">
        <f>IF(B39="","",COUNTA($B$12:$B39))</f>
        <v>28</v>
      </c>
      <c r="B39" s="147" t="str">
        <f>IF(Konversi!C38="","",Konversi!C38)</f>
        <v>  234587</v>
      </c>
      <c r="C39" s="227" t="str">
        <f>IF(Konversi!B38="","",Konversi!B38)</f>
        <v>  Ahmad Rifani</v>
      </c>
      <c r="D39" s="227"/>
      <c r="E39" s="79">
        <f>SEKOR!BP30</f>
        <v>65</v>
      </c>
      <c r="F39" s="79">
        <f>SEKOR!BQ30</f>
        <v>83.870967741935488</v>
      </c>
      <c r="G39" s="79">
        <f>SEKOR!BT30</f>
        <v>82</v>
      </c>
      <c r="H39" s="79">
        <f>IF(DATA!$F$18="YA",IF(SEKOR!BR30=0,"",SEKOR!BR30),"")</f>
        <v>90</v>
      </c>
      <c r="I39" s="78">
        <v>80</v>
      </c>
      <c r="J39" s="78">
        <v>95</v>
      </c>
      <c r="K39" s="78">
        <v>76</v>
      </c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>
        <f t="shared" si="0"/>
        <v>251</v>
      </c>
      <c r="AD39" s="79">
        <f t="shared" si="1"/>
        <v>0</v>
      </c>
      <c r="AE39" s="79">
        <f t="shared" si="2"/>
        <v>65</v>
      </c>
      <c r="AF39" s="79">
        <f t="shared" si="3"/>
        <v>0</v>
      </c>
      <c r="AG39" s="79">
        <f t="shared" si="4"/>
        <v>83.666666666666671</v>
      </c>
      <c r="AH39" s="79">
        <f t="shared" si="5"/>
        <v>65</v>
      </c>
      <c r="AI39" s="79">
        <f t="shared" si="6"/>
        <v>90</v>
      </c>
      <c r="AJ39" s="79">
        <f>IFERROR(SUM(AG39:AI39)/DATAINFO!$N$7,0)</f>
        <v>119.33333333333334</v>
      </c>
      <c r="AK39" s="155">
        <f t="shared" si="7"/>
        <v>119.33333333333334</v>
      </c>
    </row>
    <row r="40" spans="1:37" ht="20.100000000000001" customHeight="1" x14ac:dyDescent="0.2">
      <c r="A40" s="67">
        <f>IF(B40="","",COUNTA($B$12:$B40))</f>
        <v>29</v>
      </c>
      <c r="B40" s="147" t="str">
        <f>IF(Konversi!C39="","",Konversi!C39)</f>
        <v>  234591</v>
      </c>
      <c r="C40" s="227" t="str">
        <f>IF(Konversi!B39="","",Konversi!B39)</f>
        <v>  Alfi Wahyuni</v>
      </c>
      <c r="D40" s="227"/>
      <c r="E40" s="79">
        <f>SEKOR!BP31</f>
        <v>40</v>
      </c>
      <c r="F40" s="79">
        <f>SEKOR!BQ31</f>
        <v>51.612903225806448</v>
      </c>
      <c r="G40" s="79">
        <f>SEKOR!BT31</f>
        <v>65</v>
      </c>
      <c r="H40" s="79">
        <f>IF(DATA!$F$18="YA",IF(SEKOR!BR31=0,"",SEKOR!BR31),"")</f>
        <v>90</v>
      </c>
      <c r="I40" s="78">
        <v>80</v>
      </c>
      <c r="J40" s="78">
        <v>95</v>
      </c>
      <c r="K40" s="78">
        <v>76</v>
      </c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>
        <f t="shared" si="0"/>
        <v>251</v>
      </c>
      <c r="AD40" s="79">
        <f t="shared" si="1"/>
        <v>0</v>
      </c>
      <c r="AE40" s="79">
        <f t="shared" si="2"/>
        <v>40</v>
      </c>
      <c r="AF40" s="79">
        <f t="shared" si="3"/>
        <v>0</v>
      </c>
      <c r="AG40" s="79">
        <f t="shared" si="4"/>
        <v>83.666666666666671</v>
      </c>
      <c r="AH40" s="79">
        <f t="shared" si="5"/>
        <v>40</v>
      </c>
      <c r="AI40" s="79">
        <f t="shared" si="6"/>
        <v>90</v>
      </c>
      <c r="AJ40" s="79">
        <f>IFERROR(SUM(AG40:AI40)/DATAINFO!$N$7,0)</f>
        <v>106.83333333333334</v>
      </c>
      <c r="AK40" s="155">
        <f t="shared" si="7"/>
        <v>106.83333333333334</v>
      </c>
    </row>
    <row r="41" spans="1:37" ht="20.100000000000001" customHeight="1" x14ac:dyDescent="0.2">
      <c r="A41" s="67">
        <f>IF(B41="","",COUNTA($B$12:$B41))</f>
        <v>30</v>
      </c>
      <c r="B41" s="147" t="str">
        <f>IF(Konversi!C40="","",Konversi!C40)</f>
        <v>  234594</v>
      </c>
      <c r="C41" s="227" t="str">
        <f>IF(Konversi!B40="","",Konversi!B40)</f>
        <v>  Alya Nur</v>
      </c>
      <c r="D41" s="227"/>
      <c r="E41" s="79">
        <f>SEKOR!BP32</f>
        <v>52.5</v>
      </c>
      <c r="F41" s="79">
        <f>SEKOR!BQ32</f>
        <v>67.741935483870961</v>
      </c>
      <c r="G41" s="79">
        <f>SEKOR!BT32</f>
        <v>74</v>
      </c>
      <c r="H41" s="79">
        <f>IF(DATA!$F$18="YA",IF(SEKOR!BR32=0,"",SEKOR!BR32),"")</f>
        <v>90</v>
      </c>
      <c r="I41" s="78">
        <v>80</v>
      </c>
      <c r="J41" s="78">
        <v>95</v>
      </c>
      <c r="K41" s="78">
        <v>76</v>
      </c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>
        <f t="shared" si="0"/>
        <v>251</v>
      </c>
      <c r="AD41" s="79">
        <f t="shared" si="1"/>
        <v>0</v>
      </c>
      <c r="AE41" s="79">
        <f t="shared" si="2"/>
        <v>52.5</v>
      </c>
      <c r="AF41" s="79">
        <f t="shared" si="3"/>
        <v>0</v>
      </c>
      <c r="AG41" s="79">
        <f t="shared" si="4"/>
        <v>83.666666666666671</v>
      </c>
      <c r="AH41" s="79">
        <f t="shared" si="5"/>
        <v>52.5</v>
      </c>
      <c r="AI41" s="79">
        <f t="shared" si="6"/>
        <v>90</v>
      </c>
      <c r="AJ41" s="79">
        <f>IFERROR(SUM(AG41:AI41)/DATAINFO!$N$7,0)</f>
        <v>113.08333333333334</v>
      </c>
      <c r="AK41" s="155">
        <f t="shared" si="7"/>
        <v>113.08333333333334</v>
      </c>
    </row>
    <row r="42" spans="1:37" ht="20.100000000000001" customHeight="1" x14ac:dyDescent="0.2">
      <c r="A42" s="67">
        <f>IF(B42="","",COUNTA($B$12:$B42))</f>
        <v>31</v>
      </c>
      <c r="B42" s="147" t="str">
        <f>IF(Konversi!C41="","",Konversi!C41)</f>
        <v>  234600</v>
      </c>
      <c r="C42" s="227" t="str">
        <f>IF(Konversi!B41="","",Konversi!B41)</f>
        <v>  Aulia Astuti</v>
      </c>
      <c r="D42" s="227"/>
      <c r="E42" s="79">
        <f>SEKOR!BP33</f>
        <v>37.5</v>
      </c>
      <c r="F42" s="79">
        <f>SEKOR!BQ33</f>
        <v>48.387096774193552</v>
      </c>
      <c r="G42" s="79">
        <f>SEKOR!BT33</f>
        <v>64</v>
      </c>
      <c r="H42" s="79">
        <f>IF(DATA!$F$18="YA",IF(SEKOR!BR33=0,"",SEKOR!BR33),"")</f>
        <v>90</v>
      </c>
      <c r="I42" s="78">
        <v>80</v>
      </c>
      <c r="J42" s="78">
        <v>95</v>
      </c>
      <c r="K42" s="78">
        <v>76</v>
      </c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>
        <f t="shared" si="0"/>
        <v>251</v>
      </c>
      <c r="AD42" s="79">
        <f t="shared" si="1"/>
        <v>0</v>
      </c>
      <c r="AE42" s="79">
        <f t="shared" si="2"/>
        <v>37.5</v>
      </c>
      <c r="AF42" s="79">
        <f t="shared" si="3"/>
        <v>0</v>
      </c>
      <c r="AG42" s="79">
        <f t="shared" si="4"/>
        <v>83.666666666666671</v>
      </c>
      <c r="AH42" s="79">
        <f t="shared" si="5"/>
        <v>37.5</v>
      </c>
      <c r="AI42" s="79">
        <f t="shared" si="6"/>
        <v>90</v>
      </c>
      <c r="AJ42" s="79">
        <f>IFERROR(SUM(AG42:AI42)/DATAINFO!$N$7,0)</f>
        <v>105.58333333333334</v>
      </c>
      <c r="AK42" s="155">
        <f t="shared" si="7"/>
        <v>105.58333333333334</v>
      </c>
    </row>
    <row r="43" spans="1:37" ht="20.100000000000001" customHeight="1" x14ac:dyDescent="0.2">
      <c r="A43" s="67">
        <f>IF(B43="","",COUNTA($B$12:$B43))</f>
        <v>32</v>
      </c>
      <c r="B43" s="147" t="str">
        <f>IF(Konversi!C42="","",Konversi!C42)</f>
        <v>  224430</v>
      </c>
      <c r="C43" s="227" t="str">
        <f>IF(Konversi!B42="","",Konversi!B42)</f>
        <v>  Febriana Nor As Shoufa</v>
      </c>
      <c r="D43" s="227"/>
      <c r="E43" s="79">
        <f>SEKOR!BP34</f>
        <v>37.5</v>
      </c>
      <c r="F43" s="79">
        <f>SEKOR!BQ34</f>
        <v>48.387096774193552</v>
      </c>
      <c r="G43" s="79">
        <f>SEKOR!BT34</f>
        <v>64</v>
      </c>
      <c r="H43" s="79">
        <f>IF(DATA!$F$18="YA",IF(SEKOR!BR34=0,"",SEKOR!BR34),"")</f>
        <v>90</v>
      </c>
      <c r="I43" s="78">
        <v>80</v>
      </c>
      <c r="J43" s="78">
        <v>95</v>
      </c>
      <c r="K43" s="78">
        <v>76</v>
      </c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>
        <f t="shared" si="0"/>
        <v>251</v>
      </c>
      <c r="AD43" s="79">
        <f t="shared" si="1"/>
        <v>0</v>
      </c>
      <c r="AE43" s="79">
        <f t="shared" si="2"/>
        <v>37.5</v>
      </c>
      <c r="AF43" s="79">
        <f t="shared" si="3"/>
        <v>0</v>
      </c>
      <c r="AG43" s="79">
        <f t="shared" si="4"/>
        <v>83.666666666666671</v>
      </c>
      <c r="AH43" s="79">
        <f t="shared" si="5"/>
        <v>37.5</v>
      </c>
      <c r="AI43" s="79">
        <f t="shared" si="6"/>
        <v>90</v>
      </c>
      <c r="AJ43" s="79">
        <f>IFERROR(SUM(AG43:AI43)/DATAINFO!$N$7,0)</f>
        <v>105.58333333333334</v>
      </c>
      <c r="AK43" s="155">
        <f t="shared" si="7"/>
        <v>105.58333333333334</v>
      </c>
    </row>
    <row r="44" spans="1:37" ht="20.100000000000001" customHeight="1" x14ac:dyDescent="0.2">
      <c r="A44" s="67">
        <f>IF(B44="","",COUNTA($B$12:$B44))</f>
        <v>33</v>
      </c>
      <c r="B44" s="147" t="str">
        <f>IF(Konversi!C43="","",Konversi!C43)</f>
        <v>  234609</v>
      </c>
      <c r="C44" s="227" t="str">
        <f>IF(Konversi!B43="","",Konversi!B43)</f>
        <v>  Fitra Syahara</v>
      </c>
      <c r="D44" s="227"/>
      <c r="E44" s="79">
        <f>SEKOR!BP35</f>
        <v>27.500000000000004</v>
      </c>
      <c r="F44" s="79">
        <f>SEKOR!BQ35</f>
        <v>35.483870967741936</v>
      </c>
      <c r="G44" s="79">
        <f>SEKOR!BT35</f>
        <v>57</v>
      </c>
      <c r="H44" s="79">
        <f>IF(DATA!$F$18="YA",IF(SEKOR!BR35=0,"",SEKOR!BR35),"")</f>
        <v>90</v>
      </c>
      <c r="I44" s="78">
        <v>80</v>
      </c>
      <c r="J44" s="78">
        <v>95</v>
      </c>
      <c r="K44" s="78">
        <v>76</v>
      </c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>
        <f t="shared" si="0"/>
        <v>251</v>
      </c>
      <c r="AD44" s="79">
        <f t="shared" si="1"/>
        <v>0</v>
      </c>
      <c r="AE44" s="79">
        <f t="shared" si="2"/>
        <v>27.500000000000004</v>
      </c>
      <c r="AF44" s="79">
        <f t="shared" si="3"/>
        <v>0</v>
      </c>
      <c r="AG44" s="79">
        <f t="shared" si="4"/>
        <v>83.666666666666671</v>
      </c>
      <c r="AH44" s="79">
        <f t="shared" si="5"/>
        <v>27.500000000000004</v>
      </c>
      <c r="AI44" s="79">
        <f t="shared" si="6"/>
        <v>90</v>
      </c>
      <c r="AJ44" s="79">
        <f>IFERROR(SUM(AG44:AI44)/DATAINFO!$N$7,0)</f>
        <v>100.58333333333334</v>
      </c>
      <c r="AK44" s="155">
        <f t="shared" si="7"/>
        <v>100.58333333333334</v>
      </c>
    </row>
    <row r="45" spans="1:37" ht="20.100000000000001" customHeight="1" x14ac:dyDescent="0.2">
      <c r="A45" s="67">
        <f>IF(B45="","",COUNTA($B$12:$B45))</f>
        <v>34</v>
      </c>
      <c r="B45" s="147" t="str">
        <f>IF(Konversi!C44="","",Konversi!C44)</f>
        <v>  234617</v>
      </c>
      <c r="C45" s="227" t="str">
        <f>IF(Konversi!B44="","",Konversi!B44)</f>
        <v>  Ikhsan Fadillah</v>
      </c>
      <c r="D45" s="227"/>
      <c r="E45" s="79">
        <f>SEKOR!BP36</f>
        <v>50</v>
      </c>
      <c r="F45" s="79">
        <f>SEKOR!BQ36</f>
        <v>64.516129032258064</v>
      </c>
      <c r="G45" s="79">
        <f>SEKOR!BT36</f>
        <v>72</v>
      </c>
      <c r="H45" s="79">
        <f>IF(DATA!$F$18="YA",IF(SEKOR!BR36=0,"",SEKOR!BR36),"")</f>
        <v>90</v>
      </c>
      <c r="I45" s="78">
        <v>80</v>
      </c>
      <c r="J45" s="78">
        <v>95</v>
      </c>
      <c r="K45" s="78">
        <v>76</v>
      </c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>
        <f t="shared" si="0"/>
        <v>251</v>
      </c>
      <c r="AD45" s="79">
        <f t="shared" si="1"/>
        <v>0</v>
      </c>
      <c r="AE45" s="79">
        <f t="shared" si="2"/>
        <v>50</v>
      </c>
      <c r="AF45" s="79">
        <f t="shared" si="3"/>
        <v>0</v>
      </c>
      <c r="AG45" s="79">
        <f t="shared" si="4"/>
        <v>83.666666666666671</v>
      </c>
      <c r="AH45" s="79">
        <f t="shared" si="5"/>
        <v>50</v>
      </c>
      <c r="AI45" s="79">
        <f t="shared" si="6"/>
        <v>90</v>
      </c>
      <c r="AJ45" s="79">
        <f>IFERROR(SUM(AG45:AI45)/DATAINFO!$N$7,0)</f>
        <v>111.83333333333334</v>
      </c>
      <c r="AK45" s="155">
        <f t="shared" si="7"/>
        <v>111.83333333333334</v>
      </c>
    </row>
    <row r="46" spans="1:37" ht="20.100000000000001" customHeight="1" x14ac:dyDescent="0.2">
      <c r="A46" s="67">
        <f>IF(B46="","",COUNTA($B$12:$B46))</f>
        <v>35</v>
      </c>
      <c r="B46" s="147" t="str">
        <f>IF(Konversi!C45="","",Konversi!C45)</f>
        <v>  234618</v>
      </c>
      <c r="C46" s="227" t="str">
        <f>IF(Konversi!B45="","",Konversi!B45)</f>
        <v>  Iqbal Fahrezi</v>
      </c>
      <c r="D46" s="227"/>
      <c r="E46" s="79">
        <f>SEKOR!BP37</f>
        <v>72.5</v>
      </c>
      <c r="F46" s="79">
        <f>SEKOR!BQ37</f>
        <v>93.548387096774192</v>
      </c>
      <c r="G46" s="79">
        <f>SEKOR!BT37</f>
        <v>87</v>
      </c>
      <c r="H46" s="79">
        <f>IF(DATA!$F$18="YA",IF(SEKOR!BR37=0,"",SEKOR!BR37),"")</f>
        <v>90</v>
      </c>
      <c r="I46" s="78">
        <v>80</v>
      </c>
      <c r="J46" s="78">
        <v>95</v>
      </c>
      <c r="K46" s="78">
        <v>76</v>
      </c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>
        <f t="shared" si="0"/>
        <v>251</v>
      </c>
      <c r="AD46" s="79">
        <f t="shared" si="1"/>
        <v>0</v>
      </c>
      <c r="AE46" s="79">
        <f t="shared" si="2"/>
        <v>72.5</v>
      </c>
      <c r="AF46" s="79">
        <f t="shared" si="3"/>
        <v>0</v>
      </c>
      <c r="AG46" s="79">
        <f t="shared" si="4"/>
        <v>83.666666666666671</v>
      </c>
      <c r="AH46" s="79">
        <f t="shared" si="5"/>
        <v>72.5</v>
      </c>
      <c r="AI46" s="79">
        <f t="shared" si="6"/>
        <v>90</v>
      </c>
      <c r="AJ46" s="79">
        <f>IFERROR(SUM(AG46:AI46)/DATAINFO!$N$7,0)</f>
        <v>123.08333333333334</v>
      </c>
      <c r="AK46" s="155">
        <f t="shared" si="7"/>
        <v>123.08333333333334</v>
      </c>
    </row>
    <row r="47" spans="1:37" ht="20.100000000000001" customHeight="1" x14ac:dyDescent="0.2">
      <c r="A47" s="67">
        <f>IF(B47="","",COUNTA($B$12:$B47))</f>
        <v>36</v>
      </c>
      <c r="B47" s="147" t="str">
        <f>IF(Konversi!C46="","",Konversi!C46)</f>
        <v>  234620</v>
      </c>
      <c r="C47" s="227" t="str">
        <f>IF(Konversi!B46="","",Konversi!B46)</f>
        <v>  Isti Qomah</v>
      </c>
      <c r="D47" s="227"/>
      <c r="E47" s="79">
        <f>SEKOR!BP38</f>
        <v>65</v>
      </c>
      <c r="F47" s="79">
        <f>SEKOR!BQ38</f>
        <v>83.870967741935488</v>
      </c>
      <c r="G47" s="79">
        <f>SEKOR!BT38</f>
        <v>82</v>
      </c>
      <c r="H47" s="79">
        <f>IF(DATA!$F$18="YA",IF(SEKOR!BR38=0,"",SEKOR!BR38),"")</f>
        <v>90</v>
      </c>
      <c r="I47" s="78">
        <v>80</v>
      </c>
      <c r="J47" s="78">
        <v>95</v>
      </c>
      <c r="K47" s="78">
        <v>76</v>
      </c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>
        <f t="shared" si="0"/>
        <v>251</v>
      </c>
      <c r="AD47" s="79">
        <f t="shared" si="1"/>
        <v>0</v>
      </c>
      <c r="AE47" s="79">
        <f t="shared" si="2"/>
        <v>65</v>
      </c>
      <c r="AF47" s="79">
        <f t="shared" si="3"/>
        <v>0</v>
      </c>
      <c r="AG47" s="79">
        <f t="shared" si="4"/>
        <v>83.666666666666671</v>
      </c>
      <c r="AH47" s="79">
        <f t="shared" si="5"/>
        <v>65</v>
      </c>
      <c r="AI47" s="79">
        <f t="shared" si="6"/>
        <v>90</v>
      </c>
      <c r="AJ47" s="79">
        <f>IFERROR(SUM(AG47:AI47)/DATAINFO!$N$7,0)</f>
        <v>119.33333333333334</v>
      </c>
      <c r="AK47" s="155">
        <f t="shared" si="7"/>
        <v>119.33333333333334</v>
      </c>
    </row>
    <row r="48" spans="1:37" ht="20.100000000000001" customHeight="1" x14ac:dyDescent="0.2">
      <c r="A48" s="67">
        <f>IF(B48="","",COUNTA($B$12:$B48))</f>
        <v>37</v>
      </c>
      <c r="B48" s="147" t="str">
        <f>IF(Konversi!C47="","",Konversi!C47)</f>
        <v>  234621</v>
      </c>
      <c r="C48" s="227" t="str">
        <f>IF(Konversi!B47="","",Konversi!B47)</f>
        <v>  Jamiatul Putri</v>
      </c>
      <c r="D48" s="227"/>
      <c r="E48" s="79">
        <f>SEKOR!BP39</f>
        <v>40</v>
      </c>
      <c r="F48" s="79">
        <f>SEKOR!BQ39</f>
        <v>51.612903225806448</v>
      </c>
      <c r="G48" s="79">
        <f>SEKOR!BT39</f>
        <v>65</v>
      </c>
      <c r="H48" s="79">
        <f>IF(DATA!$F$18="YA",IF(SEKOR!BR39=0,"",SEKOR!BR39),"")</f>
        <v>90</v>
      </c>
      <c r="I48" s="78">
        <v>80</v>
      </c>
      <c r="J48" s="78">
        <v>95</v>
      </c>
      <c r="K48" s="78">
        <v>76</v>
      </c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>
        <f t="shared" si="0"/>
        <v>251</v>
      </c>
      <c r="AD48" s="79">
        <f t="shared" si="1"/>
        <v>0</v>
      </c>
      <c r="AE48" s="79">
        <f t="shared" si="2"/>
        <v>40</v>
      </c>
      <c r="AF48" s="79">
        <f t="shared" si="3"/>
        <v>0</v>
      </c>
      <c r="AG48" s="79">
        <f t="shared" si="4"/>
        <v>83.666666666666671</v>
      </c>
      <c r="AH48" s="79">
        <f t="shared" si="5"/>
        <v>40</v>
      </c>
      <c r="AI48" s="79">
        <f t="shared" si="6"/>
        <v>90</v>
      </c>
      <c r="AJ48" s="79">
        <f>IFERROR(SUM(AG48:AI48)/DATAINFO!$N$7,0)</f>
        <v>106.83333333333334</v>
      </c>
      <c r="AK48" s="155">
        <f t="shared" si="7"/>
        <v>106.83333333333334</v>
      </c>
    </row>
    <row r="49" spans="1:37" ht="20.100000000000001" customHeight="1" x14ac:dyDescent="0.2">
      <c r="A49" s="67">
        <f>IF(B49="","",COUNTA($B$12:$B49))</f>
        <v>38</v>
      </c>
      <c r="B49" s="147" t="str">
        <f>IF(Konversi!C48="","",Konversi!C48)</f>
        <v>  234658</v>
      </c>
      <c r="C49" s="227" t="str">
        <f>IF(Konversi!B48="","",Konversi!B48)</f>
        <v>  M. Hasan</v>
      </c>
      <c r="D49" s="227"/>
      <c r="E49" s="79">
        <f>SEKOR!BP40</f>
        <v>72.5</v>
      </c>
      <c r="F49" s="79">
        <f>SEKOR!BQ40</f>
        <v>93.548387096774192</v>
      </c>
      <c r="G49" s="79">
        <f>SEKOR!BT40</f>
        <v>87</v>
      </c>
      <c r="H49" s="79">
        <f>IF(DATA!$F$18="YA",IF(SEKOR!BR40=0,"",SEKOR!BR40),"")</f>
        <v>90</v>
      </c>
      <c r="I49" s="78">
        <v>80</v>
      </c>
      <c r="J49" s="78">
        <v>95</v>
      </c>
      <c r="K49" s="78">
        <v>76</v>
      </c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>
        <f t="shared" si="0"/>
        <v>251</v>
      </c>
      <c r="AD49" s="79">
        <f t="shared" si="1"/>
        <v>0</v>
      </c>
      <c r="AE49" s="79">
        <f t="shared" si="2"/>
        <v>72.5</v>
      </c>
      <c r="AF49" s="79">
        <f t="shared" si="3"/>
        <v>0</v>
      </c>
      <c r="AG49" s="79">
        <f t="shared" si="4"/>
        <v>83.666666666666671</v>
      </c>
      <c r="AH49" s="79">
        <f t="shared" si="5"/>
        <v>72.5</v>
      </c>
      <c r="AI49" s="79">
        <f t="shared" si="6"/>
        <v>90</v>
      </c>
      <c r="AJ49" s="79">
        <f>IFERROR(SUM(AG49:AI49)/DATAINFO!$N$7,0)</f>
        <v>123.08333333333334</v>
      </c>
      <c r="AK49" s="155">
        <f t="shared" si="7"/>
        <v>123.08333333333334</v>
      </c>
    </row>
    <row r="50" spans="1:37" ht="20.100000000000001" customHeight="1" x14ac:dyDescent="0.2">
      <c r="A50" s="67">
        <f>IF(B50="","",COUNTA($B$12:$B50))</f>
        <v>39</v>
      </c>
      <c r="B50" s="147" t="str">
        <f>IF(Konversi!C49="","",Konversi!C49)</f>
        <v>  234639</v>
      </c>
      <c r="C50" s="227" t="str">
        <f>IF(Konversi!B49="","",Konversi!B49)</f>
        <v>  Monalisa</v>
      </c>
      <c r="D50" s="227"/>
      <c r="E50" s="79">
        <f>SEKOR!BP41</f>
        <v>30</v>
      </c>
      <c r="F50" s="79">
        <f>SEKOR!BQ41</f>
        <v>38.70967741935484</v>
      </c>
      <c r="G50" s="79">
        <f>SEKOR!BT41</f>
        <v>59</v>
      </c>
      <c r="H50" s="79">
        <f>IF(DATA!$F$18="YA",IF(SEKOR!BR41=0,"",SEKOR!BR41),"")</f>
        <v>90</v>
      </c>
      <c r="I50" s="78">
        <v>80</v>
      </c>
      <c r="J50" s="78">
        <v>95</v>
      </c>
      <c r="K50" s="78">
        <v>76</v>
      </c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>
        <f t="shared" si="0"/>
        <v>251</v>
      </c>
      <c r="AD50" s="79">
        <f t="shared" si="1"/>
        <v>0</v>
      </c>
      <c r="AE50" s="79">
        <f t="shared" si="2"/>
        <v>30</v>
      </c>
      <c r="AF50" s="79">
        <f t="shared" si="3"/>
        <v>0</v>
      </c>
      <c r="AG50" s="79">
        <f t="shared" si="4"/>
        <v>83.666666666666671</v>
      </c>
      <c r="AH50" s="79">
        <f t="shared" si="5"/>
        <v>30</v>
      </c>
      <c r="AI50" s="79">
        <f t="shared" si="6"/>
        <v>90</v>
      </c>
      <c r="AJ50" s="79">
        <f>IFERROR(SUM(AG50:AI50)/DATAINFO!$N$7,0)</f>
        <v>101.83333333333334</v>
      </c>
      <c r="AK50" s="155">
        <f t="shared" si="7"/>
        <v>101.83333333333334</v>
      </c>
    </row>
    <row r="51" spans="1:37" ht="20.100000000000001" customHeight="1" x14ac:dyDescent="0.2">
      <c r="A51" s="67">
        <f>IF(B51="","",COUNTA($B$12:$B51))</f>
        <v>40</v>
      </c>
      <c r="B51" s="147" t="str">
        <f>IF(Konversi!C50="","",Konversi!C50)</f>
        <v>  234640</v>
      </c>
      <c r="C51" s="227" t="str">
        <f>IF(Konversi!B50="","",Konversi!B50)</f>
        <v>  Muflihah</v>
      </c>
      <c r="D51" s="227"/>
      <c r="E51" s="79">
        <f>SEKOR!BP42</f>
        <v>37.5</v>
      </c>
      <c r="F51" s="79">
        <f>SEKOR!BQ42</f>
        <v>48.387096774193552</v>
      </c>
      <c r="G51" s="79">
        <f>SEKOR!BT42</f>
        <v>64</v>
      </c>
      <c r="H51" s="79">
        <f>IF(DATA!$F$18="YA",IF(SEKOR!BR42=0,"",SEKOR!BR42),"")</f>
        <v>90</v>
      </c>
      <c r="I51" s="78">
        <v>80</v>
      </c>
      <c r="J51" s="78">
        <v>95</v>
      </c>
      <c r="K51" s="78">
        <v>76</v>
      </c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>
        <f t="shared" si="0"/>
        <v>251</v>
      </c>
      <c r="AD51" s="79">
        <f t="shared" si="1"/>
        <v>0</v>
      </c>
      <c r="AE51" s="79">
        <f t="shared" si="2"/>
        <v>37.5</v>
      </c>
      <c r="AF51" s="79">
        <f t="shared" si="3"/>
        <v>0</v>
      </c>
      <c r="AG51" s="79">
        <f t="shared" si="4"/>
        <v>83.666666666666671</v>
      </c>
      <c r="AH51" s="79">
        <f t="shared" si="5"/>
        <v>37.5</v>
      </c>
      <c r="AI51" s="79">
        <f t="shared" si="6"/>
        <v>90</v>
      </c>
      <c r="AJ51" s="79">
        <f>IFERROR(SUM(AG51:AI51)/DATAINFO!$N$7,0)</f>
        <v>105.58333333333334</v>
      </c>
      <c r="AK51" s="155">
        <f t="shared" si="7"/>
        <v>105.58333333333334</v>
      </c>
    </row>
    <row r="52" spans="1:37" ht="20.100000000000001" customHeight="1" x14ac:dyDescent="0.2">
      <c r="A52" s="67">
        <f>IF(B52="","",COUNTA($B$12:$B52))</f>
        <v>41</v>
      </c>
      <c r="B52" s="147" t="str">
        <f>IF(Konversi!C51="","",Konversi!C51)</f>
        <v>  234655</v>
      </c>
      <c r="C52" s="227" t="str">
        <f>IF(Konversi!B51="","",Konversi!B51)</f>
        <v>  Muhammad Hafiz</v>
      </c>
      <c r="D52" s="227"/>
      <c r="E52" s="79">
        <f>SEKOR!BP43</f>
        <v>52.5</v>
      </c>
      <c r="F52" s="79">
        <f>SEKOR!BQ43</f>
        <v>67.741935483870961</v>
      </c>
      <c r="G52" s="79">
        <f>SEKOR!BT43</f>
        <v>74</v>
      </c>
      <c r="H52" s="79">
        <f>IF(DATA!$F$18="YA",IF(SEKOR!BR43=0,"",SEKOR!BR43),"")</f>
        <v>90</v>
      </c>
      <c r="I52" s="78">
        <v>80</v>
      </c>
      <c r="J52" s="78">
        <v>95</v>
      </c>
      <c r="K52" s="78">
        <v>76</v>
      </c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>
        <f t="shared" si="0"/>
        <v>251</v>
      </c>
      <c r="AD52" s="79">
        <f t="shared" si="1"/>
        <v>0</v>
      </c>
      <c r="AE52" s="79">
        <f t="shared" si="2"/>
        <v>52.5</v>
      </c>
      <c r="AF52" s="79">
        <f t="shared" si="3"/>
        <v>0</v>
      </c>
      <c r="AG52" s="79">
        <f t="shared" si="4"/>
        <v>83.666666666666671</v>
      </c>
      <c r="AH52" s="79">
        <f t="shared" si="5"/>
        <v>52.5</v>
      </c>
      <c r="AI52" s="79">
        <f t="shared" si="6"/>
        <v>90</v>
      </c>
      <c r="AJ52" s="79">
        <f>IFERROR(SUM(AG52:AI52)/DATAINFO!$N$7,0)</f>
        <v>113.08333333333334</v>
      </c>
      <c r="AK52" s="155">
        <f t="shared" si="7"/>
        <v>113.08333333333334</v>
      </c>
    </row>
    <row r="53" spans="1:37" ht="20.100000000000001" customHeight="1" x14ac:dyDescent="0.2">
      <c r="A53" s="67">
        <f>IF(B53="","",COUNTA($B$12:$B53))</f>
        <v>42</v>
      </c>
      <c r="B53" s="147" t="str">
        <f>IF(Konversi!C52="","",Konversi!C52)</f>
        <v>  234657</v>
      </c>
      <c r="C53" s="227" t="str">
        <f>IF(Konversi!B52="","",Konversi!B52)</f>
        <v>  Muhammad Hariadi Hana</v>
      </c>
      <c r="D53" s="227"/>
      <c r="E53" s="79">
        <f>SEKOR!BP44</f>
        <v>72.5</v>
      </c>
      <c r="F53" s="79">
        <f>SEKOR!BQ44</f>
        <v>93.548387096774192</v>
      </c>
      <c r="G53" s="79">
        <f>SEKOR!BT44</f>
        <v>87</v>
      </c>
      <c r="H53" s="79">
        <f>IF(DATA!$F$18="YA",IF(SEKOR!BR44=0,"",SEKOR!BR44),"")</f>
        <v>90</v>
      </c>
      <c r="I53" s="78">
        <v>80</v>
      </c>
      <c r="J53" s="78">
        <v>95</v>
      </c>
      <c r="K53" s="78">
        <v>76</v>
      </c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>
        <f t="shared" si="0"/>
        <v>251</v>
      </c>
      <c r="AD53" s="79">
        <f t="shared" si="1"/>
        <v>0</v>
      </c>
      <c r="AE53" s="79">
        <f t="shared" si="2"/>
        <v>72.5</v>
      </c>
      <c r="AF53" s="79">
        <f t="shared" si="3"/>
        <v>0</v>
      </c>
      <c r="AG53" s="79">
        <f t="shared" si="4"/>
        <v>83.666666666666671</v>
      </c>
      <c r="AH53" s="79">
        <f t="shared" si="5"/>
        <v>72.5</v>
      </c>
      <c r="AI53" s="79">
        <f t="shared" si="6"/>
        <v>90</v>
      </c>
      <c r="AJ53" s="79">
        <f>IFERROR(SUM(AG53:AI53)/DATAINFO!$N$7,0)</f>
        <v>123.08333333333334</v>
      </c>
      <c r="AK53" s="155">
        <f t="shared" si="7"/>
        <v>123.08333333333334</v>
      </c>
    </row>
    <row r="54" spans="1:37" ht="20.100000000000001" customHeight="1" x14ac:dyDescent="0.2">
      <c r="A54" s="67">
        <f>IF(B54="","",COUNTA($B$12:$B54))</f>
        <v>43</v>
      </c>
      <c r="B54" s="147" t="str">
        <f>IF(Konversi!C53="","",Konversi!C53)</f>
        <v>  234659</v>
      </c>
      <c r="C54" s="227" t="str">
        <f>IF(Konversi!B53="","",Konversi!B53)</f>
        <v>  Muhammad Ihza Al Muhajir</v>
      </c>
      <c r="D54" s="227"/>
      <c r="E54" s="79">
        <f>SEKOR!BP45</f>
        <v>67.5</v>
      </c>
      <c r="F54" s="79">
        <f>SEKOR!BQ45</f>
        <v>87.096774193548384</v>
      </c>
      <c r="G54" s="79">
        <f>SEKOR!BT45</f>
        <v>84</v>
      </c>
      <c r="H54" s="79">
        <f>IF(DATA!$F$18="YA",IF(SEKOR!BR45=0,"",SEKOR!BR45),"")</f>
        <v>90</v>
      </c>
      <c r="I54" s="78">
        <v>80</v>
      </c>
      <c r="J54" s="78">
        <v>95</v>
      </c>
      <c r="K54" s="78">
        <v>76</v>
      </c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>
        <f t="shared" si="0"/>
        <v>251</v>
      </c>
      <c r="AD54" s="79">
        <f t="shared" si="1"/>
        <v>0</v>
      </c>
      <c r="AE54" s="79">
        <f t="shared" si="2"/>
        <v>67.5</v>
      </c>
      <c r="AF54" s="79">
        <f t="shared" si="3"/>
        <v>0</v>
      </c>
      <c r="AG54" s="79">
        <f t="shared" si="4"/>
        <v>83.666666666666671</v>
      </c>
      <c r="AH54" s="79">
        <f t="shared" si="5"/>
        <v>67.5</v>
      </c>
      <c r="AI54" s="79">
        <f t="shared" si="6"/>
        <v>90</v>
      </c>
      <c r="AJ54" s="79">
        <f>IFERROR(SUM(AG54:AI54)/DATAINFO!$N$7,0)</f>
        <v>120.58333333333334</v>
      </c>
      <c r="AK54" s="155">
        <f t="shared" si="7"/>
        <v>120.58333333333334</v>
      </c>
    </row>
    <row r="55" spans="1:37" ht="20.100000000000001" customHeight="1" x14ac:dyDescent="0.2">
      <c r="A55" s="67">
        <f>IF(B55="","",COUNTA($B$12:$B55))</f>
        <v>44</v>
      </c>
      <c r="B55" s="147" t="str">
        <f>IF(Konversi!C54="","",Konversi!C54)</f>
        <v>  234668</v>
      </c>
      <c r="C55" s="227" t="str">
        <f>IF(Konversi!B54="","",Konversi!B54)</f>
        <v>  Muhammad Ramadan</v>
      </c>
      <c r="D55" s="227"/>
      <c r="E55" s="79">
        <f>SEKOR!BP46</f>
        <v>22.5</v>
      </c>
      <c r="F55" s="79">
        <f>SEKOR!BQ46</f>
        <v>29.032258064516132</v>
      </c>
      <c r="G55" s="79">
        <f>SEKOR!BT46</f>
        <v>54</v>
      </c>
      <c r="H55" s="79">
        <f>IF(DATA!$F$18="YA",IF(SEKOR!BR46=0,"",SEKOR!BR46),"")</f>
        <v>90</v>
      </c>
      <c r="I55" s="78">
        <v>80</v>
      </c>
      <c r="J55" s="78">
        <v>95</v>
      </c>
      <c r="K55" s="78">
        <v>76</v>
      </c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>
        <f t="shared" si="0"/>
        <v>251</v>
      </c>
      <c r="AD55" s="79">
        <f t="shared" si="1"/>
        <v>0</v>
      </c>
      <c r="AE55" s="79">
        <f t="shared" si="2"/>
        <v>22.5</v>
      </c>
      <c r="AF55" s="79">
        <f t="shared" si="3"/>
        <v>0</v>
      </c>
      <c r="AG55" s="79">
        <f t="shared" si="4"/>
        <v>83.666666666666671</v>
      </c>
      <c r="AH55" s="79">
        <f t="shared" si="5"/>
        <v>22.5</v>
      </c>
      <c r="AI55" s="79">
        <f t="shared" si="6"/>
        <v>90</v>
      </c>
      <c r="AJ55" s="79">
        <f>IFERROR(SUM(AG55:AI55)/DATAINFO!$N$7,0)</f>
        <v>98.083333333333343</v>
      </c>
      <c r="AK55" s="155">
        <f t="shared" si="7"/>
        <v>98.083333333333343</v>
      </c>
    </row>
    <row r="56" spans="1:37" ht="20.100000000000001" customHeight="1" x14ac:dyDescent="0.2">
      <c r="A56" s="67">
        <f>IF(B56="","",COUNTA($B$12:$B56))</f>
        <v>45</v>
      </c>
      <c r="B56" s="147" t="str">
        <f>IF(Konversi!C55="","",Konversi!C55)</f>
        <v>  234673</v>
      </c>
      <c r="C56" s="227" t="str">
        <f>IF(Konversi!B55="","",Konversi!B55)</f>
        <v>  Muhammad Rizky</v>
      </c>
      <c r="D56" s="227"/>
      <c r="E56" s="79">
        <f>SEKOR!BP47</f>
        <v>37.5</v>
      </c>
      <c r="F56" s="79">
        <f>SEKOR!BQ47</f>
        <v>48.387096774193552</v>
      </c>
      <c r="G56" s="79">
        <f>SEKOR!BT47</f>
        <v>64</v>
      </c>
      <c r="H56" s="79">
        <f>IF(DATA!$F$18="YA",IF(SEKOR!BR47=0,"",SEKOR!BR47),"")</f>
        <v>90</v>
      </c>
      <c r="I56" s="78">
        <v>80</v>
      </c>
      <c r="J56" s="78">
        <v>95</v>
      </c>
      <c r="K56" s="78">
        <v>76</v>
      </c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>
        <f t="shared" si="0"/>
        <v>251</v>
      </c>
      <c r="AD56" s="79">
        <f t="shared" si="1"/>
        <v>0</v>
      </c>
      <c r="AE56" s="79">
        <f t="shared" si="2"/>
        <v>37.5</v>
      </c>
      <c r="AF56" s="79">
        <f t="shared" si="3"/>
        <v>0</v>
      </c>
      <c r="AG56" s="79">
        <f t="shared" si="4"/>
        <v>83.666666666666671</v>
      </c>
      <c r="AH56" s="79">
        <f t="shared" si="5"/>
        <v>37.5</v>
      </c>
      <c r="AI56" s="79">
        <f t="shared" si="6"/>
        <v>90</v>
      </c>
      <c r="AJ56" s="79">
        <f>IFERROR(SUM(AG56:AI56)/DATAINFO!$N$7,0)</f>
        <v>105.58333333333334</v>
      </c>
      <c r="AK56" s="155">
        <f t="shared" si="7"/>
        <v>105.58333333333334</v>
      </c>
    </row>
    <row r="57" spans="1:37" ht="20.100000000000001" customHeight="1" x14ac:dyDescent="0.2">
      <c r="A57" s="67">
        <f>IF(B57="","",COUNTA($B$12:$B57))</f>
        <v>46</v>
      </c>
      <c r="B57" s="147" t="str">
        <f>IF(Konversi!C56="","",Konversi!C56)</f>
        <v>  234677</v>
      </c>
      <c r="C57" s="227" t="str">
        <f>IF(Konversi!B56="","",Konversi!B56)</f>
        <v>  Munirah</v>
      </c>
      <c r="D57" s="227"/>
      <c r="E57" s="79">
        <f>SEKOR!BP48</f>
        <v>60</v>
      </c>
      <c r="F57" s="79">
        <f>SEKOR!BQ48</f>
        <v>77.41935483870968</v>
      </c>
      <c r="G57" s="79">
        <f>SEKOR!BT48</f>
        <v>79</v>
      </c>
      <c r="H57" s="79">
        <f>IF(DATA!$F$18="YA",IF(SEKOR!BR48=0,"",SEKOR!BR48),"")</f>
        <v>90</v>
      </c>
      <c r="I57" s="78">
        <v>80</v>
      </c>
      <c r="J57" s="78">
        <v>95</v>
      </c>
      <c r="K57" s="78">
        <v>76</v>
      </c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>
        <f t="shared" si="0"/>
        <v>251</v>
      </c>
      <c r="AD57" s="79">
        <f t="shared" si="1"/>
        <v>0</v>
      </c>
      <c r="AE57" s="79">
        <f t="shared" si="2"/>
        <v>60</v>
      </c>
      <c r="AF57" s="79">
        <f t="shared" si="3"/>
        <v>0</v>
      </c>
      <c r="AG57" s="79">
        <f t="shared" si="4"/>
        <v>83.666666666666671</v>
      </c>
      <c r="AH57" s="79">
        <f t="shared" si="5"/>
        <v>60</v>
      </c>
      <c r="AI57" s="79">
        <f t="shared" si="6"/>
        <v>90</v>
      </c>
      <c r="AJ57" s="79">
        <f>IFERROR(SUM(AG57:AI57)/DATAINFO!$N$7,0)</f>
        <v>116.83333333333334</v>
      </c>
      <c r="AK57" s="155">
        <f t="shared" si="7"/>
        <v>116.83333333333334</v>
      </c>
    </row>
    <row r="58" spans="1:37" ht="20.100000000000001" customHeight="1" x14ac:dyDescent="0.2">
      <c r="A58" s="67">
        <f>IF(B58="","",COUNTA($B$12:$B58))</f>
        <v>47</v>
      </c>
      <c r="B58" s="147" t="str">
        <f>IF(Konversi!C57="","",Konversi!C57)</f>
        <v>  234690</v>
      </c>
      <c r="C58" s="227" t="str">
        <f>IF(Konversi!B57="","",Konversi!B57)</f>
        <v>  Nor Rachma</v>
      </c>
      <c r="D58" s="227"/>
      <c r="E58" s="79">
        <f>SEKOR!BP49</f>
        <v>75</v>
      </c>
      <c r="F58" s="79">
        <f>SEKOR!BQ49</f>
        <v>96.774193548387103</v>
      </c>
      <c r="G58" s="79">
        <f>SEKOR!BT49</f>
        <v>89</v>
      </c>
      <c r="H58" s="79">
        <f>IF(DATA!$F$18="YA",IF(SEKOR!BR49=0,"",SEKOR!BR49),"")</f>
        <v>90</v>
      </c>
      <c r="I58" s="78">
        <v>80</v>
      </c>
      <c r="J58" s="78">
        <v>95</v>
      </c>
      <c r="K58" s="78">
        <v>76</v>
      </c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>
        <f t="shared" si="0"/>
        <v>251</v>
      </c>
      <c r="AD58" s="79">
        <f t="shared" si="1"/>
        <v>0</v>
      </c>
      <c r="AE58" s="79">
        <f t="shared" si="2"/>
        <v>75</v>
      </c>
      <c r="AF58" s="79">
        <f t="shared" si="3"/>
        <v>0</v>
      </c>
      <c r="AG58" s="79">
        <f t="shared" si="4"/>
        <v>83.666666666666671</v>
      </c>
      <c r="AH58" s="79">
        <f t="shared" si="5"/>
        <v>75</v>
      </c>
      <c r="AI58" s="79">
        <f t="shared" si="6"/>
        <v>90</v>
      </c>
      <c r="AJ58" s="79">
        <f>IFERROR(SUM(AG58:AI58)/DATAINFO!$N$7,0)</f>
        <v>124.33333333333334</v>
      </c>
      <c r="AK58" s="155">
        <f t="shared" si="7"/>
        <v>124.33333333333334</v>
      </c>
    </row>
    <row r="59" spans="1:37" ht="20.100000000000001" customHeight="1" x14ac:dyDescent="0.2">
      <c r="A59" s="67">
        <f>IF(B59="","",COUNTA($B$12:$B59))</f>
        <v>48</v>
      </c>
      <c r="B59" s="147" t="str">
        <f>IF(Konversi!C58="","",Konversi!C58)</f>
        <v>  234691</v>
      </c>
      <c r="C59" s="227" t="str">
        <f>IF(Konversi!B58="","",Konversi!B58)</f>
        <v>  Norbaiti</v>
      </c>
      <c r="D59" s="227"/>
      <c r="E59" s="79">
        <f>SEKOR!BP50</f>
        <v>52.5</v>
      </c>
      <c r="F59" s="79">
        <f>SEKOR!BQ50</f>
        <v>67.741935483870961</v>
      </c>
      <c r="G59" s="79">
        <f>SEKOR!BT50</f>
        <v>74</v>
      </c>
      <c r="H59" s="79">
        <f>IF(DATA!$F$18="YA",IF(SEKOR!BR50=0,"",SEKOR!BR50),"")</f>
        <v>90</v>
      </c>
      <c r="I59" s="78">
        <v>80</v>
      </c>
      <c r="J59" s="78">
        <v>95</v>
      </c>
      <c r="K59" s="78">
        <v>76</v>
      </c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>
        <f t="shared" si="0"/>
        <v>251</v>
      </c>
      <c r="AD59" s="79">
        <f t="shared" si="1"/>
        <v>0</v>
      </c>
      <c r="AE59" s="79">
        <f t="shared" si="2"/>
        <v>52.5</v>
      </c>
      <c r="AF59" s="79">
        <f t="shared" si="3"/>
        <v>0</v>
      </c>
      <c r="AG59" s="79">
        <f t="shared" si="4"/>
        <v>83.666666666666671</v>
      </c>
      <c r="AH59" s="79">
        <f t="shared" si="5"/>
        <v>52.5</v>
      </c>
      <c r="AI59" s="79">
        <f t="shared" si="6"/>
        <v>90</v>
      </c>
      <c r="AJ59" s="79">
        <f>IFERROR(SUM(AG59:AI59)/DATAINFO!$N$7,0)</f>
        <v>113.08333333333334</v>
      </c>
      <c r="AK59" s="155">
        <f t="shared" si="7"/>
        <v>113.08333333333334</v>
      </c>
    </row>
    <row r="60" spans="1:37" ht="20.100000000000001" customHeight="1" x14ac:dyDescent="0.2">
      <c r="A60" s="67">
        <f>IF(B60="","",COUNTA($B$12:$B60))</f>
        <v>49</v>
      </c>
      <c r="B60" s="147" t="str">
        <f>IF(Konversi!C59="","",Konversi!C59)</f>
        <v>  234692</v>
      </c>
      <c r="C60" s="227" t="str">
        <f>IF(Konversi!B59="","",Konversi!B59)</f>
        <v>  Norsehan</v>
      </c>
      <c r="D60" s="227"/>
      <c r="E60" s="79">
        <f>SEKOR!BP51</f>
        <v>17.5</v>
      </c>
      <c r="F60" s="79">
        <f>SEKOR!BQ51</f>
        <v>22.58064516129032</v>
      </c>
      <c r="G60" s="79">
        <f>SEKOR!BT51</f>
        <v>50</v>
      </c>
      <c r="H60" s="79">
        <f>IF(DATA!$F$18="YA",IF(SEKOR!BR51=0,"",SEKOR!BR51),"")</f>
        <v>90</v>
      </c>
      <c r="I60" s="78">
        <v>80</v>
      </c>
      <c r="J60" s="78">
        <v>95</v>
      </c>
      <c r="K60" s="78">
        <v>76</v>
      </c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>
        <f t="shared" si="0"/>
        <v>251</v>
      </c>
      <c r="AD60" s="79">
        <f t="shared" si="1"/>
        <v>0</v>
      </c>
      <c r="AE60" s="79">
        <f t="shared" si="2"/>
        <v>17.5</v>
      </c>
      <c r="AF60" s="79">
        <f t="shared" si="3"/>
        <v>0</v>
      </c>
      <c r="AG60" s="79">
        <f t="shared" si="4"/>
        <v>83.666666666666671</v>
      </c>
      <c r="AH60" s="79">
        <f t="shared" si="5"/>
        <v>17.5</v>
      </c>
      <c r="AI60" s="79">
        <f t="shared" si="6"/>
        <v>90</v>
      </c>
      <c r="AJ60" s="79">
        <f>IFERROR(SUM(AG60:AI60)/DATAINFO!$N$7,0)</f>
        <v>95.583333333333343</v>
      </c>
      <c r="AK60" s="155">
        <f t="shared" si="7"/>
        <v>95.583333333333343</v>
      </c>
    </row>
    <row r="61" spans="1:37" ht="20.100000000000001" customHeight="1" x14ac:dyDescent="0.2">
      <c r="A61" s="67">
        <f>IF(B61="","",COUNTA($B$12:$B61))</f>
        <v>50</v>
      </c>
      <c r="B61" s="147" t="str">
        <f>IF(Konversi!C60="","",Konversi!C60)</f>
        <v>  234699</v>
      </c>
      <c r="C61" s="227" t="str">
        <f>IF(Konversi!B60="","",Konversi!B60)</f>
        <v>  Padil Anwar</v>
      </c>
      <c r="D61" s="227"/>
      <c r="E61" s="79">
        <f>SEKOR!BP52</f>
        <v>30</v>
      </c>
      <c r="F61" s="79">
        <f>SEKOR!BQ52</f>
        <v>38.70967741935484</v>
      </c>
      <c r="G61" s="79">
        <f>SEKOR!BT52</f>
        <v>59</v>
      </c>
      <c r="H61" s="79">
        <f>IF(DATA!$F$18="YA",IF(SEKOR!BR52=0,"",SEKOR!BR52),"")</f>
        <v>90</v>
      </c>
      <c r="I61" s="78">
        <v>80</v>
      </c>
      <c r="J61" s="78">
        <v>95</v>
      </c>
      <c r="K61" s="78">
        <v>76</v>
      </c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>
        <f t="shared" si="0"/>
        <v>251</v>
      </c>
      <c r="AD61" s="79">
        <f t="shared" si="1"/>
        <v>0</v>
      </c>
      <c r="AE61" s="79">
        <f t="shared" si="2"/>
        <v>30</v>
      </c>
      <c r="AF61" s="79">
        <f t="shared" si="3"/>
        <v>0</v>
      </c>
      <c r="AG61" s="79">
        <f t="shared" si="4"/>
        <v>83.666666666666671</v>
      </c>
      <c r="AH61" s="79">
        <f t="shared" si="5"/>
        <v>30</v>
      </c>
      <c r="AI61" s="79">
        <f t="shared" si="6"/>
        <v>90</v>
      </c>
      <c r="AJ61" s="79">
        <f>IFERROR(SUM(AG61:AI61)/DATAINFO!$N$7,0)</f>
        <v>101.83333333333334</v>
      </c>
      <c r="AK61" s="155">
        <f t="shared" si="7"/>
        <v>101.83333333333334</v>
      </c>
    </row>
    <row r="62" spans="1:37" ht="20.100000000000001" customHeight="1" x14ac:dyDescent="0.2">
      <c r="A62" s="67">
        <f>IF(B62="","",COUNTA($B$12:$B62))</f>
        <v>51</v>
      </c>
      <c r="B62" s="147" t="str">
        <f>IF(Konversi!C61="","",Konversi!C61)</f>
        <v>  234702</v>
      </c>
      <c r="C62" s="227" t="str">
        <f>IF(Konversi!B61="","",Konversi!B61)</f>
        <v>  Rafi Ahmad</v>
      </c>
      <c r="D62" s="227"/>
      <c r="E62" s="79">
        <f>SEKOR!BP53</f>
        <v>62.5</v>
      </c>
      <c r="F62" s="79">
        <f>SEKOR!BQ53</f>
        <v>80.645161290322577</v>
      </c>
      <c r="G62" s="79">
        <f>SEKOR!BT53</f>
        <v>80</v>
      </c>
      <c r="H62" s="79">
        <f>IF(DATA!$F$18="YA",IF(SEKOR!BR53=0,"",SEKOR!BR53),"")</f>
        <v>90</v>
      </c>
      <c r="I62" s="78">
        <v>80</v>
      </c>
      <c r="J62" s="78">
        <v>95</v>
      </c>
      <c r="K62" s="78">
        <v>76</v>
      </c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>
        <f t="shared" si="0"/>
        <v>251</v>
      </c>
      <c r="AD62" s="79">
        <f t="shared" si="1"/>
        <v>0</v>
      </c>
      <c r="AE62" s="79">
        <f t="shared" si="2"/>
        <v>62.5</v>
      </c>
      <c r="AF62" s="79">
        <f t="shared" si="3"/>
        <v>0</v>
      </c>
      <c r="AG62" s="79">
        <f t="shared" si="4"/>
        <v>83.666666666666671</v>
      </c>
      <c r="AH62" s="79">
        <f t="shared" si="5"/>
        <v>62.5</v>
      </c>
      <c r="AI62" s="79">
        <f t="shared" si="6"/>
        <v>90</v>
      </c>
      <c r="AJ62" s="79">
        <f>IFERROR(SUM(AG62:AI62)/DATAINFO!$N$7,0)</f>
        <v>118.08333333333334</v>
      </c>
      <c r="AK62" s="155">
        <f t="shared" si="7"/>
        <v>118.08333333333334</v>
      </c>
    </row>
    <row r="63" spans="1:37" ht="20.100000000000001" customHeight="1" x14ac:dyDescent="0.2">
      <c r="A63" s="67">
        <f>IF(B63="","",COUNTA($B$12:$B63))</f>
        <v>52</v>
      </c>
      <c r="B63" s="147" t="str">
        <f>IF(Konversi!C62="","",Konversi!C62)</f>
        <v>  234704</v>
      </c>
      <c r="C63" s="227" t="str">
        <f>IF(Konversi!B62="","",Konversi!B62)</f>
        <v>  Rahmadiyanur</v>
      </c>
      <c r="D63" s="227"/>
      <c r="E63" s="79">
        <f>SEKOR!BP54</f>
        <v>77.5</v>
      </c>
      <c r="F63" s="79">
        <f>SEKOR!BQ54</f>
        <v>100</v>
      </c>
      <c r="G63" s="79">
        <f>SEKOR!BT54</f>
        <v>90</v>
      </c>
      <c r="H63" s="79">
        <f>IF(DATA!$F$18="YA",IF(SEKOR!BR54=0,"",SEKOR!BR54),"")</f>
        <v>90</v>
      </c>
      <c r="I63" s="78">
        <v>80</v>
      </c>
      <c r="J63" s="78">
        <v>95</v>
      </c>
      <c r="K63" s="78">
        <v>76</v>
      </c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>
        <f t="shared" si="0"/>
        <v>251</v>
      </c>
      <c r="AD63" s="79">
        <f t="shared" si="1"/>
        <v>0</v>
      </c>
      <c r="AE63" s="79">
        <f t="shared" si="2"/>
        <v>77.5</v>
      </c>
      <c r="AF63" s="79">
        <f t="shared" si="3"/>
        <v>0</v>
      </c>
      <c r="AG63" s="79">
        <f t="shared" si="4"/>
        <v>83.666666666666671</v>
      </c>
      <c r="AH63" s="79">
        <f t="shared" si="5"/>
        <v>77.5</v>
      </c>
      <c r="AI63" s="79">
        <f t="shared" si="6"/>
        <v>90</v>
      </c>
      <c r="AJ63" s="79">
        <f>IFERROR(SUM(AG63:AI63)/DATAINFO!$N$7,0)</f>
        <v>125.58333333333334</v>
      </c>
      <c r="AK63" s="155">
        <f t="shared" si="7"/>
        <v>125.58333333333334</v>
      </c>
    </row>
    <row r="64" spans="1:37" ht="20.100000000000001" customHeight="1" x14ac:dyDescent="0.2">
      <c r="A64" s="67">
        <f>IF(B64="","",COUNTA($B$12:$B64))</f>
        <v>53</v>
      </c>
      <c r="B64" s="147" t="str">
        <f>IF(Konversi!C63="","",Konversi!C63)</f>
        <v>  234715</v>
      </c>
      <c r="C64" s="227" t="str">
        <f>IF(Konversi!B63="","",Konversi!B63)</f>
        <v>  Sadiah</v>
      </c>
      <c r="D64" s="227"/>
      <c r="E64" s="79">
        <f>SEKOR!BP55</f>
        <v>17.5</v>
      </c>
      <c r="F64" s="79">
        <f>SEKOR!BQ55</f>
        <v>22.58064516129032</v>
      </c>
      <c r="G64" s="79">
        <f>SEKOR!BT55</f>
        <v>50</v>
      </c>
      <c r="H64" s="79">
        <f>IF(DATA!$F$18="YA",IF(SEKOR!BR55=0,"",SEKOR!BR55),"")</f>
        <v>90</v>
      </c>
      <c r="I64" s="78">
        <v>80</v>
      </c>
      <c r="J64" s="78">
        <v>95</v>
      </c>
      <c r="K64" s="78">
        <v>76</v>
      </c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>
        <f t="shared" si="0"/>
        <v>251</v>
      </c>
      <c r="AD64" s="79">
        <f t="shared" si="1"/>
        <v>0</v>
      </c>
      <c r="AE64" s="79">
        <f t="shared" si="2"/>
        <v>17.5</v>
      </c>
      <c r="AF64" s="79">
        <f t="shared" si="3"/>
        <v>0</v>
      </c>
      <c r="AG64" s="79">
        <f t="shared" si="4"/>
        <v>83.666666666666671</v>
      </c>
      <c r="AH64" s="79">
        <f t="shared" si="5"/>
        <v>17.5</v>
      </c>
      <c r="AI64" s="79">
        <f t="shared" si="6"/>
        <v>90</v>
      </c>
      <c r="AJ64" s="79">
        <f>IFERROR(SUM(AG64:AI64)/DATAINFO!$N$7,0)</f>
        <v>95.583333333333343</v>
      </c>
      <c r="AK64" s="155">
        <f t="shared" si="7"/>
        <v>95.583333333333343</v>
      </c>
    </row>
    <row r="65" spans="1:37" ht="20.100000000000001" customHeight="1" x14ac:dyDescent="0.2">
      <c r="A65" s="67">
        <f>IF(B65="","",COUNTA($B$12:$B65))</f>
        <v>54</v>
      </c>
      <c r="B65" s="147" t="str">
        <f>IF(Konversi!C64="","",Konversi!C64)</f>
        <v>  234718</v>
      </c>
      <c r="C65" s="227" t="str">
        <f>IF(Konversi!B64="","",Konversi!B64)</f>
        <v>  Siti Zubaidah</v>
      </c>
      <c r="D65" s="227"/>
      <c r="E65" s="79">
        <f>SEKOR!BP56</f>
        <v>35</v>
      </c>
      <c r="F65" s="79">
        <f>SEKOR!BQ56</f>
        <v>45.161290322580641</v>
      </c>
      <c r="G65" s="79">
        <f>SEKOR!BT56</f>
        <v>62</v>
      </c>
      <c r="H65" s="79">
        <f>IF(DATA!$F$18="YA",IF(SEKOR!BR56=0,"",SEKOR!BR56),"")</f>
        <v>90</v>
      </c>
      <c r="I65" s="78">
        <v>80</v>
      </c>
      <c r="J65" s="78">
        <v>95</v>
      </c>
      <c r="K65" s="78">
        <v>76</v>
      </c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>
        <f t="shared" si="0"/>
        <v>251</v>
      </c>
      <c r="AD65" s="79">
        <f t="shared" si="1"/>
        <v>0</v>
      </c>
      <c r="AE65" s="79">
        <f t="shared" si="2"/>
        <v>35</v>
      </c>
      <c r="AF65" s="79">
        <f t="shared" si="3"/>
        <v>0</v>
      </c>
      <c r="AG65" s="79">
        <f t="shared" si="4"/>
        <v>83.666666666666671</v>
      </c>
      <c r="AH65" s="79">
        <f t="shared" si="5"/>
        <v>35</v>
      </c>
      <c r="AI65" s="79">
        <f t="shared" si="6"/>
        <v>90</v>
      </c>
      <c r="AJ65" s="79">
        <f>IFERROR(SUM(AG65:AI65)/DATAINFO!$N$7,0)</f>
        <v>104.33333333333334</v>
      </c>
      <c r="AK65" s="155">
        <f t="shared" si="7"/>
        <v>104.33333333333334</v>
      </c>
    </row>
    <row r="66" spans="1:37" ht="20.100000000000001" customHeight="1" x14ac:dyDescent="0.2">
      <c r="A66" s="67">
        <f>IF(B66="","",COUNTA($B$12:$B66))</f>
        <v>55</v>
      </c>
      <c r="B66" s="147" t="str">
        <f>IF(Konversi!C65="","",Konversi!C65)</f>
        <v>  234724</v>
      </c>
      <c r="C66" s="227" t="str">
        <f>IF(Konversi!B65="","",Konversi!B65)</f>
        <v>  Wahyu Ramadani</v>
      </c>
      <c r="D66" s="227"/>
      <c r="E66" s="79">
        <f>SEKOR!BP57</f>
        <v>62.5</v>
      </c>
      <c r="F66" s="79">
        <f>SEKOR!BQ57</f>
        <v>80.645161290322577</v>
      </c>
      <c r="G66" s="79">
        <f>SEKOR!BT57</f>
        <v>80</v>
      </c>
      <c r="H66" s="79">
        <f>IF(DATA!$F$18="YA",IF(SEKOR!BR57=0,"",SEKOR!BR57),"")</f>
        <v>90</v>
      </c>
      <c r="I66" s="78">
        <v>80</v>
      </c>
      <c r="J66" s="78">
        <v>95</v>
      </c>
      <c r="K66" s="78">
        <v>76</v>
      </c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>
        <f t="shared" si="0"/>
        <v>251</v>
      </c>
      <c r="AD66" s="79">
        <f t="shared" si="1"/>
        <v>0</v>
      </c>
      <c r="AE66" s="79">
        <f t="shared" si="2"/>
        <v>62.5</v>
      </c>
      <c r="AF66" s="79">
        <f t="shared" si="3"/>
        <v>0</v>
      </c>
      <c r="AG66" s="79">
        <f t="shared" si="4"/>
        <v>83.666666666666671</v>
      </c>
      <c r="AH66" s="79">
        <f t="shared" si="5"/>
        <v>62.5</v>
      </c>
      <c r="AI66" s="79">
        <f t="shared" si="6"/>
        <v>90</v>
      </c>
      <c r="AJ66" s="79">
        <f>IFERROR(SUM(AG66:AI66)/DATAINFO!$N$7,0)</f>
        <v>118.08333333333334</v>
      </c>
      <c r="AK66" s="155">
        <f t="shared" si="7"/>
        <v>118.08333333333334</v>
      </c>
    </row>
    <row r="67" spans="1:37" ht="20.100000000000001" customHeight="1" x14ac:dyDescent="0.2">
      <c r="A67" s="67">
        <f>IF(B67="","",COUNTA($B$12:$B67))</f>
        <v>56</v>
      </c>
      <c r="B67" s="147" t="str">
        <f>IF(Konversi!C66="","",Konversi!C66)</f>
        <v>  234728</v>
      </c>
      <c r="C67" s="227" t="str">
        <f>IF(Konversi!B66="","",Konversi!B66)</f>
        <v>  Zaskia Hardiyanti</v>
      </c>
      <c r="D67" s="227"/>
      <c r="E67" s="79">
        <f>SEKOR!BP58</f>
        <v>42.5</v>
      </c>
      <c r="F67" s="79">
        <f>SEKOR!BQ58</f>
        <v>54.838709677419352</v>
      </c>
      <c r="G67" s="79">
        <f>SEKOR!BT58</f>
        <v>67</v>
      </c>
      <c r="H67" s="79">
        <f>IF(DATA!$F$18="YA",IF(SEKOR!BR58=0,"",SEKOR!BR58),"")</f>
        <v>90</v>
      </c>
      <c r="I67" s="78">
        <v>80</v>
      </c>
      <c r="J67" s="78">
        <v>95</v>
      </c>
      <c r="K67" s="78">
        <v>76</v>
      </c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>
        <f t="shared" si="0"/>
        <v>251</v>
      </c>
      <c r="AD67" s="79">
        <f t="shared" si="1"/>
        <v>0</v>
      </c>
      <c r="AE67" s="79">
        <f t="shared" si="2"/>
        <v>42.5</v>
      </c>
      <c r="AF67" s="79">
        <f t="shared" si="3"/>
        <v>0</v>
      </c>
      <c r="AG67" s="79">
        <f t="shared" si="4"/>
        <v>83.666666666666671</v>
      </c>
      <c r="AH67" s="79">
        <f t="shared" si="5"/>
        <v>42.5</v>
      </c>
      <c r="AI67" s="79">
        <f t="shared" si="6"/>
        <v>90</v>
      </c>
      <c r="AJ67" s="79">
        <f>IFERROR(SUM(AG67:AI67)/DATAINFO!$N$7,0)</f>
        <v>108.08333333333334</v>
      </c>
      <c r="AK67" s="155">
        <f t="shared" si="7"/>
        <v>108.08333333333334</v>
      </c>
    </row>
    <row r="68" spans="1:37" ht="20.100000000000001" hidden="1" customHeight="1" x14ac:dyDescent="0.2">
      <c r="A68" s="67" t="str">
        <f>IF(B68="","",COUNTA($B$12:$B68))</f>
        <v/>
      </c>
      <c r="B68" s="147" t="str">
        <f>IF(Konversi!C67="","",Konversi!C67)</f>
        <v/>
      </c>
      <c r="C68" s="219" t="str">
        <f>IF(Konversi!B67="","",Konversi!B67)</f>
        <v/>
      </c>
      <c r="D68" s="219"/>
      <c r="E68" s="79" t="str">
        <f>SEKOR!BP59</f>
        <v/>
      </c>
      <c r="F68" s="79" t="str">
        <f>SEKOR!BQ59</f>
        <v/>
      </c>
      <c r="G68" s="79" t="str">
        <f>SEKOR!BT59</f>
        <v/>
      </c>
      <c r="H68" s="79" t="str">
        <f>IF(DATA!$F$18="YA",IF(SEKOR!BR59=0,"",SEKOR!BR59),"")</f>
        <v/>
      </c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>
        <f t="shared" si="0"/>
        <v>0</v>
      </c>
      <c r="AD68" s="79" t="str">
        <f t="shared" ref="AD68:AD131" si="8">IFERROR(IF($B68="","",(SUM(I68:AB68)/$D$3)*$AD$11),0)</f>
        <v/>
      </c>
      <c r="AE68" s="79" t="str">
        <f t="shared" si="2"/>
        <v/>
      </c>
      <c r="AF68" s="79" t="str">
        <f t="shared" ref="AF68:AF131" si="9">IFERROR(IF($B68="","",IF($D$1="KONVERT","",IF(H68="","",($H68*$AF$11)))),0)</f>
        <v/>
      </c>
      <c r="AG68" s="79">
        <f t="shared" ref="AG68:AG131" si="10">SUM(I68:AB68)/$D$3</f>
        <v>0</v>
      </c>
      <c r="AH68" s="79" t="str">
        <f t="shared" si="5"/>
        <v/>
      </c>
      <c r="AI68" s="79" t="str">
        <f t="shared" ref="AI68:AI131" si="11">IF($B68="","",IF($D$1="KONVERT","",IF(H68="","",$H68)))</f>
        <v/>
      </c>
      <c r="AJ68" s="79">
        <f>IFERROR(SUM(AG68:AI68)/DATAINFO!$N$7,0)</f>
        <v>0</v>
      </c>
      <c r="AK68" s="155" t="str">
        <f t="shared" ref="AK68:AK131" si="12">IF($B68="","",IF(AJ68&gt;0,AJ68,SUM(AD68:AF68)))</f>
        <v/>
      </c>
    </row>
    <row r="69" spans="1:37" ht="20.100000000000001" hidden="1" customHeight="1" x14ac:dyDescent="0.2">
      <c r="A69" s="67" t="str">
        <f>IF(B69="","",COUNTA($B$12:$B69))</f>
        <v/>
      </c>
      <c r="B69" s="147" t="str">
        <f>IF(Konversi!C68="","",Konversi!C68)</f>
        <v/>
      </c>
      <c r="C69" s="219" t="str">
        <f>IF(Konversi!B68="","",Konversi!B68)</f>
        <v/>
      </c>
      <c r="D69" s="219"/>
      <c r="E69" s="79" t="str">
        <f>SEKOR!BP60</f>
        <v/>
      </c>
      <c r="F69" s="79" t="str">
        <f>SEKOR!BQ60</f>
        <v/>
      </c>
      <c r="G69" s="79" t="str">
        <f>SEKOR!BT60</f>
        <v/>
      </c>
      <c r="H69" s="79" t="str">
        <f>IF(DATA!$F$18="YA",IF(SEKOR!BR60=0,"",SEKOR!BR60),"")</f>
        <v/>
      </c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>
        <f t="shared" si="0"/>
        <v>0</v>
      </c>
      <c r="AD69" s="79" t="str">
        <f t="shared" si="8"/>
        <v/>
      </c>
      <c r="AE69" s="79" t="str">
        <f t="shared" si="2"/>
        <v/>
      </c>
      <c r="AF69" s="79" t="str">
        <f t="shared" si="9"/>
        <v/>
      </c>
      <c r="AG69" s="79">
        <f t="shared" si="10"/>
        <v>0</v>
      </c>
      <c r="AH69" s="79" t="str">
        <f t="shared" si="5"/>
        <v/>
      </c>
      <c r="AI69" s="79" t="str">
        <f t="shared" si="11"/>
        <v/>
      </c>
      <c r="AJ69" s="79">
        <f>IFERROR(SUM(AG69:AI69)/DATAINFO!$N$7,0)</f>
        <v>0</v>
      </c>
      <c r="AK69" s="155" t="str">
        <f t="shared" si="12"/>
        <v/>
      </c>
    </row>
    <row r="70" spans="1:37" ht="20.100000000000001" hidden="1" customHeight="1" x14ac:dyDescent="0.2">
      <c r="A70" s="67" t="str">
        <f>IF(B70="","",COUNTA($B$12:$B70))</f>
        <v/>
      </c>
      <c r="B70" s="147" t="str">
        <f>IF(Konversi!C69="","",Konversi!C69)</f>
        <v/>
      </c>
      <c r="C70" s="219" t="str">
        <f>IF(Konversi!B69="","",Konversi!B69)</f>
        <v/>
      </c>
      <c r="D70" s="219"/>
      <c r="E70" s="79" t="str">
        <f>SEKOR!BP61</f>
        <v/>
      </c>
      <c r="F70" s="79" t="str">
        <f>SEKOR!BQ61</f>
        <v/>
      </c>
      <c r="G70" s="79" t="str">
        <f>SEKOR!BT61</f>
        <v/>
      </c>
      <c r="H70" s="79" t="str">
        <f>IF(DATA!$F$18="YA",IF(SEKOR!BR61=0,"",SEKOR!BR61),"")</f>
        <v/>
      </c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>
        <f t="shared" si="0"/>
        <v>0</v>
      </c>
      <c r="AD70" s="79" t="str">
        <f t="shared" si="8"/>
        <v/>
      </c>
      <c r="AE70" s="79" t="str">
        <f t="shared" si="2"/>
        <v/>
      </c>
      <c r="AF70" s="79" t="str">
        <f t="shared" si="9"/>
        <v/>
      </c>
      <c r="AG70" s="79">
        <f t="shared" si="10"/>
        <v>0</v>
      </c>
      <c r="AH70" s="79" t="str">
        <f t="shared" si="5"/>
        <v/>
      </c>
      <c r="AI70" s="79" t="str">
        <f t="shared" si="11"/>
        <v/>
      </c>
      <c r="AJ70" s="79">
        <f>IFERROR(SUM(AG70:AI70)/DATAINFO!$N$7,0)</f>
        <v>0</v>
      </c>
      <c r="AK70" s="155" t="str">
        <f t="shared" si="12"/>
        <v/>
      </c>
    </row>
    <row r="71" spans="1:37" ht="20.100000000000001" hidden="1" customHeight="1" x14ac:dyDescent="0.2">
      <c r="A71" s="67" t="str">
        <f>IF(B71="","",COUNTA($B$12:$B71))</f>
        <v/>
      </c>
      <c r="B71" s="147" t="str">
        <f>IF(Konversi!C70="","",Konversi!C70)</f>
        <v/>
      </c>
      <c r="C71" s="219" t="str">
        <f>IF(Konversi!B70="","",Konversi!B70)</f>
        <v/>
      </c>
      <c r="D71" s="219"/>
      <c r="E71" s="79" t="str">
        <f>SEKOR!BP62</f>
        <v/>
      </c>
      <c r="F71" s="79" t="str">
        <f>SEKOR!BQ62</f>
        <v/>
      </c>
      <c r="G71" s="79" t="str">
        <f>SEKOR!BT62</f>
        <v/>
      </c>
      <c r="H71" s="79" t="str">
        <f>IF(DATA!$F$18="YA",IF(SEKOR!BR62=0,"",SEKOR!BR62),"")</f>
        <v/>
      </c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>
        <f t="shared" si="0"/>
        <v>0</v>
      </c>
      <c r="AD71" s="79" t="str">
        <f t="shared" si="8"/>
        <v/>
      </c>
      <c r="AE71" s="79" t="str">
        <f t="shared" si="2"/>
        <v/>
      </c>
      <c r="AF71" s="79" t="str">
        <f t="shared" si="9"/>
        <v/>
      </c>
      <c r="AG71" s="79">
        <f t="shared" si="10"/>
        <v>0</v>
      </c>
      <c r="AH71" s="79" t="str">
        <f t="shared" si="5"/>
        <v/>
      </c>
      <c r="AI71" s="79" t="str">
        <f t="shared" si="11"/>
        <v/>
      </c>
      <c r="AJ71" s="79">
        <f>IFERROR(SUM(AG71:AI71)/DATAINFO!$N$7,0)</f>
        <v>0</v>
      </c>
      <c r="AK71" s="155" t="str">
        <f t="shared" si="12"/>
        <v/>
      </c>
    </row>
    <row r="72" spans="1:37" ht="20.100000000000001" hidden="1" customHeight="1" x14ac:dyDescent="0.2">
      <c r="A72" s="67" t="str">
        <f>IF(B72="","",COUNTA($B$12:$B72))</f>
        <v/>
      </c>
      <c r="B72" s="147" t="str">
        <f>IF(Konversi!C71="","",Konversi!C71)</f>
        <v/>
      </c>
      <c r="C72" s="219" t="str">
        <f>IF(Konversi!B71="","",Konversi!B71)</f>
        <v/>
      </c>
      <c r="D72" s="219"/>
      <c r="E72" s="79" t="str">
        <f>SEKOR!BP63</f>
        <v/>
      </c>
      <c r="F72" s="79" t="str">
        <f>SEKOR!BQ63</f>
        <v/>
      </c>
      <c r="G72" s="79" t="str">
        <f>SEKOR!BT63</f>
        <v/>
      </c>
      <c r="H72" s="79" t="str">
        <f>IF(DATA!$F$18="YA",IF(SEKOR!BR63=0,"",SEKOR!BR63),"")</f>
        <v/>
      </c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>
        <f t="shared" si="0"/>
        <v>0</v>
      </c>
      <c r="AD72" s="79" t="str">
        <f t="shared" si="8"/>
        <v/>
      </c>
      <c r="AE72" s="79" t="str">
        <f t="shared" si="2"/>
        <v/>
      </c>
      <c r="AF72" s="79" t="str">
        <f t="shared" si="9"/>
        <v/>
      </c>
      <c r="AG72" s="79">
        <f t="shared" si="10"/>
        <v>0</v>
      </c>
      <c r="AH72" s="79" t="str">
        <f t="shared" si="5"/>
        <v/>
      </c>
      <c r="AI72" s="79" t="str">
        <f t="shared" si="11"/>
        <v/>
      </c>
      <c r="AJ72" s="79">
        <f>IFERROR(SUM(AG72:AI72)/DATAINFO!$N$7,0)</f>
        <v>0</v>
      </c>
      <c r="AK72" s="155" t="str">
        <f t="shared" si="12"/>
        <v/>
      </c>
    </row>
    <row r="73" spans="1:37" ht="20.100000000000001" hidden="1" customHeight="1" x14ac:dyDescent="0.2">
      <c r="A73" s="67" t="str">
        <f>IF(B73="","",COUNTA($B$12:$B73))</f>
        <v/>
      </c>
      <c r="B73" s="147" t="str">
        <f>IF(Konversi!C72="","",Konversi!C72)</f>
        <v/>
      </c>
      <c r="C73" s="219" t="str">
        <f>IF(Konversi!B72="","",Konversi!B72)</f>
        <v/>
      </c>
      <c r="D73" s="219"/>
      <c r="E73" s="79" t="str">
        <f>SEKOR!BP64</f>
        <v/>
      </c>
      <c r="F73" s="79" t="str">
        <f>SEKOR!BQ64</f>
        <v/>
      </c>
      <c r="G73" s="79" t="str">
        <f>SEKOR!BT64</f>
        <v/>
      </c>
      <c r="H73" s="79" t="str">
        <f>IF(DATA!$F$18="YA",IF(SEKOR!BR64=0,"",SEKOR!BR64),"")</f>
        <v/>
      </c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>
        <f t="shared" si="0"/>
        <v>0</v>
      </c>
      <c r="AD73" s="79" t="str">
        <f t="shared" si="8"/>
        <v/>
      </c>
      <c r="AE73" s="79" t="str">
        <f t="shared" si="2"/>
        <v/>
      </c>
      <c r="AF73" s="79" t="str">
        <f t="shared" si="9"/>
        <v/>
      </c>
      <c r="AG73" s="79">
        <f t="shared" si="10"/>
        <v>0</v>
      </c>
      <c r="AH73" s="79" t="str">
        <f t="shared" si="5"/>
        <v/>
      </c>
      <c r="AI73" s="79" t="str">
        <f t="shared" si="11"/>
        <v/>
      </c>
      <c r="AJ73" s="79">
        <f>IFERROR(SUM(AG73:AI73)/DATAINFO!$N$7,0)</f>
        <v>0</v>
      </c>
      <c r="AK73" s="155" t="str">
        <f t="shared" si="12"/>
        <v/>
      </c>
    </row>
    <row r="74" spans="1:37" ht="20.100000000000001" hidden="1" customHeight="1" x14ac:dyDescent="0.2">
      <c r="A74" s="67" t="str">
        <f>IF(B74="","",COUNTA($B$12:$B74))</f>
        <v/>
      </c>
      <c r="B74" s="147" t="str">
        <f>IF(Konversi!C73="","",Konversi!C73)</f>
        <v/>
      </c>
      <c r="C74" s="219" t="str">
        <f>IF(Konversi!B73="","",Konversi!B73)</f>
        <v/>
      </c>
      <c r="D74" s="219"/>
      <c r="E74" s="79" t="str">
        <f>SEKOR!BP65</f>
        <v/>
      </c>
      <c r="F74" s="79" t="str">
        <f>SEKOR!BQ65</f>
        <v/>
      </c>
      <c r="G74" s="79" t="str">
        <f>SEKOR!BT65</f>
        <v/>
      </c>
      <c r="H74" s="79" t="str">
        <f>IF(DATA!$F$18="YA",IF(SEKOR!BR65=0,"",SEKOR!BR65),"")</f>
        <v/>
      </c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>
        <f t="shared" si="0"/>
        <v>0</v>
      </c>
      <c r="AD74" s="79" t="str">
        <f t="shared" si="8"/>
        <v/>
      </c>
      <c r="AE74" s="79" t="str">
        <f t="shared" si="2"/>
        <v/>
      </c>
      <c r="AF74" s="79" t="str">
        <f t="shared" si="9"/>
        <v/>
      </c>
      <c r="AG74" s="79">
        <f t="shared" si="10"/>
        <v>0</v>
      </c>
      <c r="AH74" s="79" t="str">
        <f t="shared" si="5"/>
        <v/>
      </c>
      <c r="AI74" s="79" t="str">
        <f t="shared" si="11"/>
        <v/>
      </c>
      <c r="AJ74" s="79">
        <f>IFERROR(SUM(AG74:AI74)/DATAINFO!$N$7,0)</f>
        <v>0</v>
      </c>
      <c r="AK74" s="155" t="str">
        <f t="shared" si="12"/>
        <v/>
      </c>
    </row>
    <row r="75" spans="1:37" ht="20.100000000000001" hidden="1" customHeight="1" x14ac:dyDescent="0.2">
      <c r="A75" s="67" t="str">
        <f>IF(B75="","",COUNTA($B$12:$B75))</f>
        <v/>
      </c>
      <c r="B75" s="147" t="str">
        <f>IF(Konversi!C74="","",Konversi!C74)</f>
        <v/>
      </c>
      <c r="C75" s="219" t="str">
        <f>IF(Konversi!B74="","",Konversi!B74)</f>
        <v/>
      </c>
      <c r="D75" s="219"/>
      <c r="E75" s="79" t="str">
        <f>SEKOR!BP66</f>
        <v/>
      </c>
      <c r="F75" s="79" t="str">
        <f>SEKOR!BQ66</f>
        <v/>
      </c>
      <c r="G75" s="79" t="str">
        <f>SEKOR!BT66</f>
        <v/>
      </c>
      <c r="H75" s="79" t="str">
        <f>IF(DATA!$F$18="YA",IF(SEKOR!BR66=0,"",SEKOR!BR66),"")</f>
        <v/>
      </c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>
        <f t="shared" si="0"/>
        <v>0</v>
      </c>
      <c r="AD75" s="79" t="str">
        <f t="shared" si="8"/>
        <v/>
      </c>
      <c r="AE75" s="79" t="str">
        <f t="shared" si="2"/>
        <v/>
      </c>
      <c r="AF75" s="79" t="str">
        <f t="shared" si="9"/>
        <v/>
      </c>
      <c r="AG75" s="79">
        <f t="shared" si="10"/>
        <v>0</v>
      </c>
      <c r="AH75" s="79" t="str">
        <f t="shared" si="5"/>
        <v/>
      </c>
      <c r="AI75" s="79" t="str">
        <f t="shared" si="11"/>
        <v/>
      </c>
      <c r="AJ75" s="79">
        <f>IFERROR(SUM(AG75:AI75)/DATAINFO!$N$7,0)</f>
        <v>0</v>
      </c>
      <c r="AK75" s="155" t="str">
        <f t="shared" si="12"/>
        <v/>
      </c>
    </row>
    <row r="76" spans="1:37" ht="20.100000000000001" hidden="1" customHeight="1" x14ac:dyDescent="0.2">
      <c r="A76" s="67" t="str">
        <f>IF(B76="","",COUNTA($B$12:$B76))</f>
        <v/>
      </c>
      <c r="B76" s="147" t="str">
        <f>IF(Konversi!C75="","",Konversi!C75)</f>
        <v/>
      </c>
      <c r="C76" s="219" t="str">
        <f>IF(Konversi!B75="","",Konversi!B75)</f>
        <v/>
      </c>
      <c r="D76" s="219"/>
      <c r="E76" s="79" t="str">
        <f>SEKOR!BP67</f>
        <v/>
      </c>
      <c r="F76" s="79" t="str">
        <f>SEKOR!BQ67</f>
        <v/>
      </c>
      <c r="G76" s="79" t="str">
        <f>SEKOR!BT67</f>
        <v/>
      </c>
      <c r="H76" s="79" t="str">
        <f>IF(DATA!$F$18="YA",IF(SEKOR!BR67=0,"",SEKOR!BR67),"")</f>
        <v/>
      </c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>
        <f t="shared" si="0"/>
        <v>0</v>
      </c>
      <c r="AD76" s="79" t="str">
        <f t="shared" si="8"/>
        <v/>
      </c>
      <c r="AE76" s="79" t="str">
        <f t="shared" si="2"/>
        <v/>
      </c>
      <c r="AF76" s="79" t="str">
        <f t="shared" si="9"/>
        <v/>
      </c>
      <c r="AG76" s="79">
        <f t="shared" si="10"/>
        <v>0</v>
      </c>
      <c r="AH76" s="79" t="str">
        <f t="shared" si="5"/>
        <v/>
      </c>
      <c r="AI76" s="79" t="str">
        <f t="shared" si="11"/>
        <v/>
      </c>
      <c r="AJ76" s="79">
        <f>IFERROR(SUM(AG76:AI76)/DATAINFO!$N$7,0)</f>
        <v>0</v>
      </c>
      <c r="AK76" s="155" t="str">
        <f t="shared" si="12"/>
        <v/>
      </c>
    </row>
    <row r="77" spans="1:37" ht="20.100000000000001" hidden="1" customHeight="1" x14ac:dyDescent="0.2">
      <c r="A77" s="67" t="str">
        <f>IF(B77="","",COUNTA($B$12:$B77))</f>
        <v/>
      </c>
      <c r="B77" s="147" t="str">
        <f>IF(Konversi!C76="","",Konversi!C76)</f>
        <v/>
      </c>
      <c r="C77" s="219" t="str">
        <f>IF(Konversi!B76="","",Konversi!B76)</f>
        <v/>
      </c>
      <c r="D77" s="219"/>
      <c r="E77" s="79" t="str">
        <f>SEKOR!BP68</f>
        <v/>
      </c>
      <c r="F77" s="79" t="str">
        <f>SEKOR!BQ68</f>
        <v/>
      </c>
      <c r="G77" s="79" t="str">
        <f>SEKOR!BT68</f>
        <v/>
      </c>
      <c r="H77" s="79" t="str">
        <f>IF(DATA!$F$18="YA",IF(SEKOR!BR68=0,"",SEKOR!BR68),"")</f>
        <v/>
      </c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>
        <f t="shared" ref="AC77:AC140" si="13">IFERROR(SUM(I77:AB77),0)</f>
        <v>0</v>
      </c>
      <c r="AD77" s="79" t="str">
        <f t="shared" si="8"/>
        <v/>
      </c>
      <c r="AE77" s="79" t="str">
        <f t="shared" ref="AE77:AE140" si="14">IFERROR(IF($B77="","",IF($D$1="PAP",($E77*$AE$11),IF($D$1="PAN",($F77*$AE$11),IF($D$1="KONVERT",$G77*$AE$11)))),0)</f>
        <v/>
      </c>
      <c r="AF77" s="79" t="str">
        <f t="shared" si="9"/>
        <v/>
      </c>
      <c r="AG77" s="79">
        <f t="shared" si="10"/>
        <v>0</v>
      </c>
      <c r="AH77" s="79" t="str">
        <f t="shared" ref="AH77:AH140" si="15">IF($B77="","",IF($D$1="PAP",($E77),IF($D$1="PAN",($F77),IF($D$1="KONVERT",$G77))))</f>
        <v/>
      </c>
      <c r="AI77" s="79" t="str">
        <f t="shared" si="11"/>
        <v/>
      </c>
      <c r="AJ77" s="79">
        <f>IFERROR(SUM(AG77:AI77)/DATAINFO!$N$7,0)</f>
        <v>0</v>
      </c>
      <c r="AK77" s="155" t="str">
        <f t="shared" si="12"/>
        <v/>
      </c>
    </row>
    <row r="78" spans="1:37" ht="20.100000000000001" hidden="1" customHeight="1" x14ac:dyDescent="0.2">
      <c r="A78" s="67" t="str">
        <f>IF(B78="","",COUNTA($B$12:$B78))</f>
        <v/>
      </c>
      <c r="B78" s="147" t="str">
        <f>IF(Konversi!C77="","",Konversi!C77)</f>
        <v/>
      </c>
      <c r="C78" s="219" t="str">
        <f>IF(Konversi!B77="","",Konversi!B77)</f>
        <v/>
      </c>
      <c r="D78" s="219"/>
      <c r="E78" s="79" t="str">
        <f>SEKOR!BP69</f>
        <v/>
      </c>
      <c r="F78" s="79" t="str">
        <f>SEKOR!BQ69</f>
        <v/>
      </c>
      <c r="G78" s="79" t="str">
        <f>SEKOR!BT69</f>
        <v/>
      </c>
      <c r="H78" s="79" t="str">
        <f>IF(DATA!$F$18="YA",IF(SEKOR!BR69=0,"",SEKOR!BR69),"")</f>
        <v/>
      </c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>
        <f t="shared" si="13"/>
        <v>0</v>
      </c>
      <c r="AD78" s="79" t="str">
        <f t="shared" si="8"/>
        <v/>
      </c>
      <c r="AE78" s="79" t="str">
        <f t="shared" si="14"/>
        <v/>
      </c>
      <c r="AF78" s="79" t="str">
        <f t="shared" si="9"/>
        <v/>
      </c>
      <c r="AG78" s="79">
        <f t="shared" si="10"/>
        <v>0</v>
      </c>
      <c r="AH78" s="79" t="str">
        <f t="shared" si="15"/>
        <v/>
      </c>
      <c r="AI78" s="79" t="str">
        <f t="shared" si="11"/>
        <v/>
      </c>
      <c r="AJ78" s="79">
        <f>IFERROR(SUM(AG78:AI78)/DATAINFO!$N$7,0)</f>
        <v>0</v>
      </c>
      <c r="AK78" s="155" t="str">
        <f t="shared" si="12"/>
        <v/>
      </c>
    </row>
    <row r="79" spans="1:37" ht="20.100000000000001" hidden="1" customHeight="1" x14ac:dyDescent="0.2">
      <c r="A79" s="67" t="str">
        <f>IF(B79="","",COUNTA($B$12:$B79))</f>
        <v/>
      </c>
      <c r="B79" s="147" t="str">
        <f>IF(Konversi!C78="","",Konversi!C78)</f>
        <v/>
      </c>
      <c r="C79" s="219" t="str">
        <f>IF(Konversi!B78="","",Konversi!B78)</f>
        <v/>
      </c>
      <c r="D79" s="219"/>
      <c r="E79" s="79" t="str">
        <f>SEKOR!BP70</f>
        <v/>
      </c>
      <c r="F79" s="79" t="str">
        <f>SEKOR!BQ70</f>
        <v/>
      </c>
      <c r="G79" s="79" t="str">
        <f>SEKOR!BT70</f>
        <v/>
      </c>
      <c r="H79" s="79" t="str">
        <f>IF(DATA!$F$18="YA",IF(SEKOR!BR70=0,"",SEKOR!BR70),"")</f>
        <v/>
      </c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>
        <f t="shared" si="13"/>
        <v>0</v>
      </c>
      <c r="AD79" s="79" t="str">
        <f t="shared" si="8"/>
        <v/>
      </c>
      <c r="AE79" s="79" t="str">
        <f t="shared" si="14"/>
        <v/>
      </c>
      <c r="AF79" s="79" t="str">
        <f t="shared" si="9"/>
        <v/>
      </c>
      <c r="AG79" s="79">
        <f t="shared" si="10"/>
        <v>0</v>
      </c>
      <c r="AH79" s="79" t="str">
        <f t="shared" si="15"/>
        <v/>
      </c>
      <c r="AI79" s="79" t="str">
        <f t="shared" si="11"/>
        <v/>
      </c>
      <c r="AJ79" s="79">
        <f>IFERROR(SUM(AG79:AI79)/DATAINFO!$N$7,0)</f>
        <v>0</v>
      </c>
      <c r="AK79" s="155" t="str">
        <f t="shared" si="12"/>
        <v/>
      </c>
    </row>
    <row r="80" spans="1:37" ht="20.100000000000001" hidden="1" customHeight="1" x14ac:dyDescent="0.2">
      <c r="A80" s="67" t="str">
        <f>IF(B80="","",COUNTA($B$12:$B80))</f>
        <v/>
      </c>
      <c r="B80" s="147" t="str">
        <f>IF(Konversi!C79="","",Konversi!C79)</f>
        <v/>
      </c>
      <c r="C80" s="219" t="str">
        <f>IF(Konversi!B79="","",Konversi!B79)</f>
        <v/>
      </c>
      <c r="D80" s="219"/>
      <c r="E80" s="79" t="str">
        <f>SEKOR!BP71</f>
        <v/>
      </c>
      <c r="F80" s="79" t="str">
        <f>SEKOR!BQ71</f>
        <v/>
      </c>
      <c r="G80" s="79" t="str">
        <f>SEKOR!BT71</f>
        <v/>
      </c>
      <c r="H80" s="79" t="str">
        <f>IF(DATA!$F$18="YA",IF(SEKOR!BR71=0,"",SEKOR!BR71),"")</f>
        <v/>
      </c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>
        <f t="shared" si="13"/>
        <v>0</v>
      </c>
      <c r="AD80" s="79" t="str">
        <f t="shared" si="8"/>
        <v/>
      </c>
      <c r="AE80" s="79" t="str">
        <f t="shared" si="14"/>
        <v/>
      </c>
      <c r="AF80" s="79" t="str">
        <f t="shared" si="9"/>
        <v/>
      </c>
      <c r="AG80" s="79">
        <f t="shared" si="10"/>
        <v>0</v>
      </c>
      <c r="AH80" s="79" t="str">
        <f t="shared" si="15"/>
        <v/>
      </c>
      <c r="AI80" s="79" t="str">
        <f t="shared" si="11"/>
        <v/>
      </c>
      <c r="AJ80" s="79">
        <f>IFERROR(SUM(AG80:AI80)/DATAINFO!$N$7,0)</f>
        <v>0</v>
      </c>
      <c r="AK80" s="155" t="str">
        <f t="shared" si="12"/>
        <v/>
      </c>
    </row>
    <row r="81" spans="1:37" ht="20.100000000000001" hidden="1" customHeight="1" x14ac:dyDescent="0.2">
      <c r="A81" s="67" t="str">
        <f>IF(B81="","",COUNTA($B$12:$B81))</f>
        <v/>
      </c>
      <c r="B81" s="147" t="str">
        <f>IF(Konversi!C80="","",Konversi!C80)</f>
        <v/>
      </c>
      <c r="C81" s="219" t="str">
        <f>IF(Konversi!B80="","",Konversi!B80)</f>
        <v/>
      </c>
      <c r="D81" s="219"/>
      <c r="E81" s="79" t="str">
        <f>SEKOR!BP72</f>
        <v/>
      </c>
      <c r="F81" s="79" t="str">
        <f>SEKOR!BQ72</f>
        <v/>
      </c>
      <c r="G81" s="79" t="str">
        <f>SEKOR!BT72</f>
        <v/>
      </c>
      <c r="H81" s="79" t="str">
        <f>IF(DATA!$F$18="YA",IF(SEKOR!BR72=0,"",SEKOR!BR72),"")</f>
        <v/>
      </c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>
        <f t="shared" si="13"/>
        <v>0</v>
      </c>
      <c r="AD81" s="79" t="str">
        <f t="shared" si="8"/>
        <v/>
      </c>
      <c r="AE81" s="79" t="str">
        <f t="shared" si="14"/>
        <v/>
      </c>
      <c r="AF81" s="79" t="str">
        <f t="shared" si="9"/>
        <v/>
      </c>
      <c r="AG81" s="79">
        <f t="shared" si="10"/>
        <v>0</v>
      </c>
      <c r="AH81" s="79" t="str">
        <f t="shared" si="15"/>
        <v/>
      </c>
      <c r="AI81" s="79" t="str">
        <f t="shared" si="11"/>
        <v/>
      </c>
      <c r="AJ81" s="79">
        <f>IFERROR(SUM(AG81:AI81)/DATAINFO!$N$7,0)</f>
        <v>0</v>
      </c>
      <c r="AK81" s="155" t="str">
        <f t="shared" si="12"/>
        <v/>
      </c>
    </row>
    <row r="82" spans="1:37" ht="20.100000000000001" hidden="1" customHeight="1" x14ac:dyDescent="0.2">
      <c r="A82" s="67" t="str">
        <f>IF(B82="","",COUNTA($B$12:$B82))</f>
        <v/>
      </c>
      <c r="B82" s="147" t="str">
        <f>IF(Konversi!C81="","",Konversi!C81)</f>
        <v/>
      </c>
      <c r="C82" s="219" t="str">
        <f>IF(Konversi!B81="","",Konversi!B81)</f>
        <v/>
      </c>
      <c r="D82" s="219"/>
      <c r="E82" s="79" t="str">
        <f>SEKOR!BP73</f>
        <v/>
      </c>
      <c r="F82" s="79" t="str">
        <f>SEKOR!BQ73</f>
        <v/>
      </c>
      <c r="G82" s="79" t="str">
        <f>SEKOR!BT73</f>
        <v/>
      </c>
      <c r="H82" s="79" t="str">
        <f>IF(DATA!$F$18="YA",IF(SEKOR!BR73=0,"",SEKOR!BR73),"")</f>
        <v/>
      </c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>
        <f t="shared" si="13"/>
        <v>0</v>
      </c>
      <c r="AD82" s="79" t="str">
        <f t="shared" si="8"/>
        <v/>
      </c>
      <c r="AE82" s="79" t="str">
        <f t="shared" si="14"/>
        <v/>
      </c>
      <c r="AF82" s="79" t="str">
        <f t="shared" si="9"/>
        <v/>
      </c>
      <c r="AG82" s="79">
        <f t="shared" si="10"/>
        <v>0</v>
      </c>
      <c r="AH82" s="79" t="str">
        <f t="shared" si="15"/>
        <v/>
      </c>
      <c r="AI82" s="79" t="str">
        <f t="shared" si="11"/>
        <v/>
      </c>
      <c r="AJ82" s="79">
        <f>IFERROR(SUM(AG82:AI82)/DATAINFO!$N$7,0)</f>
        <v>0</v>
      </c>
      <c r="AK82" s="155" t="str">
        <f t="shared" si="12"/>
        <v/>
      </c>
    </row>
    <row r="83" spans="1:37" ht="20.100000000000001" hidden="1" customHeight="1" x14ac:dyDescent="0.2">
      <c r="A83" s="67" t="str">
        <f>IF(B83="","",COUNTA($B$12:$B83))</f>
        <v/>
      </c>
      <c r="B83" s="147" t="str">
        <f>IF(Konversi!C82="","",Konversi!C82)</f>
        <v/>
      </c>
      <c r="C83" s="219" t="str">
        <f>IF(Konversi!B82="","",Konversi!B82)</f>
        <v/>
      </c>
      <c r="D83" s="219"/>
      <c r="E83" s="79" t="str">
        <f>SEKOR!BP74</f>
        <v/>
      </c>
      <c r="F83" s="79" t="str">
        <f>SEKOR!BQ74</f>
        <v/>
      </c>
      <c r="G83" s="79" t="str">
        <f>SEKOR!BT74</f>
        <v/>
      </c>
      <c r="H83" s="79" t="str">
        <f>IF(DATA!$F$18="YA",IF(SEKOR!BR74=0,"",SEKOR!BR74),"")</f>
        <v/>
      </c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>
        <f t="shared" si="13"/>
        <v>0</v>
      </c>
      <c r="AD83" s="79" t="str">
        <f t="shared" si="8"/>
        <v/>
      </c>
      <c r="AE83" s="79" t="str">
        <f t="shared" si="14"/>
        <v/>
      </c>
      <c r="AF83" s="79" t="str">
        <f t="shared" si="9"/>
        <v/>
      </c>
      <c r="AG83" s="79">
        <f t="shared" si="10"/>
        <v>0</v>
      </c>
      <c r="AH83" s="79" t="str">
        <f t="shared" si="15"/>
        <v/>
      </c>
      <c r="AI83" s="79" t="str">
        <f t="shared" si="11"/>
        <v/>
      </c>
      <c r="AJ83" s="79">
        <f>IFERROR(SUM(AG83:AI83)/DATAINFO!$N$7,0)</f>
        <v>0</v>
      </c>
      <c r="AK83" s="155" t="str">
        <f t="shared" si="12"/>
        <v/>
      </c>
    </row>
    <row r="84" spans="1:37" ht="20.100000000000001" hidden="1" customHeight="1" x14ac:dyDescent="0.2">
      <c r="A84" s="67" t="str">
        <f>IF(B84="","",COUNTA($B$12:$B84))</f>
        <v/>
      </c>
      <c r="B84" s="147" t="str">
        <f>IF(Konversi!C83="","",Konversi!C83)</f>
        <v/>
      </c>
      <c r="C84" s="219" t="str">
        <f>IF(Konversi!B83="","",Konversi!B83)</f>
        <v/>
      </c>
      <c r="D84" s="219"/>
      <c r="E84" s="79" t="str">
        <f>SEKOR!BP75</f>
        <v/>
      </c>
      <c r="F84" s="79" t="str">
        <f>SEKOR!BQ75</f>
        <v/>
      </c>
      <c r="G84" s="79" t="str">
        <f>SEKOR!BT75</f>
        <v/>
      </c>
      <c r="H84" s="79" t="str">
        <f>IF(DATA!$F$18="YA",IF(SEKOR!BR75=0,"",SEKOR!BR75),"")</f>
        <v/>
      </c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>
        <f t="shared" si="13"/>
        <v>0</v>
      </c>
      <c r="AD84" s="79" t="str">
        <f t="shared" si="8"/>
        <v/>
      </c>
      <c r="AE84" s="79" t="str">
        <f t="shared" si="14"/>
        <v/>
      </c>
      <c r="AF84" s="79" t="str">
        <f t="shared" si="9"/>
        <v/>
      </c>
      <c r="AG84" s="79">
        <f t="shared" si="10"/>
        <v>0</v>
      </c>
      <c r="AH84" s="79" t="str">
        <f t="shared" si="15"/>
        <v/>
      </c>
      <c r="AI84" s="79" t="str">
        <f t="shared" si="11"/>
        <v/>
      </c>
      <c r="AJ84" s="79">
        <f>IFERROR(SUM(AG84:AI84)/DATAINFO!$N$7,0)</f>
        <v>0</v>
      </c>
      <c r="AK84" s="155" t="str">
        <f t="shared" si="12"/>
        <v/>
      </c>
    </row>
    <row r="85" spans="1:37" ht="20.100000000000001" hidden="1" customHeight="1" x14ac:dyDescent="0.2">
      <c r="A85" s="67" t="str">
        <f>IF(B85="","",COUNTA($B$12:$B85))</f>
        <v/>
      </c>
      <c r="B85" s="147" t="str">
        <f>IF(Konversi!C84="","",Konversi!C84)</f>
        <v/>
      </c>
      <c r="C85" s="219" t="str">
        <f>IF(Konversi!B84="","",Konversi!B84)</f>
        <v/>
      </c>
      <c r="D85" s="219"/>
      <c r="E85" s="79" t="str">
        <f>SEKOR!BP76</f>
        <v/>
      </c>
      <c r="F85" s="79" t="str">
        <f>SEKOR!BQ76</f>
        <v/>
      </c>
      <c r="G85" s="79" t="str">
        <f>SEKOR!BT76</f>
        <v/>
      </c>
      <c r="H85" s="79" t="str">
        <f>IF(DATA!$F$18="YA",IF(SEKOR!BR76=0,"",SEKOR!BR76),"")</f>
        <v/>
      </c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>
        <f t="shared" si="13"/>
        <v>0</v>
      </c>
      <c r="AD85" s="79" t="str">
        <f t="shared" si="8"/>
        <v/>
      </c>
      <c r="AE85" s="79" t="str">
        <f t="shared" si="14"/>
        <v/>
      </c>
      <c r="AF85" s="79" t="str">
        <f t="shared" si="9"/>
        <v/>
      </c>
      <c r="AG85" s="79">
        <f t="shared" si="10"/>
        <v>0</v>
      </c>
      <c r="AH85" s="79" t="str">
        <f t="shared" si="15"/>
        <v/>
      </c>
      <c r="AI85" s="79" t="str">
        <f t="shared" si="11"/>
        <v/>
      </c>
      <c r="AJ85" s="79">
        <f>IFERROR(SUM(AG85:AI85)/DATAINFO!$N$7,0)</f>
        <v>0</v>
      </c>
      <c r="AK85" s="155" t="str">
        <f t="shared" si="12"/>
        <v/>
      </c>
    </row>
    <row r="86" spans="1:37" ht="20.100000000000001" hidden="1" customHeight="1" x14ac:dyDescent="0.2">
      <c r="A86" s="67" t="str">
        <f>IF(B86="","",COUNTA($B$12:$B86))</f>
        <v/>
      </c>
      <c r="B86" s="147" t="str">
        <f>IF(Konversi!C85="","",Konversi!C85)</f>
        <v/>
      </c>
      <c r="C86" s="219" t="str">
        <f>IF(Konversi!B85="","",Konversi!B85)</f>
        <v/>
      </c>
      <c r="D86" s="219"/>
      <c r="E86" s="79" t="str">
        <f>SEKOR!BP77</f>
        <v/>
      </c>
      <c r="F86" s="79" t="str">
        <f>SEKOR!BQ77</f>
        <v/>
      </c>
      <c r="G86" s="79" t="str">
        <f>SEKOR!BT77</f>
        <v/>
      </c>
      <c r="H86" s="79" t="str">
        <f>IF(DATA!$F$18="YA",IF(SEKOR!BR77=0,"",SEKOR!BR77),"")</f>
        <v/>
      </c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>
        <f t="shared" si="13"/>
        <v>0</v>
      </c>
      <c r="AD86" s="79" t="str">
        <f t="shared" si="8"/>
        <v/>
      </c>
      <c r="AE86" s="79" t="str">
        <f t="shared" si="14"/>
        <v/>
      </c>
      <c r="AF86" s="79" t="str">
        <f t="shared" si="9"/>
        <v/>
      </c>
      <c r="AG86" s="79">
        <f t="shared" si="10"/>
        <v>0</v>
      </c>
      <c r="AH86" s="79" t="str">
        <f t="shared" si="15"/>
        <v/>
      </c>
      <c r="AI86" s="79" t="str">
        <f t="shared" si="11"/>
        <v/>
      </c>
      <c r="AJ86" s="79">
        <f>IFERROR(SUM(AG86:AI86)/DATAINFO!$N$7,0)</f>
        <v>0</v>
      </c>
      <c r="AK86" s="155" t="str">
        <f t="shared" si="12"/>
        <v/>
      </c>
    </row>
    <row r="87" spans="1:37" ht="20.100000000000001" hidden="1" customHeight="1" x14ac:dyDescent="0.2">
      <c r="A87" s="67" t="str">
        <f>IF(B87="","",COUNTA($B$12:$B87))</f>
        <v/>
      </c>
      <c r="B87" s="147" t="str">
        <f>IF(Konversi!C86="","",Konversi!C86)</f>
        <v/>
      </c>
      <c r="C87" s="219" t="str">
        <f>IF(Konversi!B86="","",Konversi!B86)</f>
        <v/>
      </c>
      <c r="D87" s="219"/>
      <c r="E87" s="79" t="str">
        <f>SEKOR!BP78</f>
        <v/>
      </c>
      <c r="F87" s="79" t="str">
        <f>SEKOR!BQ78</f>
        <v/>
      </c>
      <c r="G87" s="79" t="str">
        <f>SEKOR!BT78</f>
        <v/>
      </c>
      <c r="H87" s="79" t="str">
        <f>IF(DATA!$F$18="YA",IF(SEKOR!BR78=0,"",SEKOR!BR78),"")</f>
        <v/>
      </c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>
        <f t="shared" si="13"/>
        <v>0</v>
      </c>
      <c r="AD87" s="79" t="str">
        <f t="shared" si="8"/>
        <v/>
      </c>
      <c r="AE87" s="79" t="str">
        <f t="shared" si="14"/>
        <v/>
      </c>
      <c r="AF87" s="79" t="str">
        <f t="shared" si="9"/>
        <v/>
      </c>
      <c r="AG87" s="79">
        <f t="shared" si="10"/>
        <v>0</v>
      </c>
      <c r="AH87" s="79" t="str">
        <f t="shared" si="15"/>
        <v/>
      </c>
      <c r="AI87" s="79" t="str">
        <f t="shared" si="11"/>
        <v/>
      </c>
      <c r="AJ87" s="79">
        <f>IFERROR(SUM(AG87:AI87)/DATAINFO!$N$7,0)</f>
        <v>0</v>
      </c>
      <c r="AK87" s="155" t="str">
        <f t="shared" si="12"/>
        <v/>
      </c>
    </row>
    <row r="88" spans="1:37" ht="20.100000000000001" hidden="1" customHeight="1" x14ac:dyDescent="0.2">
      <c r="A88" s="67" t="str">
        <f>IF(B88="","",COUNTA($B$12:$B88))</f>
        <v/>
      </c>
      <c r="B88" s="147" t="str">
        <f>IF(Konversi!C87="","",Konversi!C87)</f>
        <v/>
      </c>
      <c r="C88" s="219" t="str">
        <f>IF(Konversi!B87="","",Konversi!B87)</f>
        <v/>
      </c>
      <c r="D88" s="219"/>
      <c r="E88" s="79" t="str">
        <f>SEKOR!BP79</f>
        <v/>
      </c>
      <c r="F88" s="79" t="str">
        <f>SEKOR!BQ79</f>
        <v/>
      </c>
      <c r="G88" s="79" t="str">
        <f>SEKOR!BT79</f>
        <v/>
      </c>
      <c r="H88" s="79" t="str">
        <f>IF(DATA!$F$18="YA",IF(SEKOR!BR79=0,"",SEKOR!BR79),"")</f>
        <v/>
      </c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>
        <f t="shared" si="13"/>
        <v>0</v>
      </c>
      <c r="AD88" s="79" t="str">
        <f t="shared" si="8"/>
        <v/>
      </c>
      <c r="AE88" s="79" t="str">
        <f t="shared" si="14"/>
        <v/>
      </c>
      <c r="AF88" s="79" t="str">
        <f t="shared" si="9"/>
        <v/>
      </c>
      <c r="AG88" s="79">
        <f t="shared" si="10"/>
        <v>0</v>
      </c>
      <c r="AH88" s="79" t="str">
        <f t="shared" si="15"/>
        <v/>
      </c>
      <c r="AI88" s="79" t="str">
        <f t="shared" si="11"/>
        <v/>
      </c>
      <c r="AJ88" s="79">
        <f>IFERROR(SUM(AG88:AI88)/DATAINFO!$N$7,0)</f>
        <v>0</v>
      </c>
      <c r="AK88" s="155" t="str">
        <f t="shared" si="12"/>
        <v/>
      </c>
    </row>
    <row r="89" spans="1:37" ht="20.100000000000001" hidden="1" customHeight="1" x14ac:dyDescent="0.2">
      <c r="A89" s="67" t="str">
        <f>IF(B89="","",COUNTA($B$12:$B89))</f>
        <v/>
      </c>
      <c r="B89" s="147" t="str">
        <f>IF(Konversi!C88="","",Konversi!C88)</f>
        <v/>
      </c>
      <c r="C89" s="219" t="str">
        <f>IF(Konversi!B88="","",Konversi!B88)</f>
        <v/>
      </c>
      <c r="D89" s="219"/>
      <c r="E89" s="79" t="str">
        <f>SEKOR!BP80</f>
        <v/>
      </c>
      <c r="F89" s="79" t="str">
        <f>SEKOR!BQ80</f>
        <v/>
      </c>
      <c r="G89" s="79" t="str">
        <f>SEKOR!BT80</f>
        <v/>
      </c>
      <c r="H89" s="79" t="str">
        <f>IF(DATA!$F$18="YA",IF(SEKOR!BR80=0,"",SEKOR!BR80),"")</f>
        <v/>
      </c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>
        <f t="shared" si="13"/>
        <v>0</v>
      </c>
      <c r="AD89" s="79" t="str">
        <f t="shared" si="8"/>
        <v/>
      </c>
      <c r="AE89" s="79" t="str">
        <f t="shared" si="14"/>
        <v/>
      </c>
      <c r="AF89" s="79" t="str">
        <f t="shared" si="9"/>
        <v/>
      </c>
      <c r="AG89" s="79">
        <f t="shared" si="10"/>
        <v>0</v>
      </c>
      <c r="AH89" s="79" t="str">
        <f t="shared" si="15"/>
        <v/>
      </c>
      <c r="AI89" s="79" t="str">
        <f t="shared" si="11"/>
        <v/>
      </c>
      <c r="AJ89" s="79">
        <f>IFERROR(SUM(AG89:AI89)/DATAINFO!$N$7,0)</f>
        <v>0</v>
      </c>
      <c r="AK89" s="155" t="str">
        <f t="shared" si="12"/>
        <v/>
      </c>
    </row>
    <row r="90" spans="1:37" ht="20.100000000000001" hidden="1" customHeight="1" x14ac:dyDescent="0.2">
      <c r="A90" s="67" t="str">
        <f>IF(B90="","",COUNTA($B$12:$B90))</f>
        <v/>
      </c>
      <c r="B90" s="147" t="str">
        <f>IF(Konversi!C89="","",Konversi!C89)</f>
        <v/>
      </c>
      <c r="C90" s="219" t="str">
        <f>IF(Konversi!B89="","",Konversi!B89)</f>
        <v/>
      </c>
      <c r="D90" s="219"/>
      <c r="E90" s="79" t="str">
        <f>SEKOR!BP81</f>
        <v/>
      </c>
      <c r="F90" s="79" t="str">
        <f>SEKOR!BQ81</f>
        <v/>
      </c>
      <c r="G90" s="79" t="str">
        <f>SEKOR!BT81</f>
        <v/>
      </c>
      <c r="H90" s="79" t="str">
        <f>IF(DATA!$F$18="YA",IF(SEKOR!BR81=0,"",SEKOR!BR81),"")</f>
        <v/>
      </c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>
        <f t="shared" si="13"/>
        <v>0</v>
      </c>
      <c r="AD90" s="79" t="str">
        <f t="shared" si="8"/>
        <v/>
      </c>
      <c r="AE90" s="79" t="str">
        <f t="shared" si="14"/>
        <v/>
      </c>
      <c r="AF90" s="79" t="str">
        <f t="shared" si="9"/>
        <v/>
      </c>
      <c r="AG90" s="79">
        <f t="shared" si="10"/>
        <v>0</v>
      </c>
      <c r="AH90" s="79" t="str">
        <f t="shared" si="15"/>
        <v/>
      </c>
      <c r="AI90" s="79" t="str">
        <f t="shared" si="11"/>
        <v/>
      </c>
      <c r="AJ90" s="79">
        <f>IFERROR(SUM(AG90:AI90)/DATAINFO!$N$7,0)</f>
        <v>0</v>
      </c>
      <c r="AK90" s="155" t="str">
        <f t="shared" si="12"/>
        <v/>
      </c>
    </row>
    <row r="91" spans="1:37" ht="20.100000000000001" hidden="1" customHeight="1" x14ac:dyDescent="0.2">
      <c r="A91" s="67" t="str">
        <f>IF(B91="","",COUNTA($B$12:$B91))</f>
        <v/>
      </c>
      <c r="B91" s="147" t="str">
        <f>IF(Konversi!C90="","",Konversi!C90)</f>
        <v/>
      </c>
      <c r="C91" s="219" t="str">
        <f>IF(Konversi!B90="","",Konversi!B90)</f>
        <v/>
      </c>
      <c r="D91" s="219"/>
      <c r="E91" s="79" t="str">
        <f>SEKOR!BP82</f>
        <v/>
      </c>
      <c r="F91" s="79" t="str">
        <f>SEKOR!BQ82</f>
        <v/>
      </c>
      <c r="G91" s="79" t="str">
        <f>SEKOR!BT82</f>
        <v/>
      </c>
      <c r="H91" s="79" t="str">
        <f>IF(DATA!$F$18="YA",IF(SEKOR!BR82=0,"",SEKOR!BR82),"")</f>
        <v/>
      </c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>
        <f t="shared" si="13"/>
        <v>0</v>
      </c>
      <c r="AD91" s="79" t="str">
        <f t="shared" si="8"/>
        <v/>
      </c>
      <c r="AE91" s="79" t="str">
        <f t="shared" si="14"/>
        <v/>
      </c>
      <c r="AF91" s="79" t="str">
        <f t="shared" si="9"/>
        <v/>
      </c>
      <c r="AG91" s="79">
        <f t="shared" si="10"/>
        <v>0</v>
      </c>
      <c r="AH91" s="79" t="str">
        <f t="shared" si="15"/>
        <v/>
      </c>
      <c r="AI91" s="79" t="str">
        <f t="shared" si="11"/>
        <v/>
      </c>
      <c r="AJ91" s="79">
        <f>IFERROR(SUM(AG91:AI91)/DATAINFO!$N$7,0)</f>
        <v>0</v>
      </c>
      <c r="AK91" s="155" t="str">
        <f t="shared" si="12"/>
        <v/>
      </c>
    </row>
    <row r="92" spans="1:37" ht="20.100000000000001" hidden="1" customHeight="1" x14ac:dyDescent="0.2">
      <c r="A92" s="67" t="str">
        <f>IF(B92="","",COUNTA($B$12:$B92))</f>
        <v/>
      </c>
      <c r="B92" s="147" t="str">
        <f>IF(Konversi!C91="","",Konversi!C91)</f>
        <v/>
      </c>
      <c r="C92" s="219" t="str">
        <f>IF(Konversi!B91="","",Konversi!B91)</f>
        <v/>
      </c>
      <c r="D92" s="219"/>
      <c r="E92" s="79" t="str">
        <f>SEKOR!BP83</f>
        <v/>
      </c>
      <c r="F92" s="79" t="str">
        <f>SEKOR!BQ83</f>
        <v/>
      </c>
      <c r="G92" s="79" t="str">
        <f>SEKOR!BT83</f>
        <v/>
      </c>
      <c r="H92" s="79" t="str">
        <f>IF(DATA!$F$18="YA",IF(SEKOR!BR83=0,"",SEKOR!BR83),"")</f>
        <v/>
      </c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>
        <f t="shared" si="13"/>
        <v>0</v>
      </c>
      <c r="AD92" s="79" t="str">
        <f t="shared" si="8"/>
        <v/>
      </c>
      <c r="AE92" s="79" t="str">
        <f t="shared" si="14"/>
        <v/>
      </c>
      <c r="AF92" s="79" t="str">
        <f t="shared" si="9"/>
        <v/>
      </c>
      <c r="AG92" s="79">
        <f t="shared" si="10"/>
        <v>0</v>
      </c>
      <c r="AH92" s="79" t="str">
        <f t="shared" si="15"/>
        <v/>
      </c>
      <c r="AI92" s="79" t="str">
        <f t="shared" si="11"/>
        <v/>
      </c>
      <c r="AJ92" s="79">
        <f>IFERROR(SUM(AG92:AI92)/DATAINFO!$N$7,0)</f>
        <v>0</v>
      </c>
      <c r="AK92" s="155" t="str">
        <f t="shared" si="12"/>
        <v/>
      </c>
    </row>
    <row r="93" spans="1:37" ht="20.100000000000001" hidden="1" customHeight="1" x14ac:dyDescent="0.2">
      <c r="A93" s="67" t="str">
        <f>IF(B93="","",COUNTA($B$12:$B93))</f>
        <v/>
      </c>
      <c r="B93" s="147" t="str">
        <f>IF(Konversi!C92="","",Konversi!C92)</f>
        <v/>
      </c>
      <c r="C93" s="219" t="str">
        <f>IF(Konversi!B92="","",Konversi!B92)</f>
        <v/>
      </c>
      <c r="D93" s="219"/>
      <c r="E93" s="79" t="str">
        <f>SEKOR!BP84</f>
        <v/>
      </c>
      <c r="F93" s="79" t="str">
        <f>SEKOR!BQ84</f>
        <v/>
      </c>
      <c r="G93" s="79" t="str">
        <f>SEKOR!BT84</f>
        <v/>
      </c>
      <c r="H93" s="79" t="str">
        <f>IF(DATA!$F$18="YA",IF(SEKOR!BR84=0,"",SEKOR!BR84),"")</f>
        <v/>
      </c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>
        <f t="shared" si="13"/>
        <v>0</v>
      </c>
      <c r="AD93" s="79" t="str">
        <f t="shared" si="8"/>
        <v/>
      </c>
      <c r="AE93" s="79" t="str">
        <f t="shared" si="14"/>
        <v/>
      </c>
      <c r="AF93" s="79" t="str">
        <f t="shared" si="9"/>
        <v/>
      </c>
      <c r="AG93" s="79">
        <f t="shared" si="10"/>
        <v>0</v>
      </c>
      <c r="AH93" s="79" t="str">
        <f t="shared" si="15"/>
        <v/>
      </c>
      <c r="AI93" s="79" t="str">
        <f t="shared" si="11"/>
        <v/>
      </c>
      <c r="AJ93" s="79">
        <f>IFERROR(SUM(AG93:AI93)/DATAINFO!$N$7,0)</f>
        <v>0</v>
      </c>
      <c r="AK93" s="155" t="str">
        <f t="shared" si="12"/>
        <v/>
      </c>
    </row>
    <row r="94" spans="1:37" ht="20.100000000000001" hidden="1" customHeight="1" x14ac:dyDescent="0.2">
      <c r="A94" s="67" t="str">
        <f>IF(B94="","",COUNTA($B$12:$B94))</f>
        <v/>
      </c>
      <c r="B94" s="147" t="str">
        <f>IF(Konversi!C93="","",Konversi!C93)</f>
        <v/>
      </c>
      <c r="C94" s="219" t="str">
        <f>IF(Konversi!B93="","",Konversi!B93)</f>
        <v/>
      </c>
      <c r="D94" s="219"/>
      <c r="E94" s="79" t="str">
        <f>SEKOR!BP85</f>
        <v/>
      </c>
      <c r="F94" s="79" t="str">
        <f>SEKOR!BQ85</f>
        <v/>
      </c>
      <c r="G94" s="79" t="str">
        <f>SEKOR!BT85</f>
        <v/>
      </c>
      <c r="H94" s="79" t="str">
        <f>IF(DATA!$F$18="YA",IF(SEKOR!BR85=0,"",SEKOR!BR85),"")</f>
        <v/>
      </c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>
        <f t="shared" si="13"/>
        <v>0</v>
      </c>
      <c r="AD94" s="79" t="str">
        <f t="shared" si="8"/>
        <v/>
      </c>
      <c r="AE94" s="79" t="str">
        <f t="shared" si="14"/>
        <v/>
      </c>
      <c r="AF94" s="79" t="str">
        <f t="shared" si="9"/>
        <v/>
      </c>
      <c r="AG94" s="79">
        <f t="shared" si="10"/>
        <v>0</v>
      </c>
      <c r="AH94" s="79" t="str">
        <f t="shared" si="15"/>
        <v/>
      </c>
      <c r="AI94" s="79" t="str">
        <f t="shared" si="11"/>
        <v/>
      </c>
      <c r="AJ94" s="79">
        <f>IFERROR(SUM(AG94:AI94)/DATAINFO!$N$7,0)</f>
        <v>0</v>
      </c>
      <c r="AK94" s="155" t="str">
        <f t="shared" si="12"/>
        <v/>
      </c>
    </row>
    <row r="95" spans="1:37" ht="20.100000000000001" hidden="1" customHeight="1" x14ac:dyDescent="0.2">
      <c r="A95" s="67" t="str">
        <f>IF(B95="","",COUNTA($B$12:$B95))</f>
        <v/>
      </c>
      <c r="B95" s="147" t="str">
        <f>IF(Konversi!C94="","",Konversi!C94)</f>
        <v/>
      </c>
      <c r="C95" s="219" t="str">
        <f>IF(Konversi!B94="","",Konversi!B94)</f>
        <v/>
      </c>
      <c r="D95" s="219"/>
      <c r="E95" s="79" t="str">
        <f>SEKOR!BP86</f>
        <v/>
      </c>
      <c r="F95" s="79" t="str">
        <f>SEKOR!BQ86</f>
        <v/>
      </c>
      <c r="G95" s="79" t="str">
        <f>SEKOR!BT86</f>
        <v/>
      </c>
      <c r="H95" s="79" t="str">
        <f>IF(DATA!$F$18="YA",IF(SEKOR!BR86=0,"",SEKOR!BR86),"")</f>
        <v/>
      </c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>
        <f t="shared" si="13"/>
        <v>0</v>
      </c>
      <c r="AD95" s="79" t="str">
        <f t="shared" si="8"/>
        <v/>
      </c>
      <c r="AE95" s="79" t="str">
        <f t="shared" si="14"/>
        <v/>
      </c>
      <c r="AF95" s="79" t="str">
        <f t="shared" si="9"/>
        <v/>
      </c>
      <c r="AG95" s="79">
        <f t="shared" si="10"/>
        <v>0</v>
      </c>
      <c r="AH95" s="79" t="str">
        <f t="shared" si="15"/>
        <v/>
      </c>
      <c r="AI95" s="79" t="str">
        <f t="shared" si="11"/>
        <v/>
      </c>
      <c r="AJ95" s="79">
        <f>IFERROR(SUM(AG95:AI95)/DATAINFO!$N$7,0)</f>
        <v>0</v>
      </c>
      <c r="AK95" s="155" t="str">
        <f t="shared" si="12"/>
        <v/>
      </c>
    </row>
    <row r="96" spans="1:37" ht="20.100000000000001" hidden="1" customHeight="1" x14ac:dyDescent="0.2">
      <c r="A96" s="67" t="str">
        <f>IF(B96="","",COUNTA($B$12:$B96))</f>
        <v/>
      </c>
      <c r="B96" s="147" t="str">
        <f>IF(Konversi!C95="","",Konversi!C95)</f>
        <v/>
      </c>
      <c r="C96" s="219" t="str">
        <f>IF(Konversi!B95="","",Konversi!B95)</f>
        <v/>
      </c>
      <c r="D96" s="219"/>
      <c r="E96" s="79" t="str">
        <f>SEKOR!BP87</f>
        <v/>
      </c>
      <c r="F96" s="79" t="str">
        <f>SEKOR!BQ87</f>
        <v/>
      </c>
      <c r="G96" s="79" t="str">
        <f>SEKOR!BT87</f>
        <v/>
      </c>
      <c r="H96" s="79" t="str">
        <f>IF(DATA!$F$18="YA",IF(SEKOR!BR87=0,"",SEKOR!BR87),"")</f>
        <v/>
      </c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>
        <f t="shared" si="13"/>
        <v>0</v>
      </c>
      <c r="AD96" s="79" t="str">
        <f t="shared" si="8"/>
        <v/>
      </c>
      <c r="AE96" s="79" t="str">
        <f t="shared" si="14"/>
        <v/>
      </c>
      <c r="AF96" s="79" t="str">
        <f t="shared" si="9"/>
        <v/>
      </c>
      <c r="AG96" s="79">
        <f t="shared" si="10"/>
        <v>0</v>
      </c>
      <c r="AH96" s="79" t="str">
        <f t="shared" si="15"/>
        <v/>
      </c>
      <c r="AI96" s="79" t="str">
        <f t="shared" si="11"/>
        <v/>
      </c>
      <c r="AJ96" s="79">
        <f>IFERROR(SUM(AG96:AI96)/DATAINFO!$N$7,0)</f>
        <v>0</v>
      </c>
      <c r="AK96" s="155" t="str">
        <f t="shared" si="12"/>
        <v/>
      </c>
    </row>
    <row r="97" spans="1:37" ht="20.100000000000001" hidden="1" customHeight="1" x14ac:dyDescent="0.2">
      <c r="A97" s="67" t="str">
        <f>IF(B97="","",COUNTA($B$12:$B97))</f>
        <v/>
      </c>
      <c r="B97" s="147" t="str">
        <f>IF(Konversi!C96="","",Konversi!C96)</f>
        <v/>
      </c>
      <c r="C97" s="219" t="str">
        <f>IF(Konversi!B96="","",Konversi!B96)</f>
        <v/>
      </c>
      <c r="D97" s="219"/>
      <c r="E97" s="79" t="str">
        <f>SEKOR!BP88</f>
        <v/>
      </c>
      <c r="F97" s="79" t="str">
        <f>SEKOR!BQ88</f>
        <v/>
      </c>
      <c r="G97" s="79" t="str">
        <f>SEKOR!BT88</f>
        <v/>
      </c>
      <c r="H97" s="79" t="str">
        <f>IF(DATA!$F$18="YA",IF(SEKOR!BR88=0,"",SEKOR!BR88),"")</f>
        <v/>
      </c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>
        <f t="shared" si="13"/>
        <v>0</v>
      </c>
      <c r="AD97" s="79" t="str">
        <f t="shared" si="8"/>
        <v/>
      </c>
      <c r="AE97" s="79" t="str">
        <f t="shared" si="14"/>
        <v/>
      </c>
      <c r="AF97" s="79" t="str">
        <f t="shared" si="9"/>
        <v/>
      </c>
      <c r="AG97" s="79">
        <f t="shared" si="10"/>
        <v>0</v>
      </c>
      <c r="AH97" s="79" t="str">
        <f t="shared" si="15"/>
        <v/>
      </c>
      <c r="AI97" s="79" t="str">
        <f t="shared" si="11"/>
        <v/>
      </c>
      <c r="AJ97" s="79">
        <f>IFERROR(SUM(AG97:AI97)/DATAINFO!$N$7,0)</f>
        <v>0</v>
      </c>
      <c r="AK97" s="155" t="str">
        <f t="shared" si="12"/>
        <v/>
      </c>
    </row>
    <row r="98" spans="1:37" ht="20.100000000000001" hidden="1" customHeight="1" x14ac:dyDescent="0.2">
      <c r="A98" s="67" t="str">
        <f>IF(B98="","",COUNTA($B$12:$B98))</f>
        <v/>
      </c>
      <c r="B98" s="147" t="str">
        <f>IF(Konversi!C97="","",Konversi!C97)</f>
        <v/>
      </c>
      <c r="C98" s="219" t="str">
        <f>IF(Konversi!B97="","",Konversi!B97)</f>
        <v/>
      </c>
      <c r="D98" s="219"/>
      <c r="E98" s="79" t="str">
        <f>SEKOR!BP89</f>
        <v/>
      </c>
      <c r="F98" s="79" t="str">
        <f>SEKOR!BQ89</f>
        <v/>
      </c>
      <c r="G98" s="79" t="str">
        <f>SEKOR!BT89</f>
        <v/>
      </c>
      <c r="H98" s="79" t="str">
        <f>IF(DATA!$F$18="YA",IF(SEKOR!BR89=0,"",SEKOR!BR89),"")</f>
        <v/>
      </c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>
        <f t="shared" si="13"/>
        <v>0</v>
      </c>
      <c r="AD98" s="79" t="str">
        <f t="shared" si="8"/>
        <v/>
      </c>
      <c r="AE98" s="79" t="str">
        <f t="shared" si="14"/>
        <v/>
      </c>
      <c r="AF98" s="79" t="str">
        <f t="shared" si="9"/>
        <v/>
      </c>
      <c r="AG98" s="79">
        <f t="shared" si="10"/>
        <v>0</v>
      </c>
      <c r="AH98" s="79" t="str">
        <f t="shared" si="15"/>
        <v/>
      </c>
      <c r="AI98" s="79" t="str">
        <f t="shared" si="11"/>
        <v/>
      </c>
      <c r="AJ98" s="79">
        <f>IFERROR(SUM(AG98:AI98)/DATAINFO!$N$7,0)</f>
        <v>0</v>
      </c>
      <c r="AK98" s="155" t="str">
        <f t="shared" si="12"/>
        <v/>
      </c>
    </row>
    <row r="99" spans="1:37" ht="20.100000000000001" hidden="1" customHeight="1" x14ac:dyDescent="0.2">
      <c r="A99" s="67" t="str">
        <f>IF(B99="","",COUNTA($B$12:$B99))</f>
        <v/>
      </c>
      <c r="B99" s="147" t="str">
        <f>IF(Konversi!C98="","",Konversi!C98)</f>
        <v/>
      </c>
      <c r="C99" s="219" t="str">
        <f>IF(Konversi!B98="","",Konversi!B98)</f>
        <v/>
      </c>
      <c r="D99" s="219"/>
      <c r="E99" s="79" t="str">
        <f>SEKOR!BP90</f>
        <v/>
      </c>
      <c r="F99" s="79" t="str">
        <f>SEKOR!BQ90</f>
        <v/>
      </c>
      <c r="G99" s="79" t="str">
        <f>SEKOR!BT90</f>
        <v/>
      </c>
      <c r="H99" s="79" t="str">
        <f>IF(DATA!$F$18="YA",IF(SEKOR!BR90=0,"",SEKOR!BR90),"")</f>
        <v/>
      </c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>
        <f t="shared" si="13"/>
        <v>0</v>
      </c>
      <c r="AD99" s="79" t="str">
        <f t="shared" si="8"/>
        <v/>
      </c>
      <c r="AE99" s="79" t="str">
        <f t="shared" si="14"/>
        <v/>
      </c>
      <c r="AF99" s="79" t="str">
        <f t="shared" si="9"/>
        <v/>
      </c>
      <c r="AG99" s="79">
        <f t="shared" si="10"/>
        <v>0</v>
      </c>
      <c r="AH99" s="79" t="str">
        <f t="shared" si="15"/>
        <v/>
      </c>
      <c r="AI99" s="79" t="str">
        <f t="shared" si="11"/>
        <v/>
      </c>
      <c r="AJ99" s="79">
        <f>IFERROR(SUM(AG99:AI99)/DATAINFO!$N$7,0)</f>
        <v>0</v>
      </c>
      <c r="AK99" s="155" t="str">
        <f t="shared" si="12"/>
        <v/>
      </c>
    </row>
    <row r="100" spans="1:37" ht="20.100000000000001" hidden="1" customHeight="1" x14ac:dyDescent="0.2">
      <c r="A100" s="67" t="str">
        <f>IF(B100="","",COUNTA($B$12:$B100))</f>
        <v/>
      </c>
      <c r="B100" s="147" t="str">
        <f>IF(Konversi!C99="","",Konversi!C99)</f>
        <v/>
      </c>
      <c r="C100" s="219" t="str">
        <f>IF(Konversi!B99="","",Konversi!B99)</f>
        <v/>
      </c>
      <c r="D100" s="219"/>
      <c r="E100" s="79" t="str">
        <f>SEKOR!BP91</f>
        <v/>
      </c>
      <c r="F100" s="79" t="str">
        <f>SEKOR!BQ91</f>
        <v/>
      </c>
      <c r="G100" s="79" t="str">
        <f>SEKOR!BT91</f>
        <v/>
      </c>
      <c r="H100" s="79" t="str">
        <f>IF(DATA!$F$18="YA",IF(SEKOR!BR91=0,"",SEKOR!BR91),"")</f>
        <v/>
      </c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>
        <f t="shared" si="13"/>
        <v>0</v>
      </c>
      <c r="AD100" s="79" t="str">
        <f t="shared" si="8"/>
        <v/>
      </c>
      <c r="AE100" s="79" t="str">
        <f t="shared" si="14"/>
        <v/>
      </c>
      <c r="AF100" s="79" t="str">
        <f t="shared" si="9"/>
        <v/>
      </c>
      <c r="AG100" s="79">
        <f t="shared" si="10"/>
        <v>0</v>
      </c>
      <c r="AH100" s="79" t="str">
        <f t="shared" si="15"/>
        <v/>
      </c>
      <c r="AI100" s="79" t="str">
        <f t="shared" si="11"/>
        <v/>
      </c>
      <c r="AJ100" s="79">
        <f>IFERROR(SUM(AG100:AI100)/DATAINFO!$N$7,0)</f>
        <v>0</v>
      </c>
      <c r="AK100" s="155" t="str">
        <f t="shared" si="12"/>
        <v/>
      </c>
    </row>
    <row r="101" spans="1:37" ht="20.100000000000001" hidden="1" customHeight="1" x14ac:dyDescent="0.2">
      <c r="A101" s="67" t="str">
        <f>IF(B101="","",COUNTA($B$12:$B101))</f>
        <v/>
      </c>
      <c r="B101" s="147" t="str">
        <f>IF(Konversi!C100="","",Konversi!C100)</f>
        <v/>
      </c>
      <c r="C101" s="219" t="str">
        <f>IF(Konversi!B100="","",Konversi!B100)</f>
        <v/>
      </c>
      <c r="D101" s="219"/>
      <c r="E101" s="79" t="str">
        <f>SEKOR!BP92</f>
        <v/>
      </c>
      <c r="F101" s="79" t="str">
        <f>SEKOR!BQ92</f>
        <v/>
      </c>
      <c r="G101" s="79" t="str">
        <f>SEKOR!BT92</f>
        <v/>
      </c>
      <c r="H101" s="79" t="str">
        <f>IF(DATA!$F$18="YA",IF(SEKOR!BR92=0,"",SEKOR!BR92),"")</f>
        <v/>
      </c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>
        <f t="shared" si="13"/>
        <v>0</v>
      </c>
      <c r="AD101" s="79" t="str">
        <f t="shared" si="8"/>
        <v/>
      </c>
      <c r="AE101" s="79" t="str">
        <f t="shared" si="14"/>
        <v/>
      </c>
      <c r="AF101" s="79" t="str">
        <f t="shared" si="9"/>
        <v/>
      </c>
      <c r="AG101" s="79">
        <f t="shared" si="10"/>
        <v>0</v>
      </c>
      <c r="AH101" s="79" t="str">
        <f t="shared" si="15"/>
        <v/>
      </c>
      <c r="AI101" s="79" t="str">
        <f t="shared" si="11"/>
        <v/>
      </c>
      <c r="AJ101" s="79">
        <f>IFERROR(SUM(AG101:AI101)/DATAINFO!$N$7,0)</f>
        <v>0</v>
      </c>
      <c r="AK101" s="155" t="str">
        <f t="shared" si="12"/>
        <v/>
      </c>
    </row>
    <row r="102" spans="1:37" ht="20.100000000000001" hidden="1" customHeight="1" x14ac:dyDescent="0.2">
      <c r="A102" s="67" t="str">
        <f>IF(B102="","",COUNTA($B$12:$B102))</f>
        <v/>
      </c>
      <c r="B102" s="147" t="str">
        <f>IF(Konversi!C101="","",Konversi!C101)</f>
        <v/>
      </c>
      <c r="C102" s="219" t="str">
        <f>IF(Konversi!B101="","",Konversi!B101)</f>
        <v/>
      </c>
      <c r="D102" s="219"/>
      <c r="E102" s="79" t="str">
        <f>SEKOR!BP93</f>
        <v/>
      </c>
      <c r="F102" s="79" t="str">
        <f>SEKOR!BQ93</f>
        <v/>
      </c>
      <c r="G102" s="79" t="str">
        <f>SEKOR!BT93</f>
        <v/>
      </c>
      <c r="H102" s="79" t="str">
        <f>IF(DATA!$F$18="YA",IF(SEKOR!BR93=0,"",SEKOR!BR93),"")</f>
        <v/>
      </c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>
        <f t="shared" si="13"/>
        <v>0</v>
      </c>
      <c r="AD102" s="79" t="str">
        <f t="shared" si="8"/>
        <v/>
      </c>
      <c r="AE102" s="79" t="str">
        <f t="shared" si="14"/>
        <v/>
      </c>
      <c r="AF102" s="79" t="str">
        <f t="shared" si="9"/>
        <v/>
      </c>
      <c r="AG102" s="79">
        <f t="shared" si="10"/>
        <v>0</v>
      </c>
      <c r="AH102" s="79" t="str">
        <f t="shared" si="15"/>
        <v/>
      </c>
      <c r="AI102" s="79" t="str">
        <f t="shared" si="11"/>
        <v/>
      </c>
      <c r="AJ102" s="79">
        <f>IFERROR(SUM(AG102:AI102)/DATAINFO!$N$7,0)</f>
        <v>0</v>
      </c>
      <c r="AK102" s="155" t="str">
        <f t="shared" si="12"/>
        <v/>
      </c>
    </row>
    <row r="103" spans="1:37" ht="20.100000000000001" hidden="1" customHeight="1" x14ac:dyDescent="0.2">
      <c r="A103" s="67" t="str">
        <f>IF(B103="","",COUNTA($B$12:$B103))</f>
        <v/>
      </c>
      <c r="B103" s="147" t="str">
        <f>IF(Konversi!C102="","",Konversi!C102)</f>
        <v/>
      </c>
      <c r="C103" s="219" t="str">
        <f>IF(Konversi!B102="","",Konversi!B102)</f>
        <v/>
      </c>
      <c r="D103" s="219"/>
      <c r="E103" s="79" t="str">
        <f>SEKOR!BP94</f>
        <v/>
      </c>
      <c r="F103" s="79" t="str">
        <f>SEKOR!BQ94</f>
        <v/>
      </c>
      <c r="G103" s="79" t="str">
        <f>SEKOR!BT94</f>
        <v/>
      </c>
      <c r="H103" s="79" t="str">
        <f>IF(DATA!$F$18="YA",IF(SEKOR!BR94=0,"",SEKOR!BR94),"")</f>
        <v/>
      </c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>
        <f t="shared" si="13"/>
        <v>0</v>
      </c>
      <c r="AD103" s="79" t="str">
        <f t="shared" si="8"/>
        <v/>
      </c>
      <c r="AE103" s="79" t="str">
        <f t="shared" si="14"/>
        <v/>
      </c>
      <c r="AF103" s="79" t="str">
        <f t="shared" si="9"/>
        <v/>
      </c>
      <c r="AG103" s="79">
        <f t="shared" si="10"/>
        <v>0</v>
      </c>
      <c r="AH103" s="79" t="str">
        <f t="shared" si="15"/>
        <v/>
      </c>
      <c r="AI103" s="79" t="str">
        <f t="shared" si="11"/>
        <v/>
      </c>
      <c r="AJ103" s="79">
        <f>IFERROR(SUM(AG103:AI103)/DATAINFO!$N$7,0)</f>
        <v>0</v>
      </c>
      <c r="AK103" s="155" t="str">
        <f t="shared" si="12"/>
        <v/>
      </c>
    </row>
    <row r="104" spans="1:37" ht="20.100000000000001" hidden="1" customHeight="1" x14ac:dyDescent="0.2">
      <c r="A104" s="67" t="str">
        <f>IF(B104="","",COUNTA($B$12:$B104))</f>
        <v/>
      </c>
      <c r="B104" s="147" t="str">
        <f>IF(Konversi!C103="","",Konversi!C103)</f>
        <v/>
      </c>
      <c r="C104" s="219" t="str">
        <f>IF(Konversi!B103="","",Konversi!B103)</f>
        <v/>
      </c>
      <c r="D104" s="219"/>
      <c r="E104" s="79" t="str">
        <f>SEKOR!BP95</f>
        <v/>
      </c>
      <c r="F104" s="79" t="str">
        <f>SEKOR!BQ95</f>
        <v/>
      </c>
      <c r="G104" s="79" t="str">
        <f>SEKOR!BT95</f>
        <v/>
      </c>
      <c r="H104" s="79" t="str">
        <f>IF(DATA!$F$18="YA",IF(SEKOR!BR95=0,"",SEKOR!BR95),"")</f>
        <v/>
      </c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>
        <f t="shared" si="13"/>
        <v>0</v>
      </c>
      <c r="AD104" s="79" t="str">
        <f t="shared" si="8"/>
        <v/>
      </c>
      <c r="AE104" s="79" t="str">
        <f t="shared" si="14"/>
        <v/>
      </c>
      <c r="AF104" s="79" t="str">
        <f t="shared" si="9"/>
        <v/>
      </c>
      <c r="AG104" s="79">
        <f t="shared" si="10"/>
        <v>0</v>
      </c>
      <c r="AH104" s="79" t="str">
        <f t="shared" si="15"/>
        <v/>
      </c>
      <c r="AI104" s="79" t="str">
        <f t="shared" si="11"/>
        <v/>
      </c>
      <c r="AJ104" s="79">
        <f>IFERROR(SUM(AG104:AI104)/DATAINFO!$N$7,0)</f>
        <v>0</v>
      </c>
      <c r="AK104" s="155" t="str">
        <f t="shared" si="12"/>
        <v/>
      </c>
    </row>
    <row r="105" spans="1:37" ht="20.100000000000001" hidden="1" customHeight="1" x14ac:dyDescent="0.2">
      <c r="A105" s="67" t="str">
        <f>IF(B105="","",COUNTA($B$12:$B105))</f>
        <v/>
      </c>
      <c r="B105" s="147" t="str">
        <f>IF(Konversi!C104="","",Konversi!C104)</f>
        <v/>
      </c>
      <c r="C105" s="219" t="str">
        <f>IF(Konversi!B104="","",Konversi!B104)</f>
        <v/>
      </c>
      <c r="D105" s="219"/>
      <c r="E105" s="79" t="str">
        <f>SEKOR!BP96</f>
        <v/>
      </c>
      <c r="F105" s="79" t="str">
        <f>SEKOR!BQ96</f>
        <v/>
      </c>
      <c r="G105" s="79" t="str">
        <f>SEKOR!BT96</f>
        <v/>
      </c>
      <c r="H105" s="79" t="str">
        <f>IF(DATA!$F$18="YA",IF(SEKOR!BR96=0,"",SEKOR!BR96),"")</f>
        <v/>
      </c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>
        <f t="shared" si="13"/>
        <v>0</v>
      </c>
      <c r="AD105" s="79" t="str">
        <f t="shared" si="8"/>
        <v/>
      </c>
      <c r="AE105" s="79" t="str">
        <f t="shared" si="14"/>
        <v/>
      </c>
      <c r="AF105" s="79" t="str">
        <f t="shared" si="9"/>
        <v/>
      </c>
      <c r="AG105" s="79">
        <f t="shared" si="10"/>
        <v>0</v>
      </c>
      <c r="AH105" s="79" t="str">
        <f t="shared" si="15"/>
        <v/>
      </c>
      <c r="AI105" s="79" t="str">
        <f t="shared" si="11"/>
        <v/>
      </c>
      <c r="AJ105" s="79">
        <f>IFERROR(SUM(AG105:AI105)/DATAINFO!$N$7,0)</f>
        <v>0</v>
      </c>
      <c r="AK105" s="155" t="str">
        <f t="shared" si="12"/>
        <v/>
      </c>
    </row>
    <row r="106" spans="1:37" ht="20.100000000000001" hidden="1" customHeight="1" x14ac:dyDescent="0.2">
      <c r="A106" s="67" t="str">
        <f>IF(B106="","",COUNTA($B$12:$B106))</f>
        <v/>
      </c>
      <c r="B106" s="147" t="str">
        <f>IF(Konversi!C105="","",Konversi!C105)</f>
        <v/>
      </c>
      <c r="C106" s="219" t="str">
        <f>IF(Konversi!B105="","",Konversi!B105)</f>
        <v/>
      </c>
      <c r="D106" s="219"/>
      <c r="E106" s="79" t="str">
        <f>SEKOR!BP97</f>
        <v/>
      </c>
      <c r="F106" s="79" t="str">
        <f>SEKOR!BQ97</f>
        <v/>
      </c>
      <c r="G106" s="79" t="str">
        <f>SEKOR!BT97</f>
        <v/>
      </c>
      <c r="H106" s="79" t="str">
        <f>IF(DATA!$F$18="YA",IF(SEKOR!BR97=0,"",SEKOR!BR97),"")</f>
        <v/>
      </c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>
        <f t="shared" si="13"/>
        <v>0</v>
      </c>
      <c r="AD106" s="79" t="str">
        <f t="shared" si="8"/>
        <v/>
      </c>
      <c r="AE106" s="79" t="str">
        <f t="shared" si="14"/>
        <v/>
      </c>
      <c r="AF106" s="79" t="str">
        <f t="shared" si="9"/>
        <v/>
      </c>
      <c r="AG106" s="79">
        <f t="shared" si="10"/>
        <v>0</v>
      </c>
      <c r="AH106" s="79" t="str">
        <f t="shared" si="15"/>
        <v/>
      </c>
      <c r="AI106" s="79" t="str">
        <f t="shared" si="11"/>
        <v/>
      </c>
      <c r="AJ106" s="79">
        <f>IFERROR(SUM(AG106:AI106)/DATAINFO!$N$7,0)</f>
        <v>0</v>
      </c>
      <c r="AK106" s="155" t="str">
        <f t="shared" si="12"/>
        <v/>
      </c>
    </row>
    <row r="107" spans="1:37" ht="20.100000000000001" hidden="1" customHeight="1" x14ac:dyDescent="0.2">
      <c r="A107" s="67" t="str">
        <f>IF(B107="","",COUNTA($B$12:$B107))</f>
        <v/>
      </c>
      <c r="B107" s="147" t="str">
        <f>IF(Konversi!C106="","",Konversi!C106)</f>
        <v/>
      </c>
      <c r="C107" s="219" t="str">
        <f>IF(Konversi!B106="","",Konversi!B106)</f>
        <v/>
      </c>
      <c r="D107" s="219"/>
      <c r="E107" s="79" t="str">
        <f>SEKOR!BP98</f>
        <v/>
      </c>
      <c r="F107" s="79" t="str">
        <f>SEKOR!BQ98</f>
        <v/>
      </c>
      <c r="G107" s="79" t="str">
        <f>SEKOR!BT98</f>
        <v/>
      </c>
      <c r="H107" s="79" t="str">
        <f>IF(DATA!$F$18="YA",IF(SEKOR!BR98=0,"",SEKOR!BR98),"")</f>
        <v/>
      </c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>
        <f t="shared" si="13"/>
        <v>0</v>
      </c>
      <c r="AD107" s="79" t="str">
        <f t="shared" si="8"/>
        <v/>
      </c>
      <c r="AE107" s="79" t="str">
        <f t="shared" si="14"/>
        <v/>
      </c>
      <c r="AF107" s="79" t="str">
        <f t="shared" si="9"/>
        <v/>
      </c>
      <c r="AG107" s="79">
        <f t="shared" si="10"/>
        <v>0</v>
      </c>
      <c r="AH107" s="79" t="str">
        <f t="shared" si="15"/>
        <v/>
      </c>
      <c r="AI107" s="79" t="str">
        <f t="shared" si="11"/>
        <v/>
      </c>
      <c r="AJ107" s="79">
        <f>IFERROR(SUM(AG107:AI107)/DATAINFO!$N$7,0)</f>
        <v>0</v>
      </c>
      <c r="AK107" s="155" t="str">
        <f t="shared" si="12"/>
        <v/>
      </c>
    </row>
    <row r="108" spans="1:37" ht="20.100000000000001" hidden="1" customHeight="1" x14ac:dyDescent="0.2">
      <c r="A108" s="67" t="str">
        <f>IF(B108="","",COUNTA($B$12:$B108))</f>
        <v/>
      </c>
      <c r="B108" s="147" t="str">
        <f>IF(Konversi!C107="","",Konversi!C107)</f>
        <v/>
      </c>
      <c r="C108" s="219" t="str">
        <f>IF(Konversi!B107="","",Konversi!B107)</f>
        <v/>
      </c>
      <c r="D108" s="219"/>
      <c r="E108" s="79" t="str">
        <f>SEKOR!BP99</f>
        <v/>
      </c>
      <c r="F108" s="79" t="str">
        <f>SEKOR!BQ99</f>
        <v/>
      </c>
      <c r="G108" s="79" t="str">
        <f>SEKOR!BT99</f>
        <v/>
      </c>
      <c r="H108" s="79" t="str">
        <f>IF(DATA!$F$18="YA",IF(SEKOR!BR99=0,"",SEKOR!BR99),"")</f>
        <v/>
      </c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>
        <f t="shared" si="13"/>
        <v>0</v>
      </c>
      <c r="AD108" s="79" t="str">
        <f t="shared" si="8"/>
        <v/>
      </c>
      <c r="AE108" s="79" t="str">
        <f t="shared" si="14"/>
        <v/>
      </c>
      <c r="AF108" s="79" t="str">
        <f t="shared" si="9"/>
        <v/>
      </c>
      <c r="AG108" s="79">
        <f t="shared" si="10"/>
        <v>0</v>
      </c>
      <c r="AH108" s="79" t="str">
        <f t="shared" si="15"/>
        <v/>
      </c>
      <c r="AI108" s="79" t="str">
        <f t="shared" si="11"/>
        <v/>
      </c>
      <c r="AJ108" s="79">
        <f>IFERROR(SUM(AG108:AI108)/DATAINFO!$N$7,0)</f>
        <v>0</v>
      </c>
      <c r="AK108" s="155" t="str">
        <f t="shared" si="12"/>
        <v/>
      </c>
    </row>
    <row r="109" spans="1:37" ht="20.100000000000001" hidden="1" customHeight="1" x14ac:dyDescent="0.2">
      <c r="A109" s="67" t="str">
        <f>IF(B109="","",COUNTA($B$12:$B109))</f>
        <v/>
      </c>
      <c r="B109" s="147" t="str">
        <f>IF(Konversi!C108="","",Konversi!C108)</f>
        <v/>
      </c>
      <c r="C109" s="219" t="str">
        <f>IF(Konversi!B108="","",Konversi!B108)</f>
        <v/>
      </c>
      <c r="D109" s="219"/>
      <c r="E109" s="79" t="str">
        <f>SEKOR!BP100</f>
        <v/>
      </c>
      <c r="F109" s="79" t="str">
        <f>SEKOR!BQ100</f>
        <v/>
      </c>
      <c r="G109" s="79" t="str">
        <f>SEKOR!BT100</f>
        <v/>
      </c>
      <c r="H109" s="79" t="str">
        <f>IF(DATA!$F$18="YA",IF(SEKOR!BR100=0,"",SEKOR!BR100),"")</f>
        <v/>
      </c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>
        <f t="shared" si="13"/>
        <v>0</v>
      </c>
      <c r="AD109" s="79" t="str">
        <f t="shared" si="8"/>
        <v/>
      </c>
      <c r="AE109" s="79" t="str">
        <f t="shared" si="14"/>
        <v/>
      </c>
      <c r="AF109" s="79" t="str">
        <f t="shared" si="9"/>
        <v/>
      </c>
      <c r="AG109" s="79">
        <f t="shared" si="10"/>
        <v>0</v>
      </c>
      <c r="AH109" s="79" t="str">
        <f t="shared" si="15"/>
        <v/>
      </c>
      <c r="AI109" s="79" t="str">
        <f t="shared" si="11"/>
        <v/>
      </c>
      <c r="AJ109" s="79">
        <f>IFERROR(SUM(AG109:AI109)/DATAINFO!$N$7,0)</f>
        <v>0</v>
      </c>
      <c r="AK109" s="155" t="str">
        <f t="shared" si="12"/>
        <v/>
      </c>
    </row>
    <row r="110" spans="1:37" ht="20.100000000000001" hidden="1" customHeight="1" x14ac:dyDescent="0.2">
      <c r="A110" s="67" t="str">
        <f>IF(B110="","",COUNTA($B$12:$B110))</f>
        <v/>
      </c>
      <c r="B110" s="147" t="str">
        <f>IF(Konversi!C109="","",Konversi!C109)</f>
        <v/>
      </c>
      <c r="C110" s="219" t="str">
        <f>IF(Konversi!B109="","",Konversi!B109)</f>
        <v/>
      </c>
      <c r="D110" s="219"/>
      <c r="E110" s="79" t="str">
        <f>SEKOR!BP101</f>
        <v/>
      </c>
      <c r="F110" s="79" t="str">
        <f>SEKOR!BQ101</f>
        <v/>
      </c>
      <c r="G110" s="79" t="str">
        <f>SEKOR!BT101</f>
        <v/>
      </c>
      <c r="H110" s="79" t="str">
        <f>IF(DATA!$F$18="YA",IF(SEKOR!BR101=0,"",SEKOR!BR101),"")</f>
        <v/>
      </c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>
        <f t="shared" si="13"/>
        <v>0</v>
      </c>
      <c r="AD110" s="79" t="str">
        <f t="shared" si="8"/>
        <v/>
      </c>
      <c r="AE110" s="79" t="str">
        <f t="shared" si="14"/>
        <v/>
      </c>
      <c r="AF110" s="79" t="str">
        <f t="shared" si="9"/>
        <v/>
      </c>
      <c r="AG110" s="79">
        <f t="shared" si="10"/>
        <v>0</v>
      </c>
      <c r="AH110" s="79" t="str">
        <f t="shared" si="15"/>
        <v/>
      </c>
      <c r="AI110" s="79" t="str">
        <f t="shared" si="11"/>
        <v/>
      </c>
      <c r="AJ110" s="79">
        <f>IFERROR(SUM(AG110:AI110)/DATAINFO!$N$7,0)</f>
        <v>0</v>
      </c>
      <c r="AK110" s="155" t="str">
        <f t="shared" si="12"/>
        <v/>
      </c>
    </row>
    <row r="111" spans="1:37" ht="20.100000000000001" hidden="1" customHeight="1" x14ac:dyDescent="0.2">
      <c r="A111" s="67" t="str">
        <f>IF(B111="","",COUNTA($B$12:$B111))</f>
        <v/>
      </c>
      <c r="B111" s="147" t="str">
        <f>IF(Konversi!C110="","",Konversi!C110)</f>
        <v/>
      </c>
      <c r="C111" s="219" t="str">
        <f>IF(Konversi!B110="","",Konversi!B110)</f>
        <v/>
      </c>
      <c r="D111" s="219"/>
      <c r="E111" s="79" t="str">
        <f>SEKOR!BP102</f>
        <v/>
      </c>
      <c r="F111" s="79" t="str">
        <f>SEKOR!BQ102</f>
        <v/>
      </c>
      <c r="G111" s="79" t="str">
        <f>SEKOR!BT102</f>
        <v/>
      </c>
      <c r="H111" s="79" t="str">
        <f>IF(DATA!$F$18="YA",IF(SEKOR!BR102=0,"",SEKOR!BR102),"")</f>
        <v/>
      </c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>
        <f t="shared" si="13"/>
        <v>0</v>
      </c>
      <c r="AD111" s="79" t="str">
        <f t="shared" si="8"/>
        <v/>
      </c>
      <c r="AE111" s="79" t="str">
        <f t="shared" si="14"/>
        <v/>
      </c>
      <c r="AF111" s="79" t="str">
        <f t="shared" si="9"/>
        <v/>
      </c>
      <c r="AG111" s="79">
        <f t="shared" si="10"/>
        <v>0</v>
      </c>
      <c r="AH111" s="79" t="str">
        <f t="shared" si="15"/>
        <v/>
      </c>
      <c r="AI111" s="79" t="str">
        <f t="shared" si="11"/>
        <v/>
      </c>
      <c r="AJ111" s="79">
        <f>IFERROR(SUM(AG111:AI111)/DATAINFO!$N$7,0)</f>
        <v>0</v>
      </c>
      <c r="AK111" s="155" t="str">
        <f t="shared" si="12"/>
        <v/>
      </c>
    </row>
    <row r="112" spans="1:37" ht="20.100000000000001" hidden="1" customHeight="1" x14ac:dyDescent="0.2">
      <c r="A112" s="67" t="str">
        <f>IF(B112="","",COUNTA($B$12:$B112))</f>
        <v/>
      </c>
      <c r="B112" s="147" t="str">
        <f>IF(Konversi!C111="","",Konversi!C111)</f>
        <v/>
      </c>
      <c r="C112" s="219" t="str">
        <f>IF(Konversi!B111="","",Konversi!B111)</f>
        <v/>
      </c>
      <c r="D112" s="219"/>
      <c r="E112" s="79" t="str">
        <f>SEKOR!BP103</f>
        <v/>
      </c>
      <c r="F112" s="79" t="str">
        <f>SEKOR!BQ103</f>
        <v/>
      </c>
      <c r="G112" s="79" t="str">
        <f>SEKOR!BT103</f>
        <v/>
      </c>
      <c r="H112" s="79" t="str">
        <f>IF(DATA!$F$18="YA",IF(SEKOR!BR103=0,"",SEKOR!BR103),"")</f>
        <v/>
      </c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>
        <f t="shared" si="13"/>
        <v>0</v>
      </c>
      <c r="AD112" s="79" t="str">
        <f t="shared" si="8"/>
        <v/>
      </c>
      <c r="AE112" s="79" t="str">
        <f t="shared" si="14"/>
        <v/>
      </c>
      <c r="AF112" s="79" t="str">
        <f t="shared" si="9"/>
        <v/>
      </c>
      <c r="AG112" s="79">
        <f t="shared" si="10"/>
        <v>0</v>
      </c>
      <c r="AH112" s="79" t="str">
        <f t="shared" si="15"/>
        <v/>
      </c>
      <c r="AI112" s="79" t="str">
        <f t="shared" si="11"/>
        <v/>
      </c>
      <c r="AJ112" s="79">
        <f>IFERROR(SUM(AG112:AI112)/DATAINFO!$N$7,0)</f>
        <v>0</v>
      </c>
      <c r="AK112" s="155" t="str">
        <f t="shared" si="12"/>
        <v/>
      </c>
    </row>
    <row r="113" spans="1:37" ht="20.100000000000001" hidden="1" customHeight="1" x14ac:dyDescent="0.2">
      <c r="A113" s="67" t="str">
        <f>IF(B113="","",COUNTA($B$12:$B113))</f>
        <v/>
      </c>
      <c r="B113" s="147" t="str">
        <f>IF(Konversi!C112="","",Konversi!C112)</f>
        <v/>
      </c>
      <c r="C113" s="219" t="str">
        <f>IF(Konversi!B112="","",Konversi!B112)</f>
        <v/>
      </c>
      <c r="D113" s="219"/>
      <c r="E113" s="79" t="str">
        <f>SEKOR!BP104</f>
        <v/>
      </c>
      <c r="F113" s="79" t="str">
        <f>SEKOR!BQ104</f>
        <v/>
      </c>
      <c r="G113" s="79" t="str">
        <f>SEKOR!BT104</f>
        <v/>
      </c>
      <c r="H113" s="79" t="str">
        <f>IF(DATA!$F$18="YA",IF(SEKOR!BR104=0,"",SEKOR!BR104),"")</f>
        <v/>
      </c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>
        <f t="shared" si="13"/>
        <v>0</v>
      </c>
      <c r="AD113" s="79" t="str">
        <f t="shared" si="8"/>
        <v/>
      </c>
      <c r="AE113" s="79" t="str">
        <f t="shared" si="14"/>
        <v/>
      </c>
      <c r="AF113" s="79" t="str">
        <f t="shared" si="9"/>
        <v/>
      </c>
      <c r="AG113" s="79">
        <f t="shared" si="10"/>
        <v>0</v>
      </c>
      <c r="AH113" s="79" t="str">
        <f t="shared" si="15"/>
        <v/>
      </c>
      <c r="AI113" s="79" t="str">
        <f t="shared" si="11"/>
        <v/>
      </c>
      <c r="AJ113" s="79">
        <f>IFERROR(SUM(AG113:AI113)/DATAINFO!$N$7,0)</f>
        <v>0</v>
      </c>
      <c r="AK113" s="155" t="str">
        <f t="shared" si="12"/>
        <v/>
      </c>
    </row>
    <row r="114" spans="1:37" ht="20.100000000000001" hidden="1" customHeight="1" x14ac:dyDescent="0.2">
      <c r="A114" s="67" t="str">
        <f>IF(B114="","",COUNTA($B$12:$B114))</f>
        <v/>
      </c>
      <c r="B114" s="147" t="str">
        <f>IF(Konversi!C113="","",Konversi!C113)</f>
        <v/>
      </c>
      <c r="C114" s="219" t="str">
        <f>IF(Konversi!B113="","",Konversi!B113)</f>
        <v/>
      </c>
      <c r="D114" s="219"/>
      <c r="E114" s="79" t="str">
        <f>SEKOR!BP105</f>
        <v/>
      </c>
      <c r="F114" s="79" t="str">
        <f>SEKOR!BQ105</f>
        <v/>
      </c>
      <c r="G114" s="79" t="str">
        <f>SEKOR!BT105</f>
        <v/>
      </c>
      <c r="H114" s="79" t="str">
        <f>IF(DATA!$F$18="YA",IF(SEKOR!BR105=0,"",SEKOR!BR105),"")</f>
        <v/>
      </c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>
        <f t="shared" si="13"/>
        <v>0</v>
      </c>
      <c r="AD114" s="79" t="str">
        <f t="shared" si="8"/>
        <v/>
      </c>
      <c r="AE114" s="79" t="str">
        <f t="shared" si="14"/>
        <v/>
      </c>
      <c r="AF114" s="79" t="str">
        <f t="shared" si="9"/>
        <v/>
      </c>
      <c r="AG114" s="79">
        <f t="shared" si="10"/>
        <v>0</v>
      </c>
      <c r="AH114" s="79" t="str">
        <f t="shared" si="15"/>
        <v/>
      </c>
      <c r="AI114" s="79" t="str">
        <f t="shared" si="11"/>
        <v/>
      </c>
      <c r="AJ114" s="79">
        <f>IFERROR(SUM(AG114:AI114)/DATAINFO!$N$7,0)</f>
        <v>0</v>
      </c>
      <c r="AK114" s="155" t="str">
        <f t="shared" si="12"/>
        <v/>
      </c>
    </row>
    <row r="115" spans="1:37" ht="20.100000000000001" hidden="1" customHeight="1" x14ac:dyDescent="0.2">
      <c r="A115" s="67" t="str">
        <f>IF(B115="","",COUNTA($B$12:$B115))</f>
        <v/>
      </c>
      <c r="B115" s="147" t="str">
        <f>IF(Konversi!C114="","",Konversi!C114)</f>
        <v/>
      </c>
      <c r="C115" s="219" t="str">
        <f>IF(Konversi!B114="","",Konversi!B114)</f>
        <v/>
      </c>
      <c r="D115" s="219"/>
      <c r="E115" s="79" t="str">
        <f>SEKOR!BP106</f>
        <v/>
      </c>
      <c r="F115" s="79" t="str">
        <f>SEKOR!BQ106</f>
        <v/>
      </c>
      <c r="G115" s="79" t="str">
        <f>SEKOR!BT106</f>
        <v/>
      </c>
      <c r="H115" s="79" t="str">
        <f>IF(DATA!$F$18="YA",IF(SEKOR!BR106=0,"",SEKOR!BR106),"")</f>
        <v/>
      </c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>
        <f t="shared" si="13"/>
        <v>0</v>
      </c>
      <c r="AD115" s="79" t="str">
        <f t="shared" si="8"/>
        <v/>
      </c>
      <c r="AE115" s="79" t="str">
        <f t="shared" si="14"/>
        <v/>
      </c>
      <c r="AF115" s="79" t="str">
        <f t="shared" si="9"/>
        <v/>
      </c>
      <c r="AG115" s="79">
        <f t="shared" si="10"/>
        <v>0</v>
      </c>
      <c r="AH115" s="79" t="str">
        <f t="shared" si="15"/>
        <v/>
      </c>
      <c r="AI115" s="79" t="str">
        <f t="shared" si="11"/>
        <v/>
      </c>
      <c r="AJ115" s="79">
        <f>IFERROR(SUM(AG115:AI115)/DATAINFO!$N$7,0)</f>
        <v>0</v>
      </c>
      <c r="AK115" s="155" t="str">
        <f t="shared" si="12"/>
        <v/>
      </c>
    </row>
    <row r="116" spans="1:37" ht="20.100000000000001" hidden="1" customHeight="1" x14ac:dyDescent="0.2">
      <c r="A116" s="67" t="str">
        <f>IF(B116="","",COUNTA($B$12:$B116))</f>
        <v/>
      </c>
      <c r="B116" s="147" t="str">
        <f>IF(Konversi!C115="","",Konversi!C115)</f>
        <v/>
      </c>
      <c r="C116" s="219" t="str">
        <f>IF(Konversi!B115="","",Konversi!B115)</f>
        <v/>
      </c>
      <c r="D116" s="219"/>
      <c r="E116" s="79" t="str">
        <f>SEKOR!BP107</f>
        <v/>
      </c>
      <c r="F116" s="79" t="str">
        <f>SEKOR!BQ107</f>
        <v/>
      </c>
      <c r="G116" s="79" t="str">
        <f>SEKOR!BT107</f>
        <v/>
      </c>
      <c r="H116" s="79" t="str">
        <f>IF(DATA!$F$18="YA",IF(SEKOR!BR107=0,"",SEKOR!BR107),"")</f>
        <v/>
      </c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>
        <f t="shared" si="13"/>
        <v>0</v>
      </c>
      <c r="AD116" s="79" t="str">
        <f t="shared" si="8"/>
        <v/>
      </c>
      <c r="AE116" s="79" t="str">
        <f t="shared" si="14"/>
        <v/>
      </c>
      <c r="AF116" s="79" t="str">
        <f t="shared" si="9"/>
        <v/>
      </c>
      <c r="AG116" s="79">
        <f t="shared" si="10"/>
        <v>0</v>
      </c>
      <c r="AH116" s="79" t="str">
        <f t="shared" si="15"/>
        <v/>
      </c>
      <c r="AI116" s="79" t="str">
        <f t="shared" si="11"/>
        <v/>
      </c>
      <c r="AJ116" s="79">
        <f>IFERROR(SUM(AG116:AI116)/DATAINFO!$N$7,0)</f>
        <v>0</v>
      </c>
      <c r="AK116" s="155" t="str">
        <f t="shared" si="12"/>
        <v/>
      </c>
    </row>
    <row r="117" spans="1:37" ht="20.100000000000001" hidden="1" customHeight="1" x14ac:dyDescent="0.2">
      <c r="A117" s="67" t="str">
        <f>IF(B117="","",COUNTA($B$12:$B117))</f>
        <v/>
      </c>
      <c r="B117" s="147" t="str">
        <f>IF(Konversi!C116="","",Konversi!C116)</f>
        <v/>
      </c>
      <c r="C117" s="219" t="str">
        <f>IF(Konversi!B116="","",Konversi!B116)</f>
        <v/>
      </c>
      <c r="D117" s="219"/>
      <c r="E117" s="79" t="str">
        <f>SEKOR!BP108</f>
        <v/>
      </c>
      <c r="F117" s="79" t="str">
        <f>SEKOR!BQ108</f>
        <v/>
      </c>
      <c r="G117" s="79" t="str">
        <f>SEKOR!BT108</f>
        <v/>
      </c>
      <c r="H117" s="79" t="str">
        <f>IF(DATA!$F$18="YA",IF(SEKOR!BR108=0,"",SEKOR!BR108),"")</f>
        <v/>
      </c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>
        <f t="shared" si="13"/>
        <v>0</v>
      </c>
      <c r="AD117" s="79" t="str">
        <f t="shared" si="8"/>
        <v/>
      </c>
      <c r="AE117" s="79" t="str">
        <f t="shared" si="14"/>
        <v/>
      </c>
      <c r="AF117" s="79" t="str">
        <f t="shared" si="9"/>
        <v/>
      </c>
      <c r="AG117" s="79">
        <f t="shared" si="10"/>
        <v>0</v>
      </c>
      <c r="AH117" s="79" t="str">
        <f t="shared" si="15"/>
        <v/>
      </c>
      <c r="AI117" s="79" t="str">
        <f t="shared" si="11"/>
        <v/>
      </c>
      <c r="AJ117" s="79">
        <f>IFERROR(SUM(AG117:AI117)/DATAINFO!$N$7,0)</f>
        <v>0</v>
      </c>
      <c r="AK117" s="155" t="str">
        <f t="shared" si="12"/>
        <v/>
      </c>
    </row>
    <row r="118" spans="1:37" ht="20.100000000000001" hidden="1" customHeight="1" x14ac:dyDescent="0.2">
      <c r="A118" s="67" t="str">
        <f>IF(B118="","",COUNTA($B$12:$B118))</f>
        <v/>
      </c>
      <c r="B118" s="147" t="str">
        <f>IF(Konversi!C117="","",Konversi!C117)</f>
        <v/>
      </c>
      <c r="C118" s="219" t="str">
        <f>IF(Konversi!B117="","",Konversi!B117)</f>
        <v/>
      </c>
      <c r="D118" s="219"/>
      <c r="E118" s="79" t="str">
        <f>SEKOR!BP109</f>
        <v/>
      </c>
      <c r="F118" s="79" t="str">
        <f>SEKOR!BQ109</f>
        <v/>
      </c>
      <c r="G118" s="79" t="str">
        <f>SEKOR!BT109</f>
        <v/>
      </c>
      <c r="H118" s="79" t="str">
        <f>IF(DATA!$F$18="YA",IF(SEKOR!BR109=0,"",SEKOR!BR109),"")</f>
        <v/>
      </c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>
        <f t="shared" si="13"/>
        <v>0</v>
      </c>
      <c r="AD118" s="79" t="str">
        <f t="shared" si="8"/>
        <v/>
      </c>
      <c r="AE118" s="79" t="str">
        <f t="shared" si="14"/>
        <v/>
      </c>
      <c r="AF118" s="79" t="str">
        <f t="shared" si="9"/>
        <v/>
      </c>
      <c r="AG118" s="79">
        <f t="shared" si="10"/>
        <v>0</v>
      </c>
      <c r="AH118" s="79" t="str">
        <f t="shared" si="15"/>
        <v/>
      </c>
      <c r="AI118" s="79" t="str">
        <f t="shared" si="11"/>
        <v/>
      </c>
      <c r="AJ118" s="79">
        <f>IFERROR(SUM(AG118:AI118)/DATAINFO!$N$7,0)</f>
        <v>0</v>
      </c>
      <c r="AK118" s="155" t="str">
        <f t="shared" si="12"/>
        <v/>
      </c>
    </row>
    <row r="119" spans="1:37" ht="20.100000000000001" hidden="1" customHeight="1" x14ac:dyDescent="0.2">
      <c r="A119" s="67" t="str">
        <f>IF(B119="","",COUNTA($B$12:$B119))</f>
        <v/>
      </c>
      <c r="B119" s="147" t="str">
        <f>IF(Konversi!C118="","",Konversi!C118)</f>
        <v/>
      </c>
      <c r="C119" s="219" t="str">
        <f>IF(Konversi!B118="","",Konversi!B118)</f>
        <v/>
      </c>
      <c r="D119" s="219"/>
      <c r="E119" s="79" t="str">
        <f>SEKOR!BP110</f>
        <v/>
      </c>
      <c r="F119" s="79" t="str">
        <f>SEKOR!BQ110</f>
        <v/>
      </c>
      <c r="G119" s="79" t="str">
        <f>SEKOR!BT110</f>
        <v/>
      </c>
      <c r="H119" s="79" t="str">
        <f>IF(DATA!$F$18="YA",IF(SEKOR!BR110=0,"",SEKOR!BR110),"")</f>
        <v/>
      </c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>
        <f t="shared" si="13"/>
        <v>0</v>
      </c>
      <c r="AD119" s="79" t="str">
        <f t="shared" si="8"/>
        <v/>
      </c>
      <c r="AE119" s="79" t="str">
        <f t="shared" si="14"/>
        <v/>
      </c>
      <c r="AF119" s="79" t="str">
        <f t="shared" si="9"/>
        <v/>
      </c>
      <c r="AG119" s="79">
        <f t="shared" si="10"/>
        <v>0</v>
      </c>
      <c r="AH119" s="79" t="str">
        <f t="shared" si="15"/>
        <v/>
      </c>
      <c r="AI119" s="79" t="str">
        <f t="shared" si="11"/>
        <v/>
      </c>
      <c r="AJ119" s="79">
        <f>IFERROR(SUM(AG119:AI119)/DATAINFO!$N$7,0)</f>
        <v>0</v>
      </c>
      <c r="AK119" s="155" t="str">
        <f t="shared" si="12"/>
        <v/>
      </c>
    </row>
    <row r="120" spans="1:37" ht="20.100000000000001" hidden="1" customHeight="1" x14ac:dyDescent="0.2">
      <c r="A120" s="67" t="str">
        <f>IF(B120="","",COUNTA($B$12:$B120))</f>
        <v/>
      </c>
      <c r="B120" s="147" t="str">
        <f>IF(Konversi!C119="","",Konversi!C119)</f>
        <v/>
      </c>
      <c r="C120" s="219" t="str">
        <f>IF(Konversi!B119="","",Konversi!B119)</f>
        <v/>
      </c>
      <c r="D120" s="219"/>
      <c r="E120" s="79" t="str">
        <f>SEKOR!BP111</f>
        <v/>
      </c>
      <c r="F120" s="79" t="str">
        <f>SEKOR!BQ111</f>
        <v/>
      </c>
      <c r="G120" s="79" t="str">
        <f>SEKOR!BT111</f>
        <v/>
      </c>
      <c r="H120" s="79" t="str">
        <f>IF(DATA!$F$18="YA",IF(SEKOR!BR111=0,"",SEKOR!BR111),"")</f>
        <v/>
      </c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>
        <f t="shared" si="13"/>
        <v>0</v>
      </c>
      <c r="AD120" s="79" t="str">
        <f t="shared" si="8"/>
        <v/>
      </c>
      <c r="AE120" s="79" t="str">
        <f t="shared" si="14"/>
        <v/>
      </c>
      <c r="AF120" s="79" t="str">
        <f t="shared" si="9"/>
        <v/>
      </c>
      <c r="AG120" s="79">
        <f t="shared" si="10"/>
        <v>0</v>
      </c>
      <c r="AH120" s="79" t="str">
        <f t="shared" si="15"/>
        <v/>
      </c>
      <c r="AI120" s="79" t="str">
        <f t="shared" si="11"/>
        <v/>
      </c>
      <c r="AJ120" s="79">
        <f>IFERROR(SUM(AG120:AI120)/DATAINFO!$N$7,0)</f>
        <v>0</v>
      </c>
      <c r="AK120" s="155" t="str">
        <f t="shared" si="12"/>
        <v/>
      </c>
    </row>
    <row r="121" spans="1:37" ht="20.100000000000001" hidden="1" customHeight="1" x14ac:dyDescent="0.2">
      <c r="A121" s="67" t="str">
        <f>IF(B121="","",COUNTA($B$12:$B121))</f>
        <v/>
      </c>
      <c r="B121" s="147" t="str">
        <f>IF(Konversi!C120="","",Konversi!C120)</f>
        <v/>
      </c>
      <c r="C121" s="219" t="str">
        <f>IF(Konversi!B120="","",Konversi!B120)</f>
        <v/>
      </c>
      <c r="D121" s="219"/>
      <c r="E121" s="79" t="str">
        <f>SEKOR!BP112</f>
        <v/>
      </c>
      <c r="F121" s="79" t="str">
        <f>SEKOR!BQ112</f>
        <v/>
      </c>
      <c r="G121" s="79" t="str">
        <f>SEKOR!BT112</f>
        <v/>
      </c>
      <c r="H121" s="79" t="str">
        <f>IF(DATA!$F$18="YA",IF(SEKOR!BR112=0,"",SEKOR!BR112),"")</f>
        <v/>
      </c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>
        <f t="shared" si="13"/>
        <v>0</v>
      </c>
      <c r="AD121" s="79" t="str">
        <f t="shared" si="8"/>
        <v/>
      </c>
      <c r="AE121" s="79" t="str">
        <f t="shared" si="14"/>
        <v/>
      </c>
      <c r="AF121" s="79" t="str">
        <f t="shared" si="9"/>
        <v/>
      </c>
      <c r="AG121" s="79">
        <f t="shared" si="10"/>
        <v>0</v>
      </c>
      <c r="AH121" s="79" t="str">
        <f t="shared" si="15"/>
        <v/>
      </c>
      <c r="AI121" s="79" t="str">
        <f t="shared" si="11"/>
        <v/>
      </c>
      <c r="AJ121" s="79">
        <f>IFERROR(SUM(AG121:AI121)/DATAINFO!$N$7,0)</f>
        <v>0</v>
      </c>
      <c r="AK121" s="155" t="str">
        <f t="shared" si="12"/>
        <v/>
      </c>
    </row>
    <row r="122" spans="1:37" ht="20.100000000000001" hidden="1" customHeight="1" x14ac:dyDescent="0.2">
      <c r="A122" s="67" t="str">
        <f>IF(B122="","",COUNTA($B$12:$B122))</f>
        <v/>
      </c>
      <c r="B122" s="147" t="str">
        <f>IF(Konversi!C121="","",Konversi!C121)</f>
        <v/>
      </c>
      <c r="C122" s="219" t="str">
        <f>IF(Konversi!B121="","",Konversi!B121)</f>
        <v/>
      </c>
      <c r="D122" s="219"/>
      <c r="E122" s="79" t="str">
        <f>SEKOR!BP113</f>
        <v/>
      </c>
      <c r="F122" s="79" t="str">
        <f>SEKOR!BQ113</f>
        <v/>
      </c>
      <c r="G122" s="79" t="str">
        <f>SEKOR!BT113</f>
        <v/>
      </c>
      <c r="H122" s="79" t="str">
        <f>IF(DATA!$F$18="YA",IF(SEKOR!BR113=0,"",SEKOR!BR113),"")</f>
        <v/>
      </c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>
        <f t="shared" si="13"/>
        <v>0</v>
      </c>
      <c r="AD122" s="79" t="str">
        <f t="shared" si="8"/>
        <v/>
      </c>
      <c r="AE122" s="79" t="str">
        <f t="shared" si="14"/>
        <v/>
      </c>
      <c r="AF122" s="79" t="str">
        <f t="shared" si="9"/>
        <v/>
      </c>
      <c r="AG122" s="79">
        <f t="shared" si="10"/>
        <v>0</v>
      </c>
      <c r="AH122" s="79" t="str">
        <f t="shared" si="15"/>
        <v/>
      </c>
      <c r="AI122" s="79" t="str">
        <f t="shared" si="11"/>
        <v/>
      </c>
      <c r="AJ122" s="79">
        <f>IFERROR(SUM(AG122:AI122)/DATAINFO!$N$7,0)</f>
        <v>0</v>
      </c>
      <c r="AK122" s="155" t="str">
        <f t="shared" si="12"/>
        <v/>
      </c>
    </row>
    <row r="123" spans="1:37" ht="20.100000000000001" hidden="1" customHeight="1" x14ac:dyDescent="0.2">
      <c r="A123" s="67" t="str">
        <f>IF(B123="","",COUNTA($B$12:$B123))</f>
        <v/>
      </c>
      <c r="B123" s="147" t="str">
        <f>IF(Konversi!C122="","",Konversi!C122)</f>
        <v/>
      </c>
      <c r="C123" s="219" t="str">
        <f>IF(Konversi!B122="","",Konversi!B122)</f>
        <v/>
      </c>
      <c r="D123" s="219"/>
      <c r="E123" s="79" t="str">
        <f>SEKOR!BP114</f>
        <v/>
      </c>
      <c r="F123" s="79" t="str">
        <f>SEKOR!BQ114</f>
        <v/>
      </c>
      <c r="G123" s="79" t="str">
        <f>SEKOR!BT114</f>
        <v/>
      </c>
      <c r="H123" s="79" t="str">
        <f>IF(DATA!$F$18="YA",IF(SEKOR!BR114=0,"",SEKOR!BR114),"")</f>
        <v/>
      </c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>
        <f t="shared" si="13"/>
        <v>0</v>
      </c>
      <c r="AD123" s="79" t="str">
        <f t="shared" si="8"/>
        <v/>
      </c>
      <c r="AE123" s="79" t="str">
        <f t="shared" si="14"/>
        <v/>
      </c>
      <c r="AF123" s="79" t="str">
        <f t="shared" si="9"/>
        <v/>
      </c>
      <c r="AG123" s="79">
        <f t="shared" si="10"/>
        <v>0</v>
      </c>
      <c r="AH123" s="79" t="str">
        <f t="shared" si="15"/>
        <v/>
      </c>
      <c r="AI123" s="79" t="str">
        <f t="shared" si="11"/>
        <v/>
      </c>
      <c r="AJ123" s="79">
        <f>IFERROR(SUM(AG123:AI123)/DATAINFO!$N$7,0)</f>
        <v>0</v>
      </c>
      <c r="AK123" s="155" t="str">
        <f t="shared" si="12"/>
        <v/>
      </c>
    </row>
    <row r="124" spans="1:37" ht="20.100000000000001" hidden="1" customHeight="1" x14ac:dyDescent="0.2">
      <c r="A124" s="67" t="str">
        <f>IF(B124="","",COUNTA($B$12:$B124))</f>
        <v/>
      </c>
      <c r="B124" s="147" t="str">
        <f>IF(Konversi!C123="","",Konversi!C123)</f>
        <v/>
      </c>
      <c r="C124" s="219" t="str">
        <f>IF(Konversi!B123="","",Konversi!B123)</f>
        <v/>
      </c>
      <c r="D124" s="219"/>
      <c r="E124" s="79" t="str">
        <f>SEKOR!BP115</f>
        <v/>
      </c>
      <c r="F124" s="79" t="str">
        <f>SEKOR!BQ115</f>
        <v/>
      </c>
      <c r="G124" s="79" t="str">
        <f>SEKOR!BT115</f>
        <v/>
      </c>
      <c r="H124" s="79" t="str">
        <f>IF(DATA!$F$18="YA",IF(SEKOR!BR115=0,"",SEKOR!BR115),"")</f>
        <v/>
      </c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>
        <f t="shared" si="13"/>
        <v>0</v>
      </c>
      <c r="AD124" s="79" t="str">
        <f t="shared" si="8"/>
        <v/>
      </c>
      <c r="AE124" s="79" t="str">
        <f t="shared" si="14"/>
        <v/>
      </c>
      <c r="AF124" s="79" t="str">
        <f t="shared" si="9"/>
        <v/>
      </c>
      <c r="AG124" s="79">
        <f t="shared" si="10"/>
        <v>0</v>
      </c>
      <c r="AH124" s="79" t="str">
        <f t="shared" si="15"/>
        <v/>
      </c>
      <c r="AI124" s="79" t="str">
        <f t="shared" si="11"/>
        <v/>
      </c>
      <c r="AJ124" s="79">
        <f>IFERROR(SUM(AG124:AI124)/DATAINFO!$N$7,0)</f>
        <v>0</v>
      </c>
      <c r="AK124" s="155" t="str">
        <f t="shared" si="12"/>
        <v/>
      </c>
    </row>
    <row r="125" spans="1:37" ht="20.100000000000001" hidden="1" customHeight="1" x14ac:dyDescent="0.2">
      <c r="A125" s="67" t="str">
        <f>IF(B125="","",COUNTA($B$12:$B125))</f>
        <v/>
      </c>
      <c r="B125" s="147" t="str">
        <f>IF(Konversi!C124="","",Konversi!C124)</f>
        <v/>
      </c>
      <c r="C125" s="219" t="str">
        <f>IF(Konversi!B124="","",Konversi!B124)</f>
        <v/>
      </c>
      <c r="D125" s="219"/>
      <c r="E125" s="79" t="str">
        <f>SEKOR!BP116</f>
        <v/>
      </c>
      <c r="F125" s="79" t="str">
        <f>SEKOR!BQ116</f>
        <v/>
      </c>
      <c r="G125" s="79" t="str">
        <f>SEKOR!BT116</f>
        <v/>
      </c>
      <c r="H125" s="79" t="str">
        <f>IF(DATA!$F$18="YA",IF(SEKOR!BR116=0,"",SEKOR!BR116),"")</f>
        <v/>
      </c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>
        <f t="shared" si="13"/>
        <v>0</v>
      </c>
      <c r="AD125" s="79" t="str">
        <f t="shared" si="8"/>
        <v/>
      </c>
      <c r="AE125" s="79" t="str">
        <f t="shared" si="14"/>
        <v/>
      </c>
      <c r="AF125" s="79" t="str">
        <f t="shared" si="9"/>
        <v/>
      </c>
      <c r="AG125" s="79">
        <f t="shared" si="10"/>
        <v>0</v>
      </c>
      <c r="AH125" s="79" t="str">
        <f t="shared" si="15"/>
        <v/>
      </c>
      <c r="AI125" s="79" t="str">
        <f t="shared" si="11"/>
        <v/>
      </c>
      <c r="AJ125" s="79">
        <f>IFERROR(SUM(AG125:AI125)/DATAINFO!$N$7,0)</f>
        <v>0</v>
      </c>
      <c r="AK125" s="155" t="str">
        <f t="shared" si="12"/>
        <v/>
      </c>
    </row>
    <row r="126" spans="1:37" ht="20.100000000000001" hidden="1" customHeight="1" x14ac:dyDescent="0.2">
      <c r="A126" s="67" t="str">
        <f>IF(B126="","",COUNTA($B$12:$B126))</f>
        <v/>
      </c>
      <c r="B126" s="147" t="str">
        <f>IF(Konversi!C125="","",Konversi!C125)</f>
        <v/>
      </c>
      <c r="C126" s="219" t="str">
        <f>IF(Konversi!B125="","",Konversi!B125)</f>
        <v/>
      </c>
      <c r="D126" s="219"/>
      <c r="E126" s="79" t="str">
        <f>SEKOR!BP117</f>
        <v/>
      </c>
      <c r="F126" s="79" t="str">
        <f>SEKOR!BQ117</f>
        <v/>
      </c>
      <c r="G126" s="79" t="str">
        <f>SEKOR!BT117</f>
        <v/>
      </c>
      <c r="H126" s="79" t="str">
        <f>IF(DATA!$F$18="YA",IF(SEKOR!BR117=0,"",SEKOR!BR117),"")</f>
        <v/>
      </c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>
        <f t="shared" si="13"/>
        <v>0</v>
      </c>
      <c r="AD126" s="79" t="str">
        <f t="shared" si="8"/>
        <v/>
      </c>
      <c r="AE126" s="79" t="str">
        <f t="shared" si="14"/>
        <v/>
      </c>
      <c r="AF126" s="79" t="str">
        <f t="shared" si="9"/>
        <v/>
      </c>
      <c r="AG126" s="79">
        <f t="shared" si="10"/>
        <v>0</v>
      </c>
      <c r="AH126" s="79" t="str">
        <f t="shared" si="15"/>
        <v/>
      </c>
      <c r="AI126" s="79" t="str">
        <f t="shared" si="11"/>
        <v/>
      </c>
      <c r="AJ126" s="79">
        <f>IFERROR(SUM(AG126:AI126)/DATAINFO!$N$7,0)</f>
        <v>0</v>
      </c>
      <c r="AK126" s="155" t="str">
        <f t="shared" si="12"/>
        <v/>
      </c>
    </row>
    <row r="127" spans="1:37" ht="20.100000000000001" hidden="1" customHeight="1" x14ac:dyDescent="0.2">
      <c r="A127" s="67" t="str">
        <f>IF(B127="","",COUNTA($B$12:$B127))</f>
        <v/>
      </c>
      <c r="B127" s="147" t="str">
        <f>IF(Konversi!C126="","",Konversi!C126)</f>
        <v/>
      </c>
      <c r="C127" s="219" t="str">
        <f>IF(Konversi!B126="","",Konversi!B126)</f>
        <v/>
      </c>
      <c r="D127" s="219"/>
      <c r="E127" s="79" t="str">
        <f>SEKOR!BP118</f>
        <v/>
      </c>
      <c r="F127" s="79" t="str">
        <f>SEKOR!BQ118</f>
        <v/>
      </c>
      <c r="G127" s="79" t="str">
        <f>SEKOR!BT118</f>
        <v/>
      </c>
      <c r="H127" s="79" t="str">
        <f>IF(DATA!$F$18="YA",IF(SEKOR!BR118=0,"",SEKOR!BR118),"")</f>
        <v/>
      </c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>
        <f t="shared" si="13"/>
        <v>0</v>
      </c>
      <c r="AD127" s="79" t="str">
        <f t="shared" si="8"/>
        <v/>
      </c>
      <c r="AE127" s="79" t="str">
        <f t="shared" si="14"/>
        <v/>
      </c>
      <c r="AF127" s="79" t="str">
        <f t="shared" si="9"/>
        <v/>
      </c>
      <c r="AG127" s="79">
        <f t="shared" si="10"/>
        <v>0</v>
      </c>
      <c r="AH127" s="79" t="str">
        <f t="shared" si="15"/>
        <v/>
      </c>
      <c r="AI127" s="79" t="str">
        <f t="shared" si="11"/>
        <v/>
      </c>
      <c r="AJ127" s="79">
        <f>IFERROR(SUM(AG127:AI127)/DATAINFO!$N$7,0)</f>
        <v>0</v>
      </c>
      <c r="AK127" s="155" t="str">
        <f t="shared" si="12"/>
        <v/>
      </c>
    </row>
    <row r="128" spans="1:37" ht="20.100000000000001" hidden="1" customHeight="1" x14ac:dyDescent="0.2">
      <c r="A128" s="67" t="str">
        <f>IF(B128="","",COUNTA($B$12:$B128))</f>
        <v/>
      </c>
      <c r="B128" s="147" t="str">
        <f>IF(Konversi!C127="","",Konversi!C127)</f>
        <v/>
      </c>
      <c r="C128" s="219" t="str">
        <f>IF(Konversi!B127="","",Konversi!B127)</f>
        <v/>
      </c>
      <c r="D128" s="219"/>
      <c r="E128" s="79" t="str">
        <f>SEKOR!BP119</f>
        <v/>
      </c>
      <c r="F128" s="79" t="str">
        <f>SEKOR!BQ119</f>
        <v/>
      </c>
      <c r="G128" s="79" t="str">
        <f>SEKOR!BT119</f>
        <v/>
      </c>
      <c r="H128" s="79" t="str">
        <f>IF(DATA!$F$18="YA",IF(SEKOR!BR119=0,"",SEKOR!BR119),"")</f>
        <v/>
      </c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>
        <f t="shared" si="13"/>
        <v>0</v>
      </c>
      <c r="AD128" s="79" t="str">
        <f t="shared" si="8"/>
        <v/>
      </c>
      <c r="AE128" s="79" t="str">
        <f t="shared" si="14"/>
        <v/>
      </c>
      <c r="AF128" s="79" t="str">
        <f t="shared" si="9"/>
        <v/>
      </c>
      <c r="AG128" s="79">
        <f t="shared" si="10"/>
        <v>0</v>
      </c>
      <c r="AH128" s="79" t="str">
        <f t="shared" si="15"/>
        <v/>
      </c>
      <c r="AI128" s="79" t="str">
        <f t="shared" si="11"/>
        <v/>
      </c>
      <c r="AJ128" s="79">
        <f>IFERROR(SUM(AG128:AI128)/DATAINFO!$N$7,0)</f>
        <v>0</v>
      </c>
      <c r="AK128" s="155" t="str">
        <f t="shared" si="12"/>
        <v/>
      </c>
    </row>
    <row r="129" spans="1:37" ht="20.100000000000001" hidden="1" customHeight="1" x14ac:dyDescent="0.2">
      <c r="A129" s="67" t="str">
        <f>IF(B129="","",COUNTA($B$12:$B129))</f>
        <v/>
      </c>
      <c r="B129" s="147" t="str">
        <f>IF(Konversi!C128="","",Konversi!C128)</f>
        <v/>
      </c>
      <c r="C129" s="219" t="str">
        <f>IF(Konversi!B128="","",Konversi!B128)</f>
        <v/>
      </c>
      <c r="D129" s="219"/>
      <c r="E129" s="79" t="str">
        <f>SEKOR!BP120</f>
        <v/>
      </c>
      <c r="F129" s="79" t="str">
        <f>SEKOR!BQ120</f>
        <v/>
      </c>
      <c r="G129" s="79" t="str">
        <f>SEKOR!BT120</f>
        <v/>
      </c>
      <c r="H129" s="79" t="str">
        <f>IF(DATA!$F$18="YA",IF(SEKOR!BR120=0,"",SEKOR!BR120),"")</f>
        <v/>
      </c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>
        <f t="shared" si="13"/>
        <v>0</v>
      </c>
      <c r="AD129" s="79" t="str">
        <f t="shared" si="8"/>
        <v/>
      </c>
      <c r="AE129" s="79" t="str">
        <f t="shared" si="14"/>
        <v/>
      </c>
      <c r="AF129" s="79" t="str">
        <f t="shared" si="9"/>
        <v/>
      </c>
      <c r="AG129" s="79">
        <f t="shared" si="10"/>
        <v>0</v>
      </c>
      <c r="AH129" s="79" t="str">
        <f t="shared" si="15"/>
        <v/>
      </c>
      <c r="AI129" s="79" t="str">
        <f t="shared" si="11"/>
        <v/>
      </c>
      <c r="AJ129" s="79">
        <f>IFERROR(SUM(AG129:AI129)/DATAINFO!$N$7,0)</f>
        <v>0</v>
      </c>
      <c r="AK129" s="155" t="str">
        <f t="shared" si="12"/>
        <v/>
      </c>
    </row>
    <row r="130" spans="1:37" ht="20.100000000000001" hidden="1" customHeight="1" x14ac:dyDescent="0.2">
      <c r="A130" s="67" t="str">
        <f>IF(B130="","",COUNTA($B$12:$B130))</f>
        <v/>
      </c>
      <c r="B130" s="147" t="str">
        <f>IF(Konversi!C129="","",Konversi!C129)</f>
        <v/>
      </c>
      <c r="C130" s="219" t="str">
        <f>IF(Konversi!B129="","",Konversi!B129)</f>
        <v/>
      </c>
      <c r="D130" s="219"/>
      <c r="E130" s="79" t="str">
        <f>SEKOR!BP121</f>
        <v/>
      </c>
      <c r="F130" s="79" t="str">
        <f>SEKOR!BQ121</f>
        <v/>
      </c>
      <c r="G130" s="79" t="str">
        <f>SEKOR!BT121</f>
        <v/>
      </c>
      <c r="H130" s="79" t="str">
        <f>IF(DATA!$F$18="YA",IF(SEKOR!BR121=0,"",SEKOR!BR121),"")</f>
        <v/>
      </c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>
        <f t="shared" si="13"/>
        <v>0</v>
      </c>
      <c r="AD130" s="79" t="str">
        <f t="shared" si="8"/>
        <v/>
      </c>
      <c r="AE130" s="79" t="str">
        <f t="shared" si="14"/>
        <v/>
      </c>
      <c r="AF130" s="79" t="str">
        <f t="shared" si="9"/>
        <v/>
      </c>
      <c r="AG130" s="79">
        <f t="shared" si="10"/>
        <v>0</v>
      </c>
      <c r="AH130" s="79" t="str">
        <f t="shared" si="15"/>
        <v/>
      </c>
      <c r="AI130" s="79" t="str">
        <f t="shared" si="11"/>
        <v/>
      </c>
      <c r="AJ130" s="79">
        <f>IFERROR(SUM(AG130:AI130)/DATAINFO!$N$7,0)</f>
        <v>0</v>
      </c>
      <c r="AK130" s="155" t="str">
        <f t="shared" si="12"/>
        <v/>
      </c>
    </row>
    <row r="131" spans="1:37" ht="20.100000000000001" hidden="1" customHeight="1" x14ac:dyDescent="0.2">
      <c r="A131" s="67" t="str">
        <f>IF(B131="","",COUNTA($B$12:$B131))</f>
        <v/>
      </c>
      <c r="B131" s="147" t="str">
        <f>IF(Konversi!C130="","",Konversi!C130)</f>
        <v/>
      </c>
      <c r="C131" s="219" t="str">
        <f>IF(Konversi!B130="","",Konversi!B130)</f>
        <v/>
      </c>
      <c r="D131" s="219"/>
      <c r="E131" s="79" t="str">
        <f>SEKOR!BP122</f>
        <v/>
      </c>
      <c r="F131" s="79" t="str">
        <f>SEKOR!BQ122</f>
        <v/>
      </c>
      <c r="G131" s="79" t="str">
        <f>SEKOR!BT122</f>
        <v/>
      </c>
      <c r="H131" s="79" t="str">
        <f>IF(DATA!$F$18="YA",IF(SEKOR!BR122=0,"",SEKOR!BR122),"")</f>
        <v/>
      </c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>
        <f t="shared" si="13"/>
        <v>0</v>
      </c>
      <c r="AD131" s="79" t="str">
        <f t="shared" si="8"/>
        <v/>
      </c>
      <c r="AE131" s="79" t="str">
        <f t="shared" si="14"/>
        <v/>
      </c>
      <c r="AF131" s="79" t="str">
        <f t="shared" si="9"/>
        <v/>
      </c>
      <c r="AG131" s="79">
        <f t="shared" si="10"/>
        <v>0</v>
      </c>
      <c r="AH131" s="79" t="str">
        <f t="shared" si="15"/>
        <v/>
      </c>
      <c r="AI131" s="79" t="str">
        <f t="shared" si="11"/>
        <v/>
      </c>
      <c r="AJ131" s="79">
        <f>IFERROR(SUM(AG131:AI131)/DATAINFO!$N$7,0)</f>
        <v>0</v>
      </c>
      <c r="AK131" s="155" t="str">
        <f t="shared" si="12"/>
        <v/>
      </c>
    </row>
    <row r="132" spans="1:37" ht="20.100000000000001" hidden="1" customHeight="1" x14ac:dyDescent="0.2">
      <c r="A132" s="67" t="str">
        <f>IF(B132="","",COUNTA($B$12:$B132))</f>
        <v/>
      </c>
      <c r="B132" s="147" t="str">
        <f>IF(Konversi!C131="","",Konversi!C131)</f>
        <v/>
      </c>
      <c r="C132" s="219" t="str">
        <f>IF(Konversi!B131="","",Konversi!B131)</f>
        <v/>
      </c>
      <c r="D132" s="219"/>
      <c r="E132" s="79" t="str">
        <f>SEKOR!BP123</f>
        <v/>
      </c>
      <c r="F132" s="79" t="str">
        <f>SEKOR!BQ123</f>
        <v/>
      </c>
      <c r="G132" s="79" t="str">
        <f>SEKOR!BT123</f>
        <v/>
      </c>
      <c r="H132" s="79" t="str">
        <f>IF(DATA!$F$18="YA",IF(SEKOR!BR123=0,"",SEKOR!BR123),"")</f>
        <v/>
      </c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>
        <f t="shared" si="13"/>
        <v>0</v>
      </c>
      <c r="AD132" s="79" t="str">
        <f t="shared" ref="AD132:AD195" si="16">IFERROR(IF($B132="","",(SUM(I132:AB132)/$D$3)*$AD$11),0)</f>
        <v/>
      </c>
      <c r="AE132" s="79" t="str">
        <f t="shared" si="14"/>
        <v/>
      </c>
      <c r="AF132" s="79" t="str">
        <f t="shared" ref="AF132:AF195" si="17">IFERROR(IF($B132="","",IF($D$1="KONVERT","",IF(H132="","",($H132*$AF$11)))),0)</f>
        <v/>
      </c>
      <c r="AG132" s="79">
        <f t="shared" ref="AG132:AG195" si="18">SUM(I132:AB132)/$D$3</f>
        <v>0</v>
      </c>
      <c r="AH132" s="79" t="str">
        <f t="shared" si="15"/>
        <v/>
      </c>
      <c r="AI132" s="79" t="str">
        <f t="shared" ref="AI132:AI195" si="19">IF($B132="","",IF($D$1="KONVERT","",IF(H132="","",$H132)))</f>
        <v/>
      </c>
      <c r="AJ132" s="79">
        <f>IFERROR(SUM(AG132:AI132)/DATAINFO!$N$7,0)</f>
        <v>0</v>
      </c>
      <c r="AK132" s="155" t="str">
        <f t="shared" ref="AK132:AK195" si="20">IF($B132="","",IF(AJ132&gt;0,AJ132,SUM(AD132:AF132)))</f>
        <v/>
      </c>
    </row>
    <row r="133" spans="1:37" ht="20.100000000000001" hidden="1" customHeight="1" x14ac:dyDescent="0.2">
      <c r="A133" s="67" t="str">
        <f>IF(B133="","",COUNTA($B$12:$B133))</f>
        <v/>
      </c>
      <c r="B133" s="147" t="str">
        <f>IF(Konversi!C132="","",Konversi!C132)</f>
        <v/>
      </c>
      <c r="C133" s="219" t="str">
        <f>IF(Konversi!B132="","",Konversi!B132)</f>
        <v/>
      </c>
      <c r="D133" s="219"/>
      <c r="E133" s="79" t="str">
        <f>SEKOR!BP124</f>
        <v/>
      </c>
      <c r="F133" s="79" t="str">
        <f>SEKOR!BQ124</f>
        <v/>
      </c>
      <c r="G133" s="79" t="str">
        <f>SEKOR!BT124</f>
        <v/>
      </c>
      <c r="H133" s="79" t="str">
        <f>IF(DATA!$F$18="YA",IF(SEKOR!BR124=0,"",SEKOR!BR124),"")</f>
        <v/>
      </c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>
        <f t="shared" si="13"/>
        <v>0</v>
      </c>
      <c r="AD133" s="79" t="str">
        <f t="shared" si="16"/>
        <v/>
      </c>
      <c r="AE133" s="79" t="str">
        <f t="shared" si="14"/>
        <v/>
      </c>
      <c r="AF133" s="79" t="str">
        <f t="shared" si="17"/>
        <v/>
      </c>
      <c r="AG133" s="79">
        <f t="shared" si="18"/>
        <v>0</v>
      </c>
      <c r="AH133" s="79" t="str">
        <f t="shared" si="15"/>
        <v/>
      </c>
      <c r="AI133" s="79" t="str">
        <f t="shared" si="19"/>
        <v/>
      </c>
      <c r="AJ133" s="79">
        <f>IFERROR(SUM(AG133:AI133)/DATAINFO!$N$7,0)</f>
        <v>0</v>
      </c>
      <c r="AK133" s="155" t="str">
        <f t="shared" si="20"/>
        <v/>
      </c>
    </row>
    <row r="134" spans="1:37" ht="20.100000000000001" hidden="1" customHeight="1" x14ac:dyDescent="0.2">
      <c r="A134" s="67" t="str">
        <f>IF(B134="","",COUNTA($B$12:$B134))</f>
        <v/>
      </c>
      <c r="B134" s="147" t="str">
        <f>IF(Konversi!C133="","",Konversi!C133)</f>
        <v/>
      </c>
      <c r="C134" s="219" t="str">
        <f>IF(Konversi!B133="","",Konversi!B133)</f>
        <v/>
      </c>
      <c r="D134" s="219"/>
      <c r="E134" s="79" t="str">
        <f>SEKOR!BP125</f>
        <v/>
      </c>
      <c r="F134" s="79" t="str">
        <f>SEKOR!BQ125</f>
        <v/>
      </c>
      <c r="G134" s="79" t="str">
        <f>SEKOR!BT125</f>
        <v/>
      </c>
      <c r="H134" s="79" t="str">
        <f>IF(DATA!$F$18="YA",IF(SEKOR!BR125=0,"",SEKOR!BR125),"")</f>
        <v/>
      </c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>
        <f t="shared" si="13"/>
        <v>0</v>
      </c>
      <c r="AD134" s="79" t="str">
        <f t="shared" si="16"/>
        <v/>
      </c>
      <c r="AE134" s="79" t="str">
        <f t="shared" si="14"/>
        <v/>
      </c>
      <c r="AF134" s="79" t="str">
        <f t="shared" si="17"/>
        <v/>
      </c>
      <c r="AG134" s="79">
        <f t="shared" si="18"/>
        <v>0</v>
      </c>
      <c r="AH134" s="79" t="str">
        <f t="shared" si="15"/>
        <v/>
      </c>
      <c r="AI134" s="79" t="str">
        <f t="shared" si="19"/>
        <v/>
      </c>
      <c r="AJ134" s="79">
        <f>IFERROR(SUM(AG134:AI134)/DATAINFO!$N$7,0)</f>
        <v>0</v>
      </c>
      <c r="AK134" s="155" t="str">
        <f t="shared" si="20"/>
        <v/>
      </c>
    </row>
    <row r="135" spans="1:37" ht="20.100000000000001" hidden="1" customHeight="1" x14ac:dyDescent="0.2">
      <c r="A135" s="67" t="str">
        <f>IF(B135="","",COUNTA($B$12:$B135))</f>
        <v/>
      </c>
      <c r="B135" s="147" t="str">
        <f>IF(Konversi!C134="","",Konversi!C134)</f>
        <v/>
      </c>
      <c r="C135" s="219" t="str">
        <f>IF(Konversi!B134="","",Konversi!B134)</f>
        <v/>
      </c>
      <c r="D135" s="219"/>
      <c r="E135" s="79" t="str">
        <f>SEKOR!BP126</f>
        <v/>
      </c>
      <c r="F135" s="79" t="str">
        <f>SEKOR!BQ126</f>
        <v/>
      </c>
      <c r="G135" s="79" t="str">
        <f>SEKOR!BT126</f>
        <v/>
      </c>
      <c r="H135" s="79" t="str">
        <f>IF(DATA!$F$18="YA",IF(SEKOR!BR126=0,"",SEKOR!BR126),"")</f>
        <v/>
      </c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>
        <f t="shared" si="13"/>
        <v>0</v>
      </c>
      <c r="AD135" s="79" t="str">
        <f t="shared" si="16"/>
        <v/>
      </c>
      <c r="AE135" s="79" t="str">
        <f t="shared" si="14"/>
        <v/>
      </c>
      <c r="AF135" s="79" t="str">
        <f t="shared" si="17"/>
        <v/>
      </c>
      <c r="AG135" s="79">
        <f t="shared" si="18"/>
        <v>0</v>
      </c>
      <c r="AH135" s="79" t="str">
        <f t="shared" si="15"/>
        <v/>
      </c>
      <c r="AI135" s="79" t="str">
        <f t="shared" si="19"/>
        <v/>
      </c>
      <c r="AJ135" s="79">
        <f>IFERROR(SUM(AG135:AI135)/DATAINFO!$N$7,0)</f>
        <v>0</v>
      </c>
      <c r="AK135" s="155" t="str">
        <f t="shared" si="20"/>
        <v/>
      </c>
    </row>
    <row r="136" spans="1:37" ht="20.100000000000001" hidden="1" customHeight="1" x14ac:dyDescent="0.2">
      <c r="A136" s="67" t="str">
        <f>IF(B136="","",COUNTA($B$12:$B136))</f>
        <v/>
      </c>
      <c r="B136" s="147" t="str">
        <f>IF(Konversi!C135="","",Konversi!C135)</f>
        <v/>
      </c>
      <c r="C136" s="219" t="str">
        <f>IF(Konversi!B135="","",Konversi!B135)</f>
        <v/>
      </c>
      <c r="D136" s="219"/>
      <c r="E136" s="79" t="str">
        <f>SEKOR!BP127</f>
        <v/>
      </c>
      <c r="F136" s="79" t="str">
        <f>SEKOR!BQ127</f>
        <v/>
      </c>
      <c r="G136" s="79" t="str">
        <f>SEKOR!BT127</f>
        <v/>
      </c>
      <c r="H136" s="79" t="str">
        <f>IF(DATA!$F$18="YA",IF(SEKOR!BR127=0,"",SEKOR!BR127),"")</f>
        <v/>
      </c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>
        <f t="shared" si="13"/>
        <v>0</v>
      </c>
      <c r="AD136" s="79" t="str">
        <f t="shared" si="16"/>
        <v/>
      </c>
      <c r="AE136" s="79" t="str">
        <f t="shared" si="14"/>
        <v/>
      </c>
      <c r="AF136" s="79" t="str">
        <f t="shared" si="17"/>
        <v/>
      </c>
      <c r="AG136" s="79">
        <f t="shared" si="18"/>
        <v>0</v>
      </c>
      <c r="AH136" s="79" t="str">
        <f t="shared" si="15"/>
        <v/>
      </c>
      <c r="AI136" s="79" t="str">
        <f t="shared" si="19"/>
        <v/>
      </c>
      <c r="AJ136" s="79">
        <f>IFERROR(SUM(AG136:AI136)/DATAINFO!$N$7,0)</f>
        <v>0</v>
      </c>
      <c r="AK136" s="155" t="str">
        <f t="shared" si="20"/>
        <v/>
      </c>
    </row>
    <row r="137" spans="1:37" ht="20.100000000000001" hidden="1" customHeight="1" x14ac:dyDescent="0.2">
      <c r="A137" s="67" t="str">
        <f>IF(B137="","",COUNTA($B$12:$B137))</f>
        <v/>
      </c>
      <c r="B137" s="147" t="str">
        <f>IF(Konversi!C136="","",Konversi!C136)</f>
        <v/>
      </c>
      <c r="C137" s="219" t="str">
        <f>IF(Konversi!B136="","",Konversi!B136)</f>
        <v/>
      </c>
      <c r="D137" s="219"/>
      <c r="E137" s="79" t="str">
        <f>SEKOR!BP128</f>
        <v/>
      </c>
      <c r="F137" s="79" t="str">
        <f>SEKOR!BQ128</f>
        <v/>
      </c>
      <c r="G137" s="79" t="str">
        <f>SEKOR!BT128</f>
        <v/>
      </c>
      <c r="H137" s="79" t="str">
        <f>IF(DATA!$F$18="YA",IF(SEKOR!BR128=0,"",SEKOR!BR128),"")</f>
        <v/>
      </c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>
        <f t="shared" si="13"/>
        <v>0</v>
      </c>
      <c r="AD137" s="79" t="str">
        <f t="shared" si="16"/>
        <v/>
      </c>
      <c r="AE137" s="79" t="str">
        <f t="shared" si="14"/>
        <v/>
      </c>
      <c r="AF137" s="79" t="str">
        <f t="shared" si="17"/>
        <v/>
      </c>
      <c r="AG137" s="79">
        <f t="shared" si="18"/>
        <v>0</v>
      </c>
      <c r="AH137" s="79" t="str">
        <f t="shared" si="15"/>
        <v/>
      </c>
      <c r="AI137" s="79" t="str">
        <f t="shared" si="19"/>
        <v/>
      </c>
      <c r="AJ137" s="79">
        <f>IFERROR(SUM(AG137:AI137)/DATAINFO!$N$7,0)</f>
        <v>0</v>
      </c>
      <c r="AK137" s="155" t="str">
        <f t="shared" si="20"/>
        <v/>
      </c>
    </row>
    <row r="138" spans="1:37" ht="20.100000000000001" hidden="1" customHeight="1" x14ac:dyDescent="0.2">
      <c r="A138" s="67" t="str">
        <f>IF(B138="","",COUNTA($B$12:$B138))</f>
        <v/>
      </c>
      <c r="B138" s="147" t="str">
        <f>IF(Konversi!C137="","",Konversi!C137)</f>
        <v/>
      </c>
      <c r="C138" s="219" t="str">
        <f>IF(Konversi!B137="","",Konversi!B137)</f>
        <v/>
      </c>
      <c r="D138" s="219"/>
      <c r="E138" s="79" t="str">
        <f>SEKOR!BP129</f>
        <v/>
      </c>
      <c r="F138" s="79" t="str">
        <f>SEKOR!BQ129</f>
        <v/>
      </c>
      <c r="G138" s="79" t="str">
        <f>SEKOR!BT129</f>
        <v/>
      </c>
      <c r="H138" s="79" t="str">
        <f>IF(DATA!$F$18="YA",IF(SEKOR!BR129=0,"",SEKOR!BR129),"")</f>
        <v/>
      </c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>
        <f t="shared" si="13"/>
        <v>0</v>
      </c>
      <c r="AD138" s="79" t="str">
        <f t="shared" si="16"/>
        <v/>
      </c>
      <c r="AE138" s="79" t="str">
        <f t="shared" si="14"/>
        <v/>
      </c>
      <c r="AF138" s="79" t="str">
        <f t="shared" si="17"/>
        <v/>
      </c>
      <c r="AG138" s="79">
        <f t="shared" si="18"/>
        <v>0</v>
      </c>
      <c r="AH138" s="79" t="str">
        <f t="shared" si="15"/>
        <v/>
      </c>
      <c r="AI138" s="79" t="str">
        <f t="shared" si="19"/>
        <v/>
      </c>
      <c r="AJ138" s="79">
        <f>IFERROR(SUM(AG138:AI138)/DATAINFO!$N$7,0)</f>
        <v>0</v>
      </c>
      <c r="AK138" s="155" t="str">
        <f t="shared" si="20"/>
        <v/>
      </c>
    </row>
    <row r="139" spans="1:37" ht="20.100000000000001" hidden="1" customHeight="1" x14ac:dyDescent="0.2">
      <c r="A139" s="67" t="str">
        <f>IF(B139="","",COUNTA($B$12:$B139))</f>
        <v/>
      </c>
      <c r="B139" s="147" t="str">
        <f>IF(Konversi!C138="","",Konversi!C138)</f>
        <v/>
      </c>
      <c r="C139" s="219" t="str">
        <f>IF(Konversi!B138="","",Konversi!B138)</f>
        <v/>
      </c>
      <c r="D139" s="219"/>
      <c r="E139" s="79" t="str">
        <f>SEKOR!BP130</f>
        <v/>
      </c>
      <c r="F139" s="79" t="str">
        <f>SEKOR!BQ130</f>
        <v/>
      </c>
      <c r="G139" s="79" t="str">
        <f>SEKOR!BT130</f>
        <v/>
      </c>
      <c r="H139" s="79" t="str">
        <f>IF(DATA!$F$18="YA",IF(SEKOR!BR130=0,"",SEKOR!BR130),"")</f>
        <v/>
      </c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>
        <f t="shared" si="13"/>
        <v>0</v>
      </c>
      <c r="AD139" s="79" t="str">
        <f t="shared" si="16"/>
        <v/>
      </c>
      <c r="AE139" s="79" t="str">
        <f t="shared" si="14"/>
        <v/>
      </c>
      <c r="AF139" s="79" t="str">
        <f t="shared" si="17"/>
        <v/>
      </c>
      <c r="AG139" s="79">
        <f t="shared" si="18"/>
        <v>0</v>
      </c>
      <c r="AH139" s="79" t="str">
        <f t="shared" si="15"/>
        <v/>
      </c>
      <c r="AI139" s="79" t="str">
        <f t="shared" si="19"/>
        <v/>
      </c>
      <c r="AJ139" s="79">
        <f>IFERROR(SUM(AG139:AI139)/DATAINFO!$N$7,0)</f>
        <v>0</v>
      </c>
      <c r="AK139" s="155" t="str">
        <f t="shared" si="20"/>
        <v/>
      </c>
    </row>
    <row r="140" spans="1:37" ht="20.100000000000001" hidden="1" customHeight="1" x14ac:dyDescent="0.2">
      <c r="A140" s="67" t="str">
        <f>IF(B140="","",COUNTA($B$12:$B140))</f>
        <v/>
      </c>
      <c r="B140" s="147" t="str">
        <f>IF(Konversi!C139="","",Konversi!C139)</f>
        <v/>
      </c>
      <c r="C140" s="219" t="str">
        <f>IF(Konversi!B139="","",Konversi!B139)</f>
        <v/>
      </c>
      <c r="D140" s="219"/>
      <c r="E140" s="79" t="str">
        <f>SEKOR!BP131</f>
        <v/>
      </c>
      <c r="F140" s="79" t="str">
        <f>SEKOR!BQ131</f>
        <v/>
      </c>
      <c r="G140" s="79" t="str">
        <f>SEKOR!BT131</f>
        <v/>
      </c>
      <c r="H140" s="79" t="str">
        <f>IF(DATA!$F$18="YA",IF(SEKOR!BR131=0,"",SEKOR!BR131),"")</f>
        <v/>
      </c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>
        <f t="shared" si="13"/>
        <v>0</v>
      </c>
      <c r="AD140" s="79" t="str">
        <f t="shared" si="16"/>
        <v/>
      </c>
      <c r="AE140" s="79" t="str">
        <f t="shared" si="14"/>
        <v/>
      </c>
      <c r="AF140" s="79" t="str">
        <f t="shared" si="17"/>
        <v/>
      </c>
      <c r="AG140" s="79">
        <f t="shared" si="18"/>
        <v>0</v>
      </c>
      <c r="AH140" s="79" t="str">
        <f t="shared" si="15"/>
        <v/>
      </c>
      <c r="AI140" s="79" t="str">
        <f t="shared" si="19"/>
        <v/>
      </c>
      <c r="AJ140" s="79">
        <f>IFERROR(SUM(AG140:AI140)/DATAINFO!$N$7,0)</f>
        <v>0</v>
      </c>
      <c r="AK140" s="155" t="str">
        <f t="shared" si="20"/>
        <v/>
      </c>
    </row>
    <row r="141" spans="1:37" ht="20.100000000000001" hidden="1" customHeight="1" x14ac:dyDescent="0.2">
      <c r="A141" s="67" t="str">
        <f>IF(B141="","",COUNTA($B$12:$B141))</f>
        <v/>
      </c>
      <c r="B141" s="147" t="str">
        <f>IF(Konversi!C140="","",Konversi!C140)</f>
        <v/>
      </c>
      <c r="C141" s="219" t="str">
        <f>IF(Konversi!B140="","",Konversi!B140)</f>
        <v/>
      </c>
      <c r="D141" s="219"/>
      <c r="E141" s="79" t="str">
        <f>SEKOR!BP132</f>
        <v/>
      </c>
      <c r="F141" s="79" t="str">
        <f>SEKOR!BQ132</f>
        <v/>
      </c>
      <c r="G141" s="79" t="str">
        <f>SEKOR!BT132</f>
        <v/>
      </c>
      <c r="H141" s="79" t="str">
        <f>IF(DATA!$F$18="YA",IF(SEKOR!BR132=0,"",SEKOR!BR132),"")</f>
        <v/>
      </c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>
        <f t="shared" ref="AC141:AC204" si="21">IFERROR(SUM(I141:AB141),0)</f>
        <v>0</v>
      </c>
      <c r="AD141" s="79" t="str">
        <f t="shared" si="16"/>
        <v/>
      </c>
      <c r="AE141" s="79" t="str">
        <f t="shared" ref="AE141:AE204" si="22">IFERROR(IF($B141="","",IF($D$1="PAP",($E141*$AE$11),IF($D$1="PAN",($F141*$AE$11),IF($D$1="KONVERT",$G141*$AE$11)))),0)</f>
        <v/>
      </c>
      <c r="AF141" s="79" t="str">
        <f t="shared" si="17"/>
        <v/>
      </c>
      <c r="AG141" s="79">
        <f t="shared" si="18"/>
        <v>0</v>
      </c>
      <c r="AH141" s="79" t="str">
        <f t="shared" ref="AH141:AH204" si="23">IF($B141="","",IF($D$1="PAP",($E141),IF($D$1="PAN",($F141),IF($D$1="KONVERT",$G141))))</f>
        <v/>
      </c>
      <c r="AI141" s="79" t="str">
        <f t="shared" si="19"/>
        <v/>
      </c>
      <c r="AJ141" s="79">
        <f>IFERROR(SUM(AG141:AI141)/DATAINFO!$N$7,0)</f>
        <v>0</v>
      </c>
      <c r="AK141" s="155" t="str">
        <f t="shared" si="20"/>
        <v/>
      </c>
    </row>
    <row r="142" spans="1:37" ht="20.100000000000001" hidden="1" customHeight="1" x14ac:dyDescent="0.2">
      <c r="A142" s="67" t="str">
        <f>IF(B142="","",COUNTA($B$12:$B142))</f>
        <v/>
      </c>
      <c r="B142" s="147" t="str">
        <f>IF(Konversi!C141="","",Konversi!C141)</f>
        <v/>
      </c>
      <c r="C142" s="219" t="str">
        <f>IF(Konversi!B141="","",Konversi!B141)</f>
        <v/>
      </c>
      <c r="D142" s="219"/>
      <c r="E142" s="79" t="str">
        <f>SEKOR!BP133</f>
        <v/>
      </c>
      <c r="F142" s="79" t="str">
        <f>SEKOR!BQ133</f>
        <v/>
      </c>
      <c r="G142" s="79" t="str">
        <f>SEKOR!BT133</f>
        <v/>
      </c>
      <c r="H142" s="79" t="str">
        <f>IF(DATA!$F$18="YA",IF(SEKOR!BR133=0,"",SEKOR!BR133),"")</f>
        <v/>
      </c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>
        <f t="shared" si="21"/>
        <v>0</v>
      </c>
      <c r="AD142" s="79" t="str">
        <f t="shared" si="16"/>
        <v/>
      </c>
      <c r="AE142" s="79" t="str">
        <f t="shared" si="22"/>
        <v/>
      </c>
      <c r="AF142" s="79" t="str">
        <f t="shared" si="17"/>
        <v/>
      </c>
      <c r="AG142" s="79">
        <f t="shared" si="18"/>
        <v>0</v>
      </c>
      <c r="AH142" s="79" t="str">
        <f t="shared" si="23"/>
        <v/>
      </c>
      <c r="AI142" s="79" t="str">
        <f t="shared" si="19"/>
        <v/>
      </c>
      <c r="AJ142" s="79">
        <f>IFERROR(SUM(AG142:AI142)/DATAINFO!$N$7,0)</f>
        <v>0</v>
      </c>
      <c r="AK142" s="155" t="str">
        <f t="shared" si="20"/>
        <v/>
      </c>
    </row>
    <row r="143" spans="1:37" ht="20.100000000000001" hidden="1" customHeight="1" x14ac:dyDescent="0.2">
      <c r="A143" s="67" t="str">
        <f>IF(B143="","",COUNTA($B$12:$B143))</f>
        <v/>
      </c>
      <c r="B143" s="147" t="str">
        <f>IF(Konversi!C142="","",Konversi!C142)</f>
        <v/>
      </c>
      <c r="C143" s="219" t="str">
        <f>IF(Konversi!B142="","",Konversi!B142)</f>
        <v/>
      </c>
      <c r="D143" s="219"/>
      <c r="E143" s="79" t="str">
        <f>SEKOR!BP134</f>
        <v/>
      </c>
      <c r="F143" s="79" t="str">
        <f>SEKOR!BQ134</f>
        <v/>
      </c>
      <c r="G143" s="79" t="str">
        <f>SEKOR!BT134</f>
        <v/>
      </c>
      <c r="H143" s="79" t="str">
        <f>IF(DATA!$F$18="YA",IF(SEKOR!BR134=0,"",SEKOR!BR134),"")</f>
        <v/>
      </c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>
        <f t="shared" si="21"/>
        <v>0</v>
      </c>
      <c r="AD143" s="79" t="str">
        <f t="shared" si="16"/>
        <v/>
      </c>
      <c r="AE143" s="79" t="str">
        <f t="shared" si="22"/>
        <v/>
      </c>
      <c r="AF143" s="79" t="str">
        <f t="shared" si="17"/>
        <v/>
      </c>
      <c r="AG143" s="79">
        <f t="shared" si="18"/>
        <v>0</v>
      </c>
      <c r="AH143" s="79" t="str">
        <f t="shared" si="23"/>
        <v/>
      </c>
      <c r="AI143" s="79" t="str">
        <f t="shared" si="19"/>
        <v/>
      </c>
      <c r="AJ143" s="79">
        <f>IFERROR(SUM(AG143:AI143)/DATAINFO!$N$7,0)</f>
        <v>0</v>
      </c>
      <c r="AK143" s="155" t="str">
        <f t="shared" si="20"/>
        <v/>
      </c>
    </row>
    <row r="144" spans="1:37" ht="20.100000000000001" hidden="1" customHeight="1" x14ac:dyDescent="0.2">
      <c r="A144" s="67" t="str">
        <f>IF(B144="","",COUNTA($B$12:$B144))</f>
        <v/>
      </c>
      <c r="B144" s="147" t="str">
        <f>IF(Konversi!C143="","",Konversi!C143)</f>
        <v/>
      </c>
      <c r="C144" s="219" t="str">
        <f>IF(Konversi!B143="","",Konversi!B143)</f>
        <v/>
      </c>
      <c r="D144" s="219"/>
      <c r="E144" s="79" t="str">
        <f>SEKOR!BP135</f>
        <v/>
      </c>
      <c r="F144" s="79" t="str">
        <f>SEKOR!BQ135</f>
        <v/>
      </c>
      <c r="G144" s="79" t="str">
        <f>SEKOR!BT135</f>
        <v/>
      </c>
      <c r="H144" s="79" t="str">
        <f>IF(DATA!$F$18="YA",IF(SEKOR!BR135=0,"",SEKOR!BR135),"")</f>
        <v/>
      </c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>
        <f t="shared" si="21"/>
        <v>0</v>
      </c>
      <c r="AD144" s="79" t="str">
        <f t="shared" si="16"/>
        <v/>
      </c>
      <c r="AE144" s="79" t="str">
        <f t="shared" si="22"/>
        <v/>
      </c>
      <c r="AF144" s="79" t="str">
        <f t="shared" si="17"/>
        <v/>
      </c>
      <c r="AG144" s="79">
        <f t="shared" si="18"/>
        <v>0</v>
      </c>
      <c r="AH144" s="79" t="str">
        <f t="shared" si="23"/>
        <v/>
      </c>
      <c r="AI144" s="79" t="str">
        <f t="shared" si="19"/>
        <v/>
      </c>
      <c r="AJ144" s="79">
        <f>IFERROR(SUM(AG144:AI144)/DATAINFO!$N$7,0)</f>
        <v>0</v>
      </c>
      <c r="AK144" s="155" t="str">
        <f t="shared" si="20"/>
        <v/>
      </c>
    </row>
    <row r="145" spans="1:37" ht="20.100000000000001" hidden="1" customHeight="1" x14ac:dyDescent="0.2">
      <c r="A145" s="67" t="str">
        <f>IF(B145="","",COUNTA($B$12:$B145))</f>
        <v/>
      </c>
      <c r="B145" s="147" t="str">
        <f>IF(Konversi!C144="","",Konversi!C144)</f>
        <v/>
      </c>
      <c r="C145" s="219" t="str">
        <f>IF(Konversi!B144="","",Konversi!B144)</f>
        <v/>
      </c>
      <c r="D145" s="219"/>
      <c r="E145" s="79" t="str">
        <f>SEKOR!BP136</f>
        <v/>
      </c>
      <c r="F145" s="79" t="str">
        <f>SEKOR!BQ136</f>
        <v/>
      </c>
      <c r="G145" s="79" t="str">
        <f>SEKOR!BT136</f>
        <v/>
      </c>
      <c r="H145" s="79" t="str">
        <f>IF(DATA!$F$18="YA",IF(SEKOR!BR136=0,"",SEKOR!BR136),"")</f>
        <v/>
      </c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>
        <f t="shared" si="21"/>
        <v>0</v>
      </c>
      <c r="AD145" s="79" t="str">
        <f t="shared" si="16"/>
        <v/>
      </c>
      <c r="AE145" s="79" t="str">
        <f t="shared" si="22"/>
        <v/>
      </c>
      <c r="AF145" s="79" t="str">
        <f t="shared" si="17"/>
        <v/>
      </c>
      <c r="AG145" s="79">
        <f t="shared" si="18"/>
        <v>0</v>
      </c>
      <c r="AH145" s="79" t="str">
        <f t="shared" si="23"/>
        <v/>
      </c>
      <c r="AI145" s="79" t="str">
        <f t="shared" si="19"/>
        <v/>
      </c>
      <c r="AJ145" s="79">
        <f>IFERROR(SUM(AG145:AI145)/DATAINFO!$N$7,0)</f>
        <v>0</v>
      </c>
      <c r="AK145" s="155" t="str">
        <f t="shared" si="20"/>
        <v/>
      </c>
    </row>
    <row r="146" spans="1:37" ht="20.100000000000001" hidden="1" customHeight="1" x14ac:dyDescent="0.2">
      <c r="A146" s="67" t="str">
        <f>IF(B146="","",COUNTA($B$12:$B146))</f>
        <v/>
      </c>
      <c r="B146" s="147" t="str">
        <f>IF(Konversi!C145="","",Konversi!C145)</f>
        <v/>
      </c>
      <c r="C146" s="219" t="str">
        <f>IF(Konversi!B145="","",Konversi!B145)</f>
        <v/>
      </c>
      <c r="D146" s="219"/>
      <c r="E146" s="79" t="str">
        <f>SEKOR!BP137</f>
        <v/>
      </c>
      <c r="F146" s="79" t="str">
        <f>SEKOR!BQ137</f>
        <v/>
      </c>
      <c r="G146" s="79" t="str">
        <f>SEKOR!BT137</f>
        <v/>
      </c>
      <c r="H146" s="79" t="str">
        <f>IF(DATA!$F$18="YA",IF(SEKOR!BR137=0,"",SEKOR!BR137),"")</f>
        <v/>
      </c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>
        <f t="shared" si="21"/>
        <v>0</v>
      </c>
      <c r="AD146" s="79" t="str">
        <f t="shared" si="16"/>
        <v/>
      </c>
      <c r="AE146" s="79" t="str">
        <f t="shared" si="22"/>
        <v/>
      </c>
      <c r="AF146" s="79" t="str">
        <f t="shared" si="17"/>
        <v/>
      </c>
      <c r="AG146" s="79">
        <f t="shared" si="18"/>
        <v>0</v>
      </c>
      <c r="AH146" s="79" t="str">
        <f t="shared" si="23"/>
        <v/>
      </c>
      <c r="AI146" s="79" t="str">
        <f t="shared" si="19"/>
        <v/>
      </c>
      <c r="AJ146" s="79">
        <f>IFERROR(SUM(AG146:AI146)/DATAINFO!$N$7,0)</f>
        <v>0</v>
      </c>
      <c r="AK146" s="155" t="str">
        <f t="shared" si="20"/>
        <v/>
      </c>
    </row>
    <row r="147" spans="1:37" ht="20.100000000000001" hidden="1" customHeight="1" x14ac:dyDescent="0.2">
      <c r="A147" s="67" t="str">
        <f>IF(B147="","",COUNTA($B$12:$B147))</f>
        <v/>
      </c>
      <c r="B147" s="147" t="str">
        <f>IF(Konversi!C146="","",Konversi!C146)</f>
        <v/>
      </c>
      <c r="C147" s="219" t="str">
        <f>IF(Konversi!B146="","",Konversi!B146)</f>
        <v/>
      </c>
      <c r="D147" s="219"/>
      <c r="E147" s="79" t="str">
        <f>SEKOR!BP138</f>
        <v/>
      </c>
      <c r="F147" s="79" t="str">
        <f>SEKOR!BQ138</f>
        <v/>
      </c>
      <c r="G147" s="79" t="str">
        <f>SEKOR!BT138</f>
        <v/>
      </c>
      <c r="H147" s="79" t="str">
        <f>IF(DATA!$F$18="YA",IF(SEKOR!BR138=0,"",SEKOR!BR138),"")</f>
        <v/>
      </c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>
        <f t="shared" si="21"/>
        <v>0</v>
      </c>
      <c r="AD147" s="79" t="str">
        <f t="shared" si="16"/>
        <v/>
      </c>
      <c r="AE147" s="79" t="str">
        <f t="shared" si="22"/>
        <v/>
      </c>
      <c r="AF147" s="79" t="str">
        <f t="shared" si="17"/>
        <v/>
      </c>
      <c r="AG147" s="79">
        <f t="shared" si="18"/>
        <v>0</v>
      </c>
      <c r="AH147" s="79" t="str">
        <f t="shared" si="23"/>
        <v/>
      </c>
      <c r="AI147" s="79" t="str">
        <f t="shared" si="19"/>
        <v/>
      </c>
      <c r="AJ147" s="79">
        <f>IFERROR(SUM(AG147:AI147)/DATAINFO!$N$7,0)</f>
        <v>0</v>
      </c>
      <c r="AK147" s="155" t="str">
        <f t="shared" si="20"/>
        <v/>
      </c>
    </row>
    <row r="148" spans="1:37" ht="20.100000000000001" hidden="1" customHeight="1" x14ac:dyDescent="0.2">
      <c r="A148" s="67" t="str">
        <f>IF(B148="","",COUNTA($B$12:$B148))</f>
        <v/>
      </c>
      <c r="B148" s="147" t="str">
        <f>IF(Konversi!C147="","",Konversi!C147)</f>
        <v/>
      </c>
      <c r="C148" s="219" t="str">
        <f>IF(Konversi!B147="","",Konversi!B147)</f>
        <v/>
      </c>
      <c r="D148" s="219"/>
      <c r="E148" s="79" t="str">
        <f>SEKOR!BP139</f>
        <v/>
      </c>
      <c r="F148" s="79" t="str">
        <f>SEKOR!BQ139</f>
        <v/>
      </c>
      <c r="G148" s="79" t="str">
        <f>SEKOR!BT139</f>
        <v/>
      </c>
      <c r="H148" s="79" t="str">
        <f>IF(DATA!$F$18="YA",IF(SEKOR!BR139=0,"",SEKOR!BR139),"")</f>
        <v/>
      </c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>
        <f t="shared" si="21"/>
        <v>0</v>
      </c>
      <c r="AD148" s="79" t="str">
        <f t="shared" si="16"/>
        <v/>
      </c>
      <c r="AE148" s="79" t="str">
        <f t="shared" si="22"/>
        <v/>
      </c>
      <c r="AF148" s="79" t="str">
        <f t="shared" si="17"/>
        <v/>
      </c>
      <c r="AG148" s="79">
        <f t="shared" si="18"/>
        <v>0</v>
      </c>
      <c r="AH148" s="79" t="str">
        <f t="shared" si="23"/>
        <v/>
      </c>
      <c r="AI148" s="79" t="str">
        <f t="shared" si="19"/>
        <v/>
      </c>
      <c r="AJ148" s="79">
        <f>IFERROR(SUM(AG148:AI148)/DATAINFO!$N$7,0)</f>
        <v>0</v>
      </c>
      <c r="AK148" s="155" t="str">
        <f t="shared" si="20"/>
        <v/>
      </c>
    </row>
    <row r="149" spans="1:37" ht="20.100000000000001" hidden="1" customHeight="1" x14ac:dyDescent="0.2">
      <c r="A149" s="67" t="str">
        <f>IF(B149="","",COUNTA($B$12:$B149))</f>
        <v/>
      </c>
      <c r="B149" s="147" t="str">
        <f>IF(Konversi!C148="","",Konversi!C148)</f>
        <v/>
      </c>
      <c r="C149" s="219" t="str">
        <f>IF(Konversi!B148="","",Konversi!B148)</f>
        <v/>
      </c>
      <c r="D149" s="219"/>
      <c r="E149" s="79" t="str">
        <f>SEKOR!BP140</f>
        <v/>
      </c>
      <c r="F149" s="79" t="str">
        <f>SEKOR!BQ140</f>
        <v/>
      </c>
      <c r="G149" s="79" t="str">
        <f>SEKOR!BT140</f>
        <v/>
      </c>
      <c r="H149" s="79" t="str">
        <f>IF(DATA!$F$18="YA",IF(SEKOR!BR140=0,"",SEKOR!BR140),"")</f>
        <v/>
      </c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>
        <f t="shared" si="21"/>
        <v>0</v>
      </c>
      <c r="AD149" s="79" t="str">
        <f t="shared" si="16"/>
        <v/>
      </c>
      <c r="AE149" s="79" t="str">
        <f t="shared" si="22"/>
        <v/>
      </c>
      <c r="AF149" s="79" t="str">
        <f t="shared" si="17"/>
        <v/>
      </c>
      <c r="AG149" s="79">
        <f t="shared" si="18"/>
        <v>0</v>
      </c>
      <c r="AH149" s="79" t="str">
        <f t="shared" si="23"/>
        <v/>
      </c>
      <c r="AI149" s="79" t="str">
        <f t="shared" si="19"/>
        <v/>
      </c>
      <c r="AJ149" s="79">
        <f>IFERROR(SUM(AG149:AI149)/DATAINFO!$N$7,0)</f>
        <v>0</v>
      </c>
      <c r="AK149" s="155" t="str">
        <f t="shared" si="20"/>
        <v/>
      </c>
    </row>
    <row r="150" spans="1:37" ht="20.100000000000001" hidden="1" customHeight="1" x14ac:dyDescent="0.2">
      <c r="A150" s="67" t="str">
        <f>IF(B150="","",COUNTA($B$12:$B150))</f>
        <v/>
      </c>
      <c r="B150" s="147" t="str">
        <f>IF(Konversi!C149="","",Konversi!C149)</f>
        <v/>
      </c>
      <c r="C150" s="219" t="str">
        <f>IF(Konversi!B149="","",Konversi!B149)</f>
        <v/>
      </c>
      <c r="D150" s="219"/>
      <c r="E150" s="79" t="str">
        <f>SEKOR!BP141</f>
        <v/>
      </c>
      <c r="F150" s="79" t="str">
        <f>SEKOR!BQ141</f>
        <v/>
      </c>
      <c r="G150" s="79" t="str">
        <f>SEKOR!BT141</f>
        <v/>
      </c>
      <c r="H150" s="79" t="str">
        <f>IF(DATA!$F$18="YA",IF(SEKOR!BR141=0,"",SEKOR!BR141),"")</f>
        <v/>
      </c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>
        <f t="shared" si="21"/>
        <v>0</v>
      </c>
      <c r="AD150" s="79" t="str">
        <f t="shared" si="16"/>
        <v/>
      </c>
      <c r="AE150" s="79" t="str">
        <f t="shared" si="22"/>
        <v/>
      </c>
      <c r="AF150" s="79" t="str">
        <f t="shared" si="17"/>
        <v/>
      </c>
      <c r="AG150" s="79">
        <f t="shared" si="18"/>
        <v>0</v>
      </c>
      <c r="AH150" s="79" t="str">
        <f t="shared" si="23"/>
        <v/>
      </c>
      <c r="AI150" s="79" t="str">
        <f t="shared" si="19"/>
        <v/>
      </c>
      <c r="AJ150" s="79">
        <f>IFERROR(SUM(AG150:AI150)/DATAINFO!$N$7,0)</f>
        <v>0</v>
      </c>
      <c r="AK150" s="155" t="str">
        <f t="shared" si="20"/>
        <v/>
      </c>
    </row>
    <row r="151" spans="1:37" ht="20.100000000000001" hidden="1" customHeight="1" x14ac:dyDescent="0.2">
      <c r="A151" s="67" t="str">
        <f>IF(B151="","",COUNTA($B$12:$B151))</f>
        <v/>
      </c>
      <c r="B151" s="147" t="str">
        <f>IF(Konversi!C150="","",Konversi!C150)</f>
        <v/>
      </c>
      <c r="C151" s="219" t="str">
        <f>IF(Konversi!B150="","",Konversi!B150)</f>
        <v/>
      </c>
      <c r="D151" s="219"/>
      <c r="E151" s="79" t="str">
        <f>SEKOR!BP142</f>
        <v/>
      </c>
      <c r="F151" s="79" t="str">
        <f>SEKOR!BQ142</f>
        <v/>
      </c>
      <c r="G151" s="79" t="str">
        <f>SEKOR!BT142</f>
        <v/>
      </c>
      <c r="H151" s="79" t="str">
        <f>IF(DATA!$F$18="YA",IF(SEKOR!BR142=0,"",SEKOR!BR142),"")</f>
        <v/>
      </c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>
        <f t="shared" si="21"/>
        <v>0</v>
      </c>
      <c r="AD151" s="79" t="str">
        <f t="shared" si="16"/>
        <v/>
      </c>
      <c r="AE151" s="79" t="str">
        <f t="shared" si="22"/>
        <v/>
      </c>
      <c r="AF151" s="79" t="str">
        <f t="shared" si="17"/>
        <v/>
      </c>
      <c r="AG151" s="79">
        <f t="shared" si="18"/>
        <v>0</v>
      </c>
      <c r="AH151" s="79" t="str">
        <f t="shared" si="23"/>
        <v/>
      </c>
      <c r="AI151" s="79" t="str">
        <f t="shared" si="19"/>
        <v/>
      </c>
      <c r="AJ151" s="79">
        <f>IFERROR(SUM(AG151:AI151)/DATAINFO!$N$7,0)</f>
        <v>0</v>
      </c>
      <c r="AK151" s="155" t="str">
        <f t="shared" si="20"/>
        <v/>
      </c>
    </row>
    <row r="152" spans="1:37" ht="20.100000000000001" hidden="1" customHeight="1" x14ac:dyDescent="0.2">
      <c r="A152" s="67" t="str">
        <f>IF(B152="","",COUNTA($B$12:$B152))</f>
        <v/>
      </c>
      <c r="B152" s="147" t="str">
        <f>IF(Konversi!C151="","",Konversi!C151)</f>
        <v/>
      </c>
      <c r="C152" s="219" t="str">
        <f>IF(Konversi!B151="","",Konversi!B151)</f>
        <v/>
      </c>
      <c r="D152" s="219"/>
      <c r="E152" s="79" t="str">
        <f>SEKOR!BP143</f>
        <v/>
      </c>
      <c r="F152" s="79" t="str">
        <f>SEKOR!BQ143</f>
        <v/>
      </c>
      <c r="G152" s="79" t="str">
        <f>SEKOR!BT143</f>
        <v/>
      </c>
      <c r="H152" s="79" t="str">
        <f>IF(DATA!$F$18="YA",IF(SEKOR!BR143=0,"",SEKOR!BR143),"")</f>
        <v/>
      </c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>
        <f t="shared" si="21"/>
        <v>0</v>
      </c>
      <c r="AD152" s="79" t="str">
        <f t="shared" si="16"/>
        <v/>
      </c>
      <c r="AE152" s="79" t="str">
        <f t="shared" si="22"/>
        <v/>
      </c>
      <c r="AF152" s="79" t="str">
        <f t="shared" si="17"/>
        <v/>
      </c>
      <c r="AG152" s="79">
        <f t="shared" si="18"/>
        <v>0</v>
      </c>
      <c r="AH152" s="79" t="str">
        <f t="shared" si="23"/>
        <v/>
      </c>
      <c r="AI152" s="79" t="str">
        <f t="shared" si="19"/>
        <v/>
      </c>
      <c r="AJ152" s="79">
        <f>IFERROR(SUM(AG152:AI152)/DATAINFO!$N$7,0)</f>
        <v>0</v>
      </c>
      <c r="AK152" s="155" t="str">
        <f t="shared" si="20"/>
        <v/>
      </c>
    </row>
    <row r="153" spans="1:37" ht="20.100000000000001" hidden="1" customHeight="1" x14ac:dyDescent="0.2">
      <c r="A153" s="67" t="str">
        <f>IF(B153="","",COUNTA($B$12:$B153))</f>
        <v/>
      </c>
      <c r="B153" s="147" t="str">
        <f>IF(Konversi!C152="","",Konversi!C152)</f>
        <v/>
      </c>
      <c r="C153" s="219" t="str">
        <f>IF(Konversi!B152="","",Konversi!B152)</f>
        <v/>
      </c>
      <c r="D153" s="219"/>
      <c r="E153" s="79" t="str">
        <f>SEKOR!BP144</f>
        <v/>
      </c>
      <c r="F153" s="79" t="str">
        <f>SEKOR!BQ144</f>
        <v/>
      </c>
      <c r="G153" s="79" t="str">
        <f>SEKOR!BT144</f>
        <v/>
      </c>
      <c r="H153" s="79" t="str">
        <f>IF(DATA!$F$18="YA",IF(SEKOR!BR144=0,"",SEKOR!BR144),"")</f>
        <v/>
      </c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>
        <f t="shared" si="21"/>
        <v>0</v>
      </c>
      <c r="AD153" s="79" t="str">
        <f t="shared" si="16"/>
        <v/>
      </c>
      <c r="AE153" s="79" t="str">
        <f t="shared" si="22"/>
        <v/>
      </c>
      <c r="AF153" s="79" t="str">
        <f t="shared" si="17"/>
        <v/>
      </c>
      <c r="AG153" s="79">
        <f t="shared" si="18"/>
        <v>0</v>
      </c>
      <c r="AH153" s="79" t="str">
        <f t="shared" si="23"/>
        <v/>
      </c>
      <c r="AI153" s="79" t="str">
        <f t="shared" si="19"/>
        <v/>
      </c>
      <c r="AJ153" s="79">
        <f>IFERROR(SUM(AG153:AI153)/DATAINFO!$N$7,0)</f>
        <v>0</v>
      </c>
      <c r="AK153" s="155" t="str">
        <f t="shared" si="20"/>
        <v/>
      </c>
    </row>
    <row r="154" spans="1:37" ht="20.100000000000001" hidden="1" customHeight="1" x14ac:dyDescent="0.2">
      <c r="A154" s="67" t="str">
        <f>IF(B154="","",COUNTA($B$12:$B154))</f>
        <v/>
      </c>
      <c r="B154" s="147" t="str">
        <f>IF(Konversi!C153="","",Konversi!C153)</f>
        <v/>
      </c>
      <c r="C154" s="219" t="str">
        <f>IF(Konversi!B153="","",Konversi!B153)</f>
        <v/>
      </c>
      <c r="D154" s="219"/>
      <c r="E154" s="79" t="str">
        <f>SEKOR!BP145</f>
        <v/>
      </c>
      <c r="F154" s="79" t="str">
        <f>SEKOR!BQ145</f>
        <v/>
      </c>
      <c r="G154" s="79" t="str">
        <f>SEKOR!BT145</f>
        <v/>
      </c>
      <c r="H154" s="79" t="str">
        <f>IF(DATA!$F$18="YA",IF(SEKOR!BR145=0,"",SEKOR!BR145),"")</f>
        <v/>
      </c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>
        <f t="shared" si="21"/>
        <v>0</v>
      </c>
      <c r="AD154" s="79" t="str">
        <f t="shared" si="16"/>
        <v/>
      </c>
      <c r="AE154" s="79" t="str">
        <f t="shared" si="22"/>
        <v/>
      </c>
      <c r="AF154" s="79" t="str">
        <f t="shared" si="17"/>
        <v/>
      </c>
      <c r="AG154" s="79">
        <f t="shared" si="18"/>
        <v>0</v>
      </c>
      <c r="AH154" s="79" t="str">
        <f t="shared" si="23"/>
        <v/>
      </c>
      <c r="AI154" s="79" t="str">
        <f t="shared" si="19"/>
        <v/>
      </c>
      <c r="AJ154" s="79">
        <f>IFERROR(SUM(AG154:AI154)/DATAINFO!$N$7,0)</f>
        <v>0</v>
      </c>
      <c r="AK154" s="155" t="str">
        <f t="shared" si="20"/>
        <v/>
      </c>
    </row>
    <row r="155" spans="1:37" ht="20.100000000000001" hidden="1" customHeight="1" x14ac:dyDescent="0.2">
      <c r="A155" s="67" t="str">
        <f>IF(B155="","",COUNTA($B$12:$B155))</f>
        <v/>
      </c>
      <c r="B155" s="147" t="str">
        <f>IF(Konversi!C154="","",Konversi!C154)</f>
        <v/>
      </c>
      <c r="C155" s="219" t="str">
        <f>IF(Konversi!B154="","",Konversi!B154)</f>
        <v/>
      </c>
      <c r="D155" s="219"/>
      <c r="E155" s="79" t="str">
        <f>SEKOR!BP146</f>
        <v/>
      </c>
      <c r="F155" s="79" t="str">
        <f>SEKOR!BQ146</f>
        <v/>
      </c>
      <c r="G155" s="79" t="str">
        <f>SEKOR!BT146</f>
        <v/>
      </c>
      <c r="H155" s="79" t="str">
        <f>IF(DATA!$F$18="YA",IF(SEKOR!BR146=0,"",SEKOR!BR146),"")</f>
        <v/>
      </c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>
        <f t="shared" si="21"/>
        <v>0</v>
      </c>
      <c r="AD155" s="79" t="str">
        <f t="shared" si="16"/>
        <v/>
      </c>
      <c r="AE155" s="79" t="str">
        <f t="shared" si="22"/>
        <v/>
      </c>
      <c r="AF155" s="79" t="str">
        <f t="shared" si="17"/>
        <v/>
      </c>
      <c r="AG155" s="79">
        <f t="shared" si="18"/>
        <v>0</v>
      </c>
      <c r="AH155" s="79" t="str">
        <f t="shared" si="23"/>
        <v/>
      </c>
      <c r="AI155" s="79" t="str">
        <f t="shared" si="19"/>
        <v/>
      </c>
      <c r="AJ155" s="79">
        <f>IFERROR(SUM(AG155:AI155)/DATAINFO!$N$7,0)</f>
        <v>0</v>
      </c>
      <c r="AK155" s="155" t="str">
        <f t="shared" si="20"/>
        <v/>
      </c>
    </row>
    <row r="156" spans="1:37" ht="20.100000000000001" hidden="1" customHeight="1" x14ac:dyDescent="0.2">
      <c r="A156" s="67" t="str">
        <f>IF(B156="","",COUNTA($B$12:$B156))</f>
        <v/>
      </c>
      <c r="B156" s="147" t="str">
        <f>IF(Konversi!C155="","",Konversi!C155)</f>
        <v/>
      </c>
      <c r="C156" s="219" t="str">
        <f>IF(Konversi!B155="","",Konversi!B155)</f>
        <v/>
      </c>
      <c r="D156" s="219"/>
      <c r="E156" s="79" t="str">
        <f>SEKOR!BP147</f>
        <v/>
      </c>
      <c r="F156" s="79" t="str">
        <f>SEKOR!BQ147</f>
        <v/>
      </c>
      <c r="G156" s="79" t="str">
        <f>SEKOR!BT147</f>
        <v/>
      </c>
      <c r="H156" s="79" t="str">
        <f>IF(DATA!$F$18="YA",IF(SEKOR!BR147=0,"",SEKOR!BR147),"")</f>
        <v/>
      </c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>
        <f t="shared" si="21"/>
        <v>0</v>
      </c>
      <c r="AD156" s="79" t="str">
        <f t="shared" si="16"/>
        <v/>
      </c>
      <c r="AE156" s="79" t="str">
        <f t="shared" si="22"/>
        <v/>
      </c>
      <c r="AF156" s="79" t="str">
        <f t="shared" si="17"/>
        <v/>
      </c>
      <c r="AG156" s="79">
        <f t="shared" si="18"/>
        <v>0</v>
      </c>
      <c r="AH156" s="79" t="str">
        <f t="shared" si="23"/>
        <v/>
      </c>
      <c r="AI156" s="79" t="str">
        <f t="shared" si="19"/>
        <v/>
      </c>
      <c r="AJ156" s="79">
        <f>IFERROR(SUM(AG156:AI156)/DATAINFO!$N$7,0)</f>
        <v>0</v>
      </c>
      <c r="AK156" s="155" t="str">
        <f t="shared" si="20"/>
        <v/>
      </c>
    </row>
    <row r="157" spans="1:37" ht="20.100000000000001" hidden="1" customHeight="1" x14ac:dyDescent="0.2">
      <c r="A157" s="67" t="str">
        <f>IF(B157="","",COUNTA($B$12:$B157))</f>
        <v/>
      </c>
      <c r="B157" s="147" t="str">
        <f>IF(Konversi!C156="","",Konversi!C156)</f>
        <v/>
      </c>
      <c r="C157" s="219" t="str">
        <f>IF(Konversi!B156="","",Konversi!B156)</f>
        <v/>
      </c>
      <c r="D157" s="219"/>
      <c r="E157" s="79" t="str">
        <f>SEKOR!BP148</f>
        <v/>
      </c>
      <c r="F157" s="79" t="str">
        <f>SEKOR!BQ148</f>
        <v/>
      </c>
      <c r="G157" s="79" t="str">
        <f>SEKOR!BT148</f>
        <v/>
      </c>
      <c r="H157" s="79" t="str">
        <f>IF(DATA!$F$18="YA",IF(SEKOR!BR148=0,"",SEKOR!BR148),"")</f>
        <v/>
      </c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>
        <f t="shared" si="21"/>
        <v>0</v>
      </c>
      <c r="AD157" s="79" t="str">
        <f t="shared" si="16"/>
        <v/>
      </c>
      <c r="AE157" s="79" t="str">
        <f t="shared" si="22"/>
        <v/>
      </c>
      <c r="AF157" s="79" t="str">
        <f t="shared" si="17"/>
        <v/>
      </c>
      <c r="AG157" s="79">
        <f t="shared" si="18"/>
        <v>0</v>
      </c>
      <c r="AH157" s="79" t="str">
        <f t="shared" si="23"/>
        <v/>
      </c>
      <c r="AI157" s="79" t="str">
        <f t="shared" si="19"/>
        <v/>
      </c>
      <c r="AJ157" s="79">
        <f>IFERROR(SUM(AG157:AI157)/DATAINFO!$N$7,0)</f>
        <v>0</v>
      </c>
      <c r="AK157" s="155" t="str">
        <f t="shared" si="20"/>
        <v/>
      </c>
    </row>
    <row r="158" spans="1:37" ht="20.100000000000001" hidden="1" customHeight="1" x14ac:dyDescent="0.2">
      <c r="A158" s="67" t="str">
        <f>IF(B158="","",COUNTA($B$12:$B158))</f>
        <v/>
      </c>
      <c r="B158" s="147" t="str">
        <f>IF(Konversi!C157="","",Konversi!C157)</f>
        <v/>
      </c>
      <c r="C158" s="219" t="str">
        <f>IF(Konversi!B157="","",Konversi!B157)</f>
        <v/>
      </c>
      <c r="D158" s="219"/>
      <c r="E158" s="79" t="str">
        <f>SEKOR!BP149</f>
        <v/>
      </c>
      <c r="F158" s="79" t="str">
        <f>SEKOR!BQ149</f>
        <v/>
      </c>
      <c r="G158" s="79" t="str">
        <f>SEKOR!BT149</f>
        <v/>
      </c>
      <c r="H158" s="79" t="str">
        <f>IF(DATA!$F$18="YA",IF(SEKOR!BR149=0,"",SEKOR!BR149),"")</f>
        <v/>
      </c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>
        <f t="shared" si="21"/>
        <v>0</v>
      </c>
      <c r="AD158" s="79" t="str">
        <f t="shared" si="16"/>
        <v/>
      </c>
      <c r="AE158" s="79" t="str">
        <f t="shared" si="22"/>
        <v/>
      </c>
      <c r="AF158" s="79" t="str">
        <f t="shared" si="17"/>
        <v/>
      </c>
      <c r="AG158" s="79">
        <f t="shared" si="18"/>
        <v>0</v>
      </c>
      <c r="AH158" s="79" t="str">
        <f t="shared" si="23"/>
        <v/>
      </c>
      <c r="AI158" s="79" t="str">
        <f t="shared" si="19"/>
        <v/>
      </c>
      <c r="AJ158" s="79">
        <f>IFERROR(SUM(AG158:AI158)/DATAINFO!$N$7,0)</f>
        <v>0</v>
      </c>
      <c r="AK158" s="155" t="str">
        <f t="shared" si="20"/>
        <v/>
      </c>
    </row>
    <row r="159" spans="1:37" ht="20.100000000000001" hidden="1" customHeight="1" x14ac:dyDescent="0.2">
      <c r="A159" s="67" t="str">
        <f>IF(B159="","",COUNTA($B$12:$B159))</f>
        <v/>
      </c>
      <c r="B159" s="147" t="str">
        <f>IF(Konversi!C158="","",Konversi!C158)</f>
        <v/>
      </c>
      <c r="C159" s="219" t="str">
        <f>IF(Konversi!B158="","",Konversi!B158)</f>
        <v/>
      </c>
      <c r="D159" s="219"/>
      <c r="E159" s="79" t="str">
        <f>SEKOR!BP150</f>
        <v/>
      </c>
      <c r="F159" s="79" t="str">
        <f>SEKOR!BQ150</f>
        <v/>
      </c>
      <c r="G159" s="79" t="str">
        <f>SEKOR!BT150</f>
        <v/>
      </c>
      <c r="H159" s="79" t="str">
        <f>IF(DATA!$F$18="YA",IF(SEKOR!BR150=0,"",SEKOR!BR150),"")</f>
        <v/>
      </c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>
        <f t="shared" si="21"/>
        <v>0</v>
      </c>
      <c r="AD159" s="79" t="str">
        <f t="shared" si="16"/>
        <v/>
      </c>
      <c r="AE159" s="79" t="str">
        <f t="shared" si="22"/>
        <v/>
      </c>
      <c r="AF159" s="79" t="str">
        <f t="shared" si="17"/>
        <v/>
      </c>
      <c r="AG159" s="79">
        <f t="shared" si="18"/>
        <v>0</v>
      </c>
      <c r="AH159" s="79" t="str">
        <f t="shared" si="23"/>
        <v/>
      </c>
      <c r="AI159" s="79" t="str">
        <f t="shared" si="19"/>
        <v/>
      </c>
      <c r="AJ159" s="79">
        <f>IFERROR(SUM(AG159:AI159)/DATAINFO!$N$7,0)</f>
        <v>0</v>
      </c>
      <c r="AK159" s="155" t="str">
        <f t="shared" si="20"/>
        <v/>
      </c>
    </row>
    <row r="160" spans="1:37" ht="20.100000000000001" hidden="1" customHeight="1" x14ac:dyDescent="0.2">
      <c r="A160" s="67" t="str">
        <f>IF(B160="","",COUNTA($B$12:$B160))</f>
        <v/>
      </c>
      <c r="B160" s="147" t="str">
        <f>IF(Konversi!C159="","",Konversi!C159)</f>
        <v/>
      </c>
      <c r="C160" s="219" t="str">
        <f>IF(Konversi!B159="","",Konversi!B159)</f>
        <v/>
      </c>
      <c r="D160" s="219"/>
      <c r="E160" s="79" t="str">
        <f>SEKOR!BP151</f>
        <v/>
      </c>
      <c r="F160" s="79" t="str">
        <f>SEKOR!BQ151</f>
        <v/>
      </c>
      <c r="G160" s="79" t="str">
        <f>SEKOR!BT151</f>
        <v/>
      </c>
      <c r="H160" s="79" t="str">
        <f>IF(DATA!$F$18="YA",IF(SEKOR!BR151=0,"",SEKOR!BR151),"")</f>
        <v/>
      </c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>
        <f t="shared" si="21"/>
        <v>0</v>
      </c>
      <c r="AD160" s="79" t="str">
        <f t="shared" si="16"/>
        <v/>
      </c>
      <c r="AE160" s="79" t="str">
        <f t="shared" si="22"/>
        <v/>
      </c>
      <c r="AF160" s="79" t="str">
        <f t="shared" si="17"/>
        <v/>
      </c>
      <c r="AG160" s="79">
        <f t="shared" si="18"/>
        <v>0</v>
      </c>
      <c r="AH160" s="79" t="str">
        <f t="shared" si="23"/>
        <v/>
      </c>
      <c r="AI160" s="79" t="str">
        <f t="shared" si="19"/>
        <v/>
      </c>
      <c r="AJ160" s="79">
        <f>IFERROR(SUM(AG160:AI160)/DATAINFO!$N$7,0)</f>
        <v>0</v>
      </c>
      <c r="AK160" s="155" t="str">
        <f t="shared" si="20"/>
        <v/>
      </c>
    </row>
    <row r="161" spans="1:37" ht="20.100000000000001" hidden="1" customHeight="1" x14ac:dyDescent="0.2">
      <c r="A161" s="67" t="str">
        <f>IF(B161="","",COUNTA($B$12:$B161))</f>
        <v/>
      </c>
      <c r="B161" s="147" t="str">
        <f>IF(Konversi!C160="","",Konversi!C160)</f>
        <v/>
      </c>
      <c r="C161" s="219" t="str">
        <f>IF(Konversi!B160="","",Konversi!B160)</f>
        <v/>
      </c>
      <c r="D161" s="219"/>
      <c r="E161" s="79" t="str">
        <f>SEKOR!BP152</f>
        <v/>
      </c>
      <c r="F161" s="79" t="str">
        <f>SEKOR!BQ152</f>
        <v/>
      </c>
      <c r="G161" s="79" t="str">
        <f>SEKOR!BT152</f>
        <v/>
      </c>
      <c r="H161" s="79" t="str">
        <f>IF(DATA!$F$18="YA",IF(SEKOR!BR152=0,"",SEKOR!BR152),"")</f>
        <v/>
      </c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>
        <f t="shared" si="21"/>
        <v>0</v>
      </c>
      <c r="AD161" s="79" t="str">
        <f t="shared" si="16"/>
        <v/>
      </c>
      <c r="AE161" s="79" t="str">
        <f t="shared" si="22"/>
        <v/>
      </c>
      <c r="AF161" s="79" t="str">
        <f t="shared" si="17"/>
        <v/>
      </c>
      <c r="AG161" s="79">
        <f t="shared" si="18"/>
        <v>0</v>
      </c>
      <c r="AH161" s="79" t="str">
        <f t="shared" si="23"/>
        <v/>
      </c>
      <c r="AI161" s="79" t="str">
        <f t="shared" si="19"/>
        <v/>
      </c>
      <c r="AJ161" s="79">
        <f>IFERROR(SUM(AG161:AI161)/DATAINFO!$N$7,0)</f>
        <v>0</v>
      </c>
      <c r="AK161" s="155" t="str">
        <f t="shared" si="20"/>
        <v/>
      </c>
    </row>
    <row r="162" spans="1:37" ht="20.100000000000001" hidden="1" customHeight="1" x14ac:dyDescent="0.2">
      <c r="A162" s="67" t="str">
        <f>IF(B162="","",COUNTA($B$12:$B162))</f>
        <v/>
      </c>
      <c r="B162" s="147" t="str">
        <f>IF(Konversi!C161="","",Konversi!C161)</f>
        <v/>
      </c>
      <c r="C162" s="219" t="str">
        <f>IF(Konversi!B161="","",Konversi!B161)</f>
        <v/>
      </c>
      <c r="D162" s="219"/>
      <c r="E162" s="79" t="str">
        <f>SEKOR!BP153</f>
        <v/>
      </c>
      <c r="F162" s="79" t="str">
        <f>SEKOR!BQ153</f>
        <v/>
      </c>
      <c r="G162" s="79" t="str">
        <f>SEKOR!BT153</f>
        <v/>
      </c>
      <c r="H162" s="79" t="str">
        <f>IF(DATA!$F$18="YA",IF(SEKOR!BR153=0,"",SEKOR!BR153),"")</f>
        <v/>
      </c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>
        <f t="shared" si="21"/>
        <v>0</v>
      </c>
      <c r="AD162" s="79" t="str">
        <f t="shared" si="16"/>
        <v/>
      </c>
      <c r="AE162" s="79" t="str">
        <f t="shared" si="22"/>
        <v/>
      </c>
      <c r="AF162" s="79" t="str">
        <f t="shared" si="17"/>
        <v/>
      </c>
      <c r="AG162" s="79">
        <f t="shared" si="18"/>
        <v>0</v>
      </c>
      <c r="AH162" s="79" t="str">
        <f t="shared" si="23"/>
        <v/>
      </c>
      <c r="AI162" s="79" t="str">
        <f t="shared" si="19"/>
        <v/>
      </c>
      <c r="AJ162" s="79">
        <f>IFERROR(SUM(AG162:AI162)/DATAINFO!$N$7,0)</f>
        <v>0</v>
      </c>
      <c r="AK162" s="155" t="str">
        <f t="shared" si="20"/>
        <v/>
      </c>
    </row>
    <row r="163" spans="1:37" ht="20.100000000000001" hidden="1" customHeight="1" x14ac:dyDescent="0.2">
      <c r="A163" s="67" t="str">
        <f>IF(B163="","",COUNTA($B$12:$B163))</f>
        <v/>
      </c>
      <c r="B163" s="147" t="str">
        <f>IF(Konversi!C162="","",Konversi!C162)</f>
        <v/>
      </c>
      <c r="C163" s="219" t="str">
        <f>IF(Konversi!B162="","",Konversi!B162)</f>
        <v/>
      </c>
      <c r="D163" s="219"/>
      <c r="E163" s="79" t="str">
        <f>SEKOR!BP154</f>
        <v/>
      </c>
      <c r="F163" s="79" t="str">
        <f>SEKOR!BQ154</f>
        <v/>
      </c>
      <c r="G163" s="79" t="str">
        <f>SEKOR!BT154</f>
        <v/>
      </c>
      <c r="H163" s="79" t="str">
        <f>IF(DATA!$F$18="YA",IF(SEKOR!BR154=0,"",SEKOR!BR154),"")</f>
        <v/>
      </c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>
        <f t="shared" si="21"/>
        <v>0</v>
      </c>
      <c r="AD163" s="79" t="str">
        <f t="shared" si="16"/>
        <v/>
      </c>
      <c r="AE163" s="79" t="str">
        <f t="shared" si="22"/>
        <v/>
      </c>
      <c r="AF163" s="79" t="str">
        <f t="shared" si="17"/>
        <v/>
      </c>
      <c r="AG163" s="79">
        <f t="shared" si="18"/>
        <v>0</v>
      </c>
      <c r="AH163" s="79" t="str">
        <f t="shared" si="23"/>
        <v/>
      </c>
      <c r="AI163" s="79" t="str">
        <f t="shared" si="19"/>
        <v/>
      </c>
      <c r="AJ163" s="79">
        <f>IFERROR(SUM(AG163:AI163)/DATAINFO!$N$7,0)</f>
        <v>0</v>
      </c>
      <c r="AK163" s="155" t="str">
        <f t="shared" si="20"/>
        <v/>
      </c>
    </row>
    <row r="164" spans="1:37" ht="20.100000000000001" hidden="1" customHeight="1" x14ac:dyDescent="0.2">
      <c r="A164" s="67" t="str">
        <f>IF(B164="","",COUNTA($B$12:$B164))</f>
        <v/>
      </c>
      <c r="B164" s="147" t="str">
        <f>IF(Konversi!C163="","",Konversi!C163)</f>
        <v/>
      </c>
      <c r="C164" s="219" t="str">
        <f>IF(Konversi!B163="","",Konversi!B163)</f>
        <v/>
      </c>
      <c r="D164" s="219"/>
      <c r="E164" s="79" t="str">
        <f>SEKOR!BP155</f>
        <v/>
      </c>
      <c r="F164" s="79" t="str">
        <f>SEKOR!BQ155</f>
        <v/>
      </c>
      <c r="G164" s="79" t="str">
        <f>SEKOR!BT155</f>
        <v/>
      </c>
      <c r="H164" s="79" t="str">
        <f>IF(DATA!$F$18="YA",IF(SEKOR!BR155=0,"",SEKOR!BR155),"")</f>
        <v/>
      </c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>
        <f t="shared" si="21"/>
        <v>0</v>
      </c>
      <c r="AD164" s="79" t="str">
        <f t="shared" si="16"/>
        <v/>
      </c>
      <c r="AE164" s="79" t="str">
        <f t="shared" si="22"/>
        <v/>
      </c>
      <c r="AF164" s="79" t="str">
        <f t="shared" si="17"/>
        <v/>
      </c>
      <c r="AG164" s="79">
        <f t="shared" si="18"/>
        <v>0</v>
      </c>
      <c r="AH164" s="79" t="str">
        <f t="shared" si="23"/>
        <v/>
      </c>
      <c r="AI164" s="79" t="str">
        <f t="shared" si="19"/>
        <v/>
      </c>
      <c r="AJ164" s="79">
        <f>IFERROR(SUM(AG164:AI164)/DATAINFO!$N$7,0)</f>
        <v>0</v>
      </c>
      <c r="AK164" s="155" t="str">
        <f t="shared" si="20"/>
        <v/>
      </c>
    </row>
    <row r="165" spans="1:37" ht="20.100000000000001" hidden="1" customHeight="1" x14ac:dyDescent="0.2">
      <c r="A165" s="67" t="str">
        <f>IF(B165="","",COUNTA($B$12:$B165))</f>
        <v/>
      </c>
      <c r="B165" s="147" t="str">
        <f>IF(Konversi!C164="","",Konversi!C164)</f>
        <v/>
      </c>
      <c r="C165" s="219" t="str">
        <f>IF(Konversi!B164="","",Konversi!B164)</f>
        <v/>
      </c>
      <c r="D165" s="219"/>
      <c r="E165" s="79" t="str">
        <f>SEKOR!BP156</f>
        <v/>
      </c>
      <c r="F165" s="79" t="str">
        <f>SEKOR!BQ156</f>
        <v/>
      </c>
      <c r="G165" s="79" t="str">
        <f>SEKOR!BT156</f>
        <v/>
      </c>
      <c r="H165" s="79" t="str">
        <f>IF(DATA!$F$18="YA",IF(SEKOR!BR156=0,"",SEKOR!BR156),"")</f>
        <v/>
      </c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>
        <f t="shared" si="21"/>
        <v>0</v>
      </c>
      <c r="AD165" s="79" t="str">
        <f t="shared" si="16"/>
        <v/>
      </c>
      <c r="AE165" s="79" t="str">
        <f t="shared" si="22"/>
        <v/>
      </c>
      <c r="AF165" s="79" t="str">
        <f t="shared" si="17"/>
        <v/>
      </c>
      <c r="AG165" s="79">
        <f t="shared" si="18"/>
        <v>0</v>
      </c>
      <c r="AH165" s="79" t="str">
        <f t="shared" si="23"/>
        <v/>
      </c>
      <c r="AI165" s="79" t="str">
        <f t="shared" si="19"/>
        <v/>
      </c>
      <c r="AJ165" s="79">
        <f>IFERROR(SUM(AG165:AI165)/DATAINFO!$N$7,0)</f>
        <v>0</v>
      </c>
      <c r="AK165" s="155" t="str">
        <f t="shared" si="20"/>
        <v/>
      </c>
    </row>
    <row r="166" spans="1:37" ht="20.100000000000001" hidden="1" customHeight="1" x14ac:dyDescent="0.2">
      <c r="A166" s="67" t="str">
        <f>IF(B166="","",COUNTA($B$12:$B166))</f>
        <v/>
      </c>
      <c r="B166" s="147" t="str">
        <f>IF(Konversi!C165="","",Konversi!C165)</f>
        <v/>
      </c>
      <c r="C166" s="219" t="str">
        <f>IF(Konversi!B165="","",Konversi!B165)</f>
        <v/>
      </c>
      <c r="D166" s="219"/>
      <c r="E166" s="79" t="str">
        <f>SEKOR!BP157</f>
        <v/>
      </c>
      <c r="F166" s="79" t="str">
        <f>SEKOR!BQ157</f>
        <v/>
      </c>
      <c r="G166" s="79" t="str">
        <f>SEKOR!BT157</f>
        <v/>
      </c>
      <c r="H166" s="79" t="str">
        <f>IF(DATA!$F$18="YA",IF(SEKOR!BR157=0,"",SEKOR!BR157),"")</f>
        <v/>
      </c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>
        <f t="shared" si="21"/>
        <v>0</v>
      </c>
      <c r="AD166" s="79" t="str">
        <f t="shared" si="16"/>
        <v/>
      </c>
      <c r="AE166" s="79" t="str">
        <f t="shared" si="22"/>
        <v/>
      </c>
      <c r="AF166" s="79" t="str">
        <f t="shared" si="17"/>
        <v/>
      </c>
      <c r="AG166" s="79">
        <f t="shared" si="18"/>
        <v>0</v>
      </c>
      <c r="AH166" s="79" t="str">
        <f t="shared" si="23"/>
        <v/>
      </c>
      <c r="AI166" s="79" t="str">
        <f t="shared" si="19"/>
        <v/>
      </c>
      <c r="AJ166" s="79">
        <f>IFERROR(SUM(AG166:AI166)/DATAINFO!$N$7,0)</f>
        <v>0</v>
      </c>
      <c r="AK166" s="155" t="str">
        <f t="shared" si="20"/>
        <v/>
      </c>
    </row>
    <row r="167" spans="1:37" ht="20.100000000000001" hidden="1" customHeight="1" x14ac:dyDescent="0.2">
      <c r="A167" s="67" t="str">
        <f>IF(B167="","",COUNTA($B$12:$B167))</f>
        <v/>
      </c>
      <c r="B167" s="147" t="str">
        <f>IF(Konversi!C166="","",Konversi!C166)</f>
        <v/>
      </c>
      <c r="C167" s="219" t="str">
        <f>IF(Konversi!B166="","",Konversi!B166)</f>
        <v/>
      </c>
      <c r="D167" s="219"/>
      <c r="E167" s="79" t="str">
        <f>SEKOR!BP158</f>
        <v/>
      </c>
      <c r="F167" s="79" t="str">
        <f>SEKOR!BQ158</f>
        <v/>
      </c>
      <c r="G167" s="79" t="str">
        <f>SEKOR!BT158</f>
        <v/>
      </c>
      <c r="H167" s="79" t="str">
        <f>IF(DATA!$F$18="YA",IF(SEKOR!BR158=0,"",SEKOR!BR158),"")</f>
        <v/>
      </c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>
        <f t="shared" si="21"/>
        <v>0</v>
      </c>
      <c r="AD167" s="79" t="str">
        <f t="shared" si="16"/>
        <v/>
      </c>
      <c r="AE167" s="79" t="str">
        <f t="shared" si="22"/>
        <v/>
      </c>
      <c r="AF167" s="79" t="str">
        <f t="shared" si="17"/>
        <v/>
      </c>
      <c r="AG167" s="79">
        <f t="shared" si="18"/>
        <v>0</v>
      </c>
      <c r="AH167" s="79" t="str">
        <f t="shared" si="23"/>
        <v/>
      </c>
      <c r="AI167" s="79" t="str">
        <f t="shared" si="19"/>
        <v/>
      </c>
      <c r="AJ167" s="79">
        <f>IFERROR(SUM(AG167:AI167)/DATAINFO!$N$7,0)</f>
        <v>0</v>
      </c>
      <c r="AK167" s="155" t="str">
        <f t="shared" si="20"/>
        <v/>
      </c>
    </row>
    <row r="168" spans="1:37" ht="20.100000000000001" hidden="1" customHeight="1" x14ac:dyDescent="0.2">
      <c r="A168" s="67" t="str">
        <f>IF(B168="","",COUNTA($B$12:$B168))</f>
        <v/>
      </c>
      <c r="B168" s="147" t="str">
        <f>IF(Konversi!C167="","",Konversi!C167)</f>
        <v/>
      </c>
      <c r="C168" s="219" t="str">
        <f>IF(Konversi!B167="","",Konversi!B167)</f>
        <v/>
      </c>
      <c r="D168" s="219"/>
      <c r="E168" s="79" t="str">
        <f>SEKOR!BP159</f>
        <v/>
      </c>
      <c r="F168" s="79" t="str">
        <f>SEKOR!BQ159</f>
        <v/>
      </c>
      <c r="G168" s="79" t="str">
        <f>SEKOR!BT159</f>
        <v/>
      </c>
      <c r="H168" s="79" t="str">
        <f>IF(DATA!$F$18="YA",IF(SEKOR!BR159=0,"",SEKOR!BR159),"")</f>
        <v/>
      </c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>
        <f t="shared" si="21"/>
        <v>0</v>
      </c>
      <c r="AD168" s="79" t="str">
        <f t="shared" si="16"/>
        <v/>
      </c>
      <c r="AE168" s="79" t="str">
        <f t="shared" si="22"/>
        <v/>
      </c>
      <c r="AF168" s="79" t="str">
        <f t="shared" si="17"/>
        <v/>
      </c>
      <c r="AG168" s="79">
        <f t="shared" si="18"/>
        <v>0</v>
      </c>
      <c r="AH168" s="79" t="str">
        <f t="shared" si="23"/>
        <v/>
      </c>
      <c r="AI168" s="79" t="str">
        <f t="shared" si="19"/>
        <v/>
      </c>
      <c r="AJ168" s="79">
        <f>IFERROR(SUM(AG168:AI168)/DATAINFO!$N$7,0)</f>
        <v>0</v>
      </c>
      <c r="AK168" s="155" t="str">
        <f t="shared" si="20"/>
        <v/>
      </c>
    </row>
    <row r="169" spans="1:37" ht="20.100000000000001" hidden="1" customHeight="1" x14ac:dyDescent="0.2">
      <c r="A169" s="67" t="str">
        <f>IF(B169="","",COUNTA($B$12:$B169))</f>
        <v/>
      </c>
      <c r="B169" s="147" t="str">
        <f>IF(Konversi!C168="","",Konversi!C168)</f>
        <v/>
      </c>
      <c r="C169" s="219" t="str">
        <f>IF(Konversi!B168="","",Konversi!B168)</f>
        <v/>
      </c>
      <c r="D169" s="219"/>
      <c r="E169" s="79" t="str">
        <f>SEKOR!BP160</f>
        <v/>
      </c>
      <c r="F169" s="79" t="str">
        <f>SEKOR!BQ160</f>
        <v/>
      </c>
      <c r="G169" s="79" t="str">
        <f>SEKOR!BT160</f>
        <v/>
      </c>
      <c r="H169" s="79" t="str">
        <f>IF(DATA!$F$18="YA",IF(SEKOR!BR160=0,"",SEKOR!BR160),"")</f>
        <v/>
      </c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>
        <f t="shared" si="21"/>
        <v>0</v>
      </c>
      <c r="AD169" s="79" t="str">
        <f t="shared" si="16"/>
        <v/>
      </c>
      <c r="AE169" s="79" t="str">
        <f t="shared" si="22"/>
        <v/>
      </c>
      <c r="AF169" s="79" t="str">
        <f t="shared" si="17"/>
        <v/>
      </c>
      <c r="AG169" s="79">
        <f t="shared" si="18"/>
        <v>0</v>
      </c>
      <c r="AH169" s="79" t="str">
        <f t="shared" si="23"/>
        <v/>
      </c>
      <c r="AI169" s="79" t="str">
        <f t="shared" si="19"/>
        <v/>
      </c>
      <c r="AJ169" s="79">
        <f>IFERROR(SUM(AG169:AI169)/DATAINFO!$N$7,0)</f>
        <v>0</v>
      </c>
      <c r="AK169" s="155" t="str">
        <f t="shared" si="20"/>
        <v/>
      </c>
    </row>
    <row r="170" spans="1:37" ht="20.100000000000001" hidden="1" customHeight="1" x14ac:dyDescent="0.2">
      <c r="A170" s="67" t="str">
        <f>IF(B170="","",COUNTA($B$12:$B170))</f>
        <v/>
      </c>
      <c r="B170" s="147" t="str">
        <f>IF(Konversi!C169="","",Konversi!C169)</f>
        <v/>
      </c>
      <c r="C170" s="219" t="str">
        <f>IF(Konversi!B169="","",Konversi!B169)</f>
        <v/>
      </c>
      <c r="D170" s="219"/>
      <c r="E170" s="79" t="str">
        <f>SEKOR!BP161</f>
        <v/>
      </c>
      <c r="F170" s="79" t="str">
        <f>SEKOR!BQ161</f>
        <v/>
      </c>
      <c r="G170" s="79" t="str">
        <f>SEKOR!BT161</f>
        <v/>
      </c>
      <c r="H170" s="79" t="str">
        <f>IF(DATA!$F$18="YA",IF(SEKOR!BR161=0,"",SEKOR!BR161),"")</f>
        <v/>
      </c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>
        <f t="shared" si="21"/>
        <v>0</v>
      </c>
      <c r="AD170" s="79" t="str">
        <f t="shared" si="16"/>
        <v/>
      </c>
      <c r="AE170" s="79" t="str">
        <f t="shared" si="22"/>
        <v/>
      </c>
      <c r="AF170" s="79" t="str">
        <f t="shared" si="17"/>
        <v/>
      </c>
      <c r="AG170" s="79">
        <f t="shared" si="18"/>
        <v>0</v>
      </c>
      <c r="AH170" s="79" t="str">
        <f t="shared" si="23"/>
        <v/>
      </c>
      <c r="AI170" s="79" t="str">
        <f t="shared" si="19"/>
        <v/>
      </c>
      <c r="AJ170" s="79">
        <f>IFERROR(SUM(AG170:AI170)/DATAINFO!$N$7,0)</f>
        <v>0</v>
      </c>
      <c r="AK170" s="155" t="str">
        <f t="shared" si="20"/>
        <v/>
      </c>
    </row>
    <row r="171" spans="1:37" ht="20.100000000000001" hidden="1" customHeight="1" x14ac:dyDescent="0.2">
      <c r="A171" s="67" t="str">
        <f>IF(B171="","",COUNTA($B$12:$B171))</f>
        <v/>
      </c>
      <c r="B171" s="147" t="str">
        <f>IF(Konversi!C170="","",Konversi!C170)</f>
        <v/>
      </c>
      <c r="C171" s="219" t="str">
        <f>IF(Konversi!B170="","",Konversi!B170)</f>
        <v/>
      </c>
      <c r="D171" s="219"/>
      <c r="E171" s="79" t="str">
        <f>SEKOR!BP162</f>
        <v/>
      </c>
      <c r="F171" s="79" t="str">
        <f>SEKOR!BQ162</f>
        <v/>
      </c>
      <c r="G171" s="79" t="str">
        <f>SEKOR!BT162</f>
        <v/>
      </c>
      <c r="H171" s="79" t="str">
        <f>IF(DATA!$F$18="YA",IF(SEKOR!BR162=0,"",SEKOR!BR162),"")</f>
        <v/>
      </c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>
        <f t="shared" si="21"/>
        <v>0</v>
      </c>
      <c r="AD171" s="79" t="str">
        <f t="shared" si="16"/>
        <v/>
      </c>
      <c r="AE171" s="79" t="str">
        <f t="shared" si="22"/>
        <v/>
      </c>
      <c r="AF171" s="79" t="str">
        <f t="shared" si="17"/>
        <v/>
      </c>
      <c r="AG171" s="79">
        <f t="shared" si="18"/>
        <v>0</v>
      </c>
      <c r="AH171" s="79" t="str">
        <f t="shared" si="23"/>
        <v/>
      </c>
      <c r="AI171" s="79" t="str">
        <f t="shared" si="19"/>
        <v/>
      </c>
      <c r="AJ171" s="79">
        <f>IFERROR(SUM(AG171:AI171)/DATAINFO!$N$7,0)</f>
        <v>0</v>
      </c>
      <c r="AK171" s="155" t="str">
        <f t="shared" si="20"/>
        <v/>
      </c>
    </row>
    <row r="172" spans="1:37" ht="20.100000000000001" hidden="1" customHeight="1" x14ac:dyDescent="0.2">
      <c r="A172" s="67" t="str">
        <f>IF(B172="","",COUNTA($B$12:$B172))</f>
        <v/>
      </c>
      <c r="B172" s="147" t="str">
        <f>IF(Konversi!C171="","",Konversi!C171)</f>
        <v/>
      </c>
      <c r="C172" s="219" t="str">
        <f>IF(Konversi!B171="","",Konversi!B171)</f>
        <v/>
      </c>
      <c r="D172" s="219"/>
      <c r="E172" s="79" t="str">
        <f>SEKOR!BP163</f>
        <v/>
      </c>
      <c r="F172" s="79" t="str">
        <f>SEKOR!BQ163</f>
        <v/>
      </c>
      <c r="G172" s="79" t="str">
        <f>SEKOR!BT163</f>
        <v/>
      </c>
      <c r="H172" s="79" t="str">
        <f>IF(DATA!$F$18="YA",IF(SEKOR!BR163=0,"",SEKOR!BR163),"")</f>
        <v/>
      </c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>
        <f t="shared" si="21"/>
        <v>0</v>
      </c>
      <c r="AD172" s="79" t="str">
        <f t="shared" si="16"/>
        <v/>
      </c>
      <c r="AE172" s="79" t="str">
        <f t="shared" si="22"/>
        <v/>
      </c>
      <c r="AF172" s="79" t="str">
        <f t="shared" si="17"/>
        <v/>
      </c>
      <c r="AG172" s="79">
        <f t="shared" si="18"/>
        <v>0</v>
      </c>
      <c r="AH172" s="79" t="str">
        <f t="shared" si="23"/>
        <v/>
      </c>
      <c r="AI172" s="79" t="str">
        <f t="shared" si="19"/>
        <v/>
      </c>
      <c r="AJ172" s="79">
        <f>IFERROR(SUM(AG172:AI172)/DATAINFO!$N$7,0)</f>
        <v>0</v>
      </c>
      <c r="AK172" s="155" t="str">
        <f t="shared" si="20"/>
        <v/>
      </c>
    </row>
    <row r="173" spans="1:37" ht="20.100000000000001" hidden="1" customHeight="1" x14ac:dyDescent="0.2">
      <c r="A173" s="67" t="str">
        <f>IF(B173="","",COUNTA($B$12:$B173))</f>
        <v/>
      </c>
      <c r="B173" s="147" t="str">
        <f>IF(Konversi!C172="","",Konversi!C172)</f>
        <v/>
      </c>
      <c r="C173" s="219" t="str">
        <f>IF(Konversi!B172="","",Konversi!B172)</f>
        <v/>
      </c>
      <c r="D173" s="219"/>
      <c r="E173" s="79" t="str">
        <f>SEKOR!BP164</f>
        <v/>
      </c>
      <c r="F173" s="79" t="str">
        <f>SEKOR!BQ164</f>
        <v/>
      </c>
      <c r="G173" s="79" t="str">
        <f>SEKOR!BT164</f>
        <v/>
      </c>
      <c r="H173" s="79" t="str">
        <f>IF(DATA!$F$18="YA",IF(SEKOR!BR164=0,"",SEKOR!BR164),"")</f>
        <v/>
      </c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>
        <f t="shared" si="21"/>
        <v>0</v>
      </c>
      <c r="AD173" s="79" t="str">
        <f t="shared" si="16"/>
        <v/>
      </c>
      <c r="AE173" s="79" t="str">
        <f t="shared" si="22"/>
        <v/>
      </c>
      <c r="AF173" s="79" t="str">
        <f t="shared" si="17"/>
        <v/>
      </c>
      <c r="AG173" s="79">
        <f t="shared" si="18"/>
        <v>0</v>
      </c>
      <c r="AH173" s="79" t="str">
        <f t="shared" si="23"/>
        <v/>
      </c>
      <c r="AI173" s="79" t="str">
        <f t="shared" si="19"/>
        <v/>
      </c>
      <c r="AJ173" s="79">
        <f>IFERROR(SUM(AG173:AI173)/DATAINFO!$N$7,0)</f>
        <v>0</v>
      </c>
      <c r="AK173" s="155" t="str">
        <f t="shared" si="20"/>
        <v/>
      </c>
    </row>
    <row r="174" spans="1:37" ht="20.100000000000001" hidden="1" customHeight="1" x14ac:dyDescent="0.2">
      <c r="A174" s="67" t="str">
        <f>IF(B174="","",COUNTA($B$12:$B174))</f>
        <v/>
      </c>
      <c r="B174" s="147" t="str">
        <f>IF(Konversi!C173="","",Konversi!C173)</f>
        <v/>
      </c>
      <c r="C174" s="219" t="str">
        <f>IF(Konversi!B173="","",Konversi!B173)</f>
        <v/>
      </c>
      <c r="D174" s="219"/>
      <c r="E174" s="79" t="str">
        <f>SEKOR!BP165</f>
        <v/>
      </c>
      <c r="F174" s="79" t="str">
        <f>SEKOR!BQ165</f>
        <v/>
      </c>
      <c r="G174" s="79" t="str">
        <f>SEKOR!BT165</f>
        <v/>
      </c>
      <c r="H174" s="79" t="str">
        <f>IF(DATA!$F$18="YA",IF(SEKOR!BR165=0,"",SEKOR!BR165),"")</f>
        <v/>
      </c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>
        <f t="shared" si="21"/>
        <v>0</v>
      </c>
      <c r="AD174" s="79" t="str">
        <f t="shared" si="16"/>
        <v/>
      </c>
      <c r="AE174" s="79" t="str">
        <f t="shared" si="22"/>
        <v/>
      </c>
      <c r="AF174" s="79" t="str">
        <f t="shared" si="17"/>
        <v/>
      </c>
      <c r="AG174" s="79">
        <f t="shared" si="18"/>
        <v>0</v>
      </c>
      <c r="AH174" s="79" t="str">
        <f t="shared" si="23"/>
        <v/>
      </c>
      <c r="AI174" s="79" t="str">
        <f t="shared" si="19"/>
        <v/>
      </c>
      <c r="AJ174" s="79">
        <f>IFERROR(SUM(AG174:AI174)/DATAINFO!$N$7,0)</f>
        <v>0</v>
      </c>
      <c r="AK174" s="155" t="str">
        <f t="shared" si="20"/>
        <v/>
      </c>
    </row>
    <row r="175" spans="1:37" ht="20.100000000000001" hidden="1" customHeight="1" x14ac:dyDescent="0.2">
      <c r="A175" s="67" t="str">
        <f>IF(B175="","",COUNTA($B$12:$B175))</f>
        <v/>
      </c>
      <c r="B175" s="147" t="str">
        <f>IF(Konversi!C174="","",Konversi!C174)</f>
        <v/>
      </c>
      <c r="C175" s="219" t="str">
        <f>IF(Konversi!B174="","",Konversi!B174)</f>
        <v/>
      </c>
      <c r="D175" s="219"/>
      <c r="E175" s="79" t="str">
        <f>SEKOR!BP166</f>
        <v/>
      </c>
      <c r="F175" s="79" t="str">
        <f>SEKOR!BQ166</f>
        <v/>
      </c>
      <c r="G175" s="79" t="str">
        <f>SEKOR!BT166</f>
        <v/>
      </c>
      <c r="H175" s="79" t="str">
        <f>IF(DATA!$F$18="YA",IF(SEKOR!BR166=0,"",SEKOR!BR166),"")</f>
        <v/>
      </c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>
        <f t="shared" si="21"/>
        <v>0</v>
      </c>
      <c r="AD175" s="79" t="str">
        <f t="shared" si="16"/>
        <v/>
      </c>
      <c r="AE175" s="79" t="str">
        <f t="shared" si="22"/>
        <v/>
      </c>
      <c r="AF175" s="79" t="str">
        <f t="shared" si="17"/>
        <v/>
      </c>
      <c r="AG175" s="79">
        <f t="shared" si="18"/>
        <v>0</v>
      </c>
      <c r="AH175" s="79" t="str">
        <f t="shared" si="23"/>
        <v/>
      </c>
      <c r="AI175" s="79" t="str">
        <f t="shared" si="19"/>
        <v/>
      </c>
      <c r="AJ175" s="79">
        <f>IFERROR(SUM(AG175:AI175)/DATAINFO!$N$7,0)</f>
        <v>0</v>
      </c>
      <c r="AK175" s="155" t="str">
        <f t="shared" si="20"/>
        <v/>
      </c>
    </row>
    <row r="176" spans="1:37" ht="20.100000000000001" hidden="1" customHeight="1" x14ac:dyDescent="0.2">
      <c r="A176" s="67" t="str">
        <f>IF(B176="","",COUNTA($B$12:$B176))</f>
        <v/>
      </c>
      <c r="B176" s="147" t="str">
        <f>IF(Konversi!C175="","",Konversi!C175)</f>
        <v/>
      </c>
      <c r="C176" s="219" t="str">
        <f>IF(Konversi!B175="","",Konversi!B175)</f>
        <v/>
      </c>
      <c r="D176" s="219"/>
      <c r="E176" s="79" t="str">
        <f>SEKOR!BP167</f>
        <v/>
      </c>
      <c r="F176" s="79" t="str">
        <f>SEKOR!BQ167</f>
        <v/>
      </c>
      <c r="G176" s="79" t="str">
        <f>SEKOR!BT167</f>
        <v/>
      </c>
      <c r="H176" s="79" t="str">
        <f>IF(DATA!$F$18="YA",IF(SEKOR!BR167=0,"",SEKOR!BR167),"")</f>
        <v/>
      </c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>
        <f t="shared" si="21"/>
        <v>0</v>
      </c>
      <c r="AD176" s="79" t="str">
        <f t="shared" si="16"/>
        <v/>
      </c>
      <c r="AE176" s="79" t="str">
        <f t="shared" si="22"/>
        <v/>
      </c>
      <c r="AF176" s="79" t="str">
        <f t="shared" si="17"/>
        <v/>
      </c>
      <c r="AG176" s="79">
        <f t="shared" si="18"/>
        <v>0</v>
      </c>
      <c r="AH176" s="79" t="str">
        <f t="shared" si="23"/>
        <v/>
      </c>
      <c r="AI176" s="79" t="str">
        <f t="shared" si="19"/>
        <v/>
      </c>
      <c r="AJ176" s="79">
        <f>IFERROR(SUM(AG176:AI176)/DATAINFO!$N$7,0)</f>
        <v>0</v>
      </c>
      <c r="AK176" s="155" t="str">
        <f t="shared" si="20"/>
        <v/>
      </c>
    </row>
    <row r="177" spans="1:37" ht="20.100000000000001" hidden="1" customHeight="1" x14ac:dyDescent="0.2">
      <c r="A177" s="67" t="str">
        <f>IF(B177="","",COUNTA($B$12:$B177))</f>
        <v/>
      </c>
      <c r="B177" s="147" t="str">
        <f>IF(Konversi!C176="","",Konversi!C176)</f>
        <v/>
      </c>
      <c r="C177" s="219" t="str">
        <f>IF(Konversi!B176="","",Konversi!B176)</f>
        <v/>
      </c>
      <c r="D177" s="219"/>
      <c r="E177" s="79" t="str">
        <f>SEKOR!BP168</f>
        <v/>
      </c>
      <c r="F177" s="79" t="str">
        <f>SEKOR!BQ168</f>
        <v/>
      </c>
      <c r="G177" s="79" t="str">
        <f>SEKOR!BT168</f>
        <v/>
      </c>
      <c r="H177" s="79" t="str">
        <f>IF(DATA!$F$18="YA",IF(SEKOR!BR168=0,"",SEKOR!BR168),"")</f>
        <v/>
      </c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>
        <f t="shared" si="21"/>
        <v>0</v>
      </c>
      <c r="AD177" s="79" t="str">
        <f t="shared" si="16"/>
        <v/>
      </c>
      <c r="AE177" s="79" t="str">
        <f t="shared" si="22"/>
        <v/>
      </c>
      <c r="AF177" s="79" t="str">
        <f t="shared" si="17"/>
        <v/>
      </c>
      <c r="AG177" s="79">
        <f t="shared" si="18"/>
        <v>0</v>
      </c>
      <c r="AH177" s="79" t="str">
        <f t="shared" si="23"/>
        <v/>
      </c>
      <c r="AI177" s="79" t="str">
        <f t="shared" si="19"/>
        <v/>
      </c>
      <c r="AJ177" s="79">
        <f>IFERROR(SUM(AG177:AI177)/DATAINFO!$N$7,0)</f>
        <v>0</v>
      </c>
      <c r="AK177" s="155" t="str">
        <f t="shared" si="20"/>
        <v/>
      </c>
    </row>
    <row r="178" spans="1:37" ht="20.100000000000001" hidden="1" customHeight="1" x14ac:dyDescent="0.2">
      <c r="A178" s="67" t="str">
        <f>IF(B178="","",COUNTA($B$12:$B178))</f>
        <v/>
      </c>
      <c r="B178" s="147" t="str">
        <f>IF(Konversi!C177="","",Konversi!C177)</f>
        <v/>
      </c>
      <c r="C178" s="219" t="str">
        <f>IF(Konversi!B177="","",Konversi!B177)</f>
        <v/>
      </c>
      <c r="D178" s="219"/>
      <c r="E178" s="79" t="str">
        <f>SEKOR!BP169</f>
        <v/>
      </c>
      <c r="F178" s="79" t="str">
        <f>SEKOR!BQ169</f>
        <v/>
      </c>
      <c r="G178" s="79" t="str">
        <f>SEKOR!BT169</f>
        <v/>
      </c>
      <c r="H178" s="79" t="str">
        <f>IF(DATA!$F$18="YA",IF(SEKOR!BR169=0,"",SEKOR!BR169),"")</f>
        <v/>
      </c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>
        <f t="shared" si="21"/>
        <v>0</v>
      </c>
      <c r="AD178" s="79" t="str">
        <f t="shared" si="16"/>
        <v/>
      </c>
      <c r="AE178" s="79" t="str">
        <f t="shared" si="22"/>
        <v/>
      </c>
      <c r="AF178" s="79" t="str">
        <f t="shared" si="17"/>
        <v/>
      </c>
      <c r="AG178" s="79">
        <f t="shared" si="18"/>
        <v>0</v>
      </c>
      <c r="AH178" s="79" t="str">
        <f t="shared" si="23"/>
        <v/>
      </c>
      <c r="AI178" s="79" t="str">
        <f t="shared" si="19"/>
        <v/>
      </c>
      <c r="AJ178" s="79">
        <f>IFERROR(SUM(AG178:AI178)/DATAINFO!$N$7,0)</f>
        <v>0</v>
      </c>
      <c r="AK178" s="155" t="str">
        <f t="shared" si="20"/>
        <v/>
      </c>
    </row>
    <row r="179" spans="1:37" ht="20.100000000000001" hidden="1" customHeight="1" x14ac:dyDescent="0.2">
      <c r="A179" s="67" t="str">
        <f>IF(B179="","",COUNTA($B$12:$B179))</f>
        <v/>
      </c>
      <c r="B179" s="147" t="str">
        <f>IF(Konversi!C178="","",Konversi!C178)</f>
        <v/>
      </c>
      <c r="C179" s="219" t="str">
        <f>IF(Konversi!B178="","",Konversi!B178)</f>
        <v/>
      </c>
      <c r="D179" s="219"/>
      <c r="E179" s="79" t="str">
        <f>SEKOR!BP170</f>
        <v/>
      </c>
      <c r="F179" s="79" t="str">
        <f>SEKOR!BQ170</f>
        <v/>
      </c>
      <c r="G179" s="79" t="str">
        <f>SEKOR!BT170</f>
        <v/>
      </c>
      <c r="H179" s="79" t="str">
        <f>IF(DATA!$F$18="YA",IF(SEKOR!BR170=0,"",SEKOR!BR170),"")</f>
        <v/>
      </c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>
        <f t="shared" si="21"/>
        <v>0</v>
      </c>
      <c r="AD179" s="79" t="str">
        <f t="shared" si="16"/>
        <v/>
      </c>
      <c r="AE179" s="79" t="str">
        <f t="shared" si="22"/>
        <v/>
      </c>
      <c r="AF179" s="79" t="str">
        <f t="shared" si="17"/>
        <v/>
      </c>
      <c r="AG179" s="79">
        <f t="shared" si="18"/>
        <v>0</v>
      </c>
      <c r="AH179" s="79" t="str">
        <f t="shared" si="23"/>
        <v/>
      </c>
      <c r="AI179" s="79" t="str">
        <f t="shared" si="19"/>
        <v/>
      </c>
      <c r="AJ179" s="79">
        <f>IFERROR(SUM(AG179:AI179)/DATAINFO!$N$7,0)</f>
        <v>0</v>
      </c>
      <c r="AK179" s="155" t="str">
        <f t="shared" si="20"/>
        <v/>
      </c>
    </row>
    <row r="180" spans="1:37" ht="20.100000000000001" hidden="1" customHeight="1" x14ac:dyDescent="0.2">
      <c r="A180" s="67" t="str">
        <f>IF(B180="","",COUNTA($B$12:$B180))</f>
        <v/>
      </c>
      <c r="B180" s="147" t="str">
        <f>IF(Konversi!C179="","",Konversi!C179)</f>
        <v/>
      </c>
      <c r="C180" s="219" t="str">
        <f>IF(Konversi!B179="","",Konversi!B179)</f>
        <v/>
      </c>
      <c r="D180" s="219"/>
      <c r="E180" s="79" t="str">
        <f>SEKOR!BP171</f>
        <v/>
      </c>
      <c r="F180" s="79" t="str">
        <f>SEKOR!BQ171</f>
        <v/>
      </c>
      <c r="G180" s="79" t="str">
        <f>SEKOR!BT171</f>
        <v/>
      </c>
      <c r="H180" s="79" t="str">
        <f>IF(DATA!$F$18="YA",IF(SEKOR!BR171=0,"",SEKOR!BR171),"")</f>
        <v/>
      </c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>
        <f t="shared" si="21"/>
        <v>0</v>
      </c>
      <c r="AD180" s="79" t="str">
        <f t="shared" si="16"/>
        <v/>
      </c>
      <c r="AE180" s="79" t="str">
        <f t="shared" si="22"/>
        <v/>
      </c>
      <c r="AF180" s="79" t="str">
        <f t="shared" si="17"/>
        <v/>
      </c>
      <c r="AG180" s="79">
        <f t="shared" si="18"/>
        <v>0</v>
      </c>
      <c r="AH180" s="79" t="str">
        <f t="shared" si="23"/>
        <v/>
      </c>
      <c r="AI180" s="79" t="str">
        <f t="shared" si="19"/>
        <v/>
      </c>
      <c r="AJ180" s="79">
        <f>IFERROR(SUM(AG180:AI180)/DATAINFO!$N$7,0)</f>
        <v>0</v>
      </c>
      <c r="AK180" s="155" t="str">
        <f t="shared" si="20"/>
        <v/>
      </c>
    </row>
    <row r="181" spans="1:37" ht="20.100000000000001" hidden="1" customHeight="1" x14ac:dyDescent="0.2">
      <c r="A181" s="67" t="str">
        <f>IF(B181="","",COUNTA($B$12:$B181))</f>
        <v/>
      </c>
      <c r="B181" s="147" t="str">
        <f>IF(Konversi!C180="","",Konversi!C180)</f>
        <v/>
      </c>
      <c r="C181" s="219" t="str">
        <f>IF(Konversi!B180="","",Konversi!B180)</f>
        <v/>
      </c>
      <c r="D181" s="219"/>
      <c r="E181" s="79" t="str">
        <f>SEKOR!BP172</f>
        <v/>
      </c>
      <c r="F181" s="79" t="str">
        <f>SEKOR!BQ172</f>
        <v/>
      </c>
      <c r="G181" s="79" t="str">
        <f>SEKOR!BT172</f>
        <v/>
      </c>
      <c r="H181" s="79" t="str">
        <f>IF(DATA!$F$18="YA",IF(SEKOR!BR172=0,"",SEKOR!BR172),"")</f>
        <v/>
      </c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>
        <f t="shared" si="21"/>
        <v>0</v>
      </c>
      <c r="AD181" s="79" t="str">
        <f t="shared" si="16"/>
        <v/>
      </c>
      <c r="AE181" s="79" t="str">
        <f t="shared" si="22"/>
        <v/>
      </c>
      <c r="AF181" s="79" t="str">
        <f t="shared" si="17"/>
        <v/>
      </c>
      <c r="AG181" s="79">
        <f t="shared" si="18"/>
        <v>0</v>
      </c>
      <c r="AH181" s="79" t="str">
        <f t="shared" si="23"/>
        <v/>
      </c>
      <c r="AI181" s="79" t="str">
        <f t="shared" si="19"/>
        <v/>
      </c>
      <c r="AJ181" s="79">
        <f>IFERROR(SUM(AG181:AI181)/DATAINFO!$N$7,0)</f>
        <v>0</v>
      </c>
      <c r="AK181" s="155" t="str">
        <f t="shared" si="20"/>
        <v/>
      </c>
    </row>
    <row r="182" spans="1:37" ht="20.100000000000001" hidden="1" customHeight="1" x14ac:dyDescent="0.2">
      <c r="A182" s="67" t="str">
        <f>IF(B182="","",COUNTA($B$12:$B182))</f>
        <v/>
      </c>
      <c r="B182" s="147" t="str">
        <f>IF(Konversi!C181="","",Konversi!C181)</f>
        <v/>
      </c>
      <c r="C182" s="219" t="str">
        <f>IF(Konversi!B181="","",Konversi!B181)</f>
        <v/>
      </c>
      <c r="D182" s="219"/>
      <c r="E182" s="79" t="str">
        <f>SEKOR!BP173</f>
        <v/>
      </c>
      <c r="F182" s="79" t="str">
        <f>SEKOR!BQ173</f>
        <v/>
      </c>
      <c r="G182" s="79" t="str">
        <f>SEKOR!BT173</f>
        <v/>
      </c>
      <c r="H182" s="79" t="str">
        <f>IF(DATA!$F$18="YA",IF(SEKOR!BR173=0,"",SEKOR!BR173),"")</f>
        <v/>
      </c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>
        <f t="shared" si="21"/>
        <v>0</v>
      </c>
      <c r="AD182" s="79" t="str">
        <f t="shared" si="16"/>
        <v/>
      </c>
      <c r="AE182" s="79" t="str">
        <f t="shared" si="22"/>
        <v/>
      </c>
      <c r="AF182" s="79" t="str">
        <f t="shared" si="17"/>
        <v/>
      </c>
      <c r="AG182" s="79">
        <f t="shared" si="18"/>
        <v>0</v>
      </c>
      <c r="AH182" s="79" t="str">
        <f t="shared" si="23"/>
        <v/>
      </c>
      <c r="AI182" s="79" t="str">
        <f t="shared" si="19"/>
        <v/>
      </c>
      <c r="AJ182" s="79">
        <f>IFERROR(SUM(AG182:AI182)/DATAINFO!$N$7,0)</f>
        <v>0</v>
      </c>
      <c r="AK182" s="155" t="str">
        <f t="shared" si="20"/>
        <v/>
      </c>
    </row>
    <row r="183" spans="1:37" ht="20.100000000000001" hidden="1" customHeight="1" x14ac:dyDescent="0.2">
      <c r="A183" s="67" t="str">
        <f>IF(B183="","",COUNTA($B$12:$B183))</f>
        <v/>
      </c>
      <c r="B183" s="147" t="str">
        <f>IF(Konversi!C182="","",Konversi!C182)</f>
        <v/>
      </c>
      <c r="C183" s="219" t="str">
        <f>IF(Konversi!B182="","",Konversi!B182)</f>
        <v/>
      </c>
      <c r="D183" s="219"/>
      <c r="E183" s="79" t="str">
        <f>SEKOR!BP174</f>
        <v/>
      </c>
      <c r="F183" s="79" t="str">
        <f>SEKOR!BQ174</f>
        <v/>
      </c>
      <c r="G183" s="79" t="str">
        <f>SEKOR!BT174</f>
        <v/>
      </c>
      <c r="H183" s="79" t="str">
        <f>IF(DATA!$F$18="YA",IF(SEKOR!BR174=0,"",SEKOR!BR174),"")</f>
        <v/>
      </c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>
        <f t="shared" si="21"/>
        <v>0</v>
      </c>
      <c r="AD183" s="79" t="str">
        <f t="shared" si="16"/>
        <v/>
      </c>
      <c r="AE183" s="79" t="str">
        <f t="shared" si="22"/>
        <v/>
      </c>
      <c r="AF183" s="79" t="str">
        <f t="shared" si="17"/>
        <v/>
      </c>
      <c r="AG183" s="79">
        <f t="shared" si="18"/>
        <v>0</v>
      </c>
      <c r="AH183" s="79" t="str">
        <f t="shared" si="23"/>
        <v/>
      </c>
      <c r="AI183" s="79" t="str">
        <f t="shared" si="19"/>
        <v/>
      </c>
      <c r="AJ183" s="79">
        <f>IFERROR(SUM(AG183:AI183)/DATAINFO!$N$7,0)</f>
        <v>0</v>
      </c>
      <c r="AK183" s="155" t="str">
        <f t="shared" si="20"/>
        <v/>
      </c>
    </row>
    <row r="184" spans="1:37" ht="20.100000000000001" hidden="1" customHeight="1" x14ac:dyDescent="0.2">
      <c r="A184" s="67" t="str">
        <f>IF(B184="","",COUNTA($B$12:$B184))</f>
        <v/>
      </c>
      <c r="B184" s="147" t="str">
        <f>IF(Konversi!C183="","",Konversi!C183)</f>
        <v/>
      </c>
      <c r="C184" s="219" t="str">
        <f>IF(Konversi!B183="","",Konversi!B183)</f>
        <v/>
      </c>
      <c r="D184" s="219"/>
      <c r="E184" s="79" t="str">
        <f>SEKOR!BP175</f>
        <v/>
      </c>
      <c r="F184" s="79" t="str">
        <f>SEKOR!BQ175</f>
        <v/>
      </c>
      <c r="G184" s="79" t="str">
        <f>SEKOR!BT175</f>
        <v/>
      </c>
      <c r="H184" s="79" t="str">
        <f>IF(DATA!$F$18="YA",IF(SEKOR!BR175=0,"",SEKOR!BR175),"")</f>
        <v/>
      </c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>
        <f t="shared" si="21"/>
        <v>0</v>
      </c>
      <c r="AD184" s="79" t="str">
        <f t="shared" si="16"/>
        <v/>
      </c>
      <c r="AE184" s="79" t="str">
        <f t="shared" si="22"/>
        <v/>
      </c>
      <c r="AF184" s="79" t="str">
        <f t="shared" si="17"/>
        <v/>
      </c>
      <c r="AG184" s="79">
        <f t="shared" si="18"/>
        <v>0</v>
      </c>
      <c r="AH184" s="79" t="str">
        <f t="shared" si="23"/>
        <v/>
      </c>
      <c r="AI184" s="79" t="str">
        <f t="shared" si="19"/>
        <v/>
      </c>
      <c r="AJ184" s="79">
        <f>IFERROR(SUM(AG184:AI184)/DATAINFO!$N$7,0)</f>
        <v>0</v>
      </c>
      <c r="AK184" s="155" t="str">
        <f t="shared" si="20"/>
        <v/>
      </c>
    </row>
    <row r="185" spans="1:37" ht="20.100000000000001" hidden="1" customHeight="1" x14ac:dyDescent="0.2">
      <c r="A185" s="67" t="str">
        <f>IF(B185="","",COUNTA($B$12:$B185))</f>
        <v/>
      </c>
      <c r="B185" s="147" t="str">
        <f>IF(Konversi!C184="","",Konversi!C184)</f>
        <v/>
      </c>
      <c r="C185" s="219" t="str">
        <f>IF(Konversi!B184="","",Konversi!B184)</f>
        <v/>
      </c>
      <c r="D185" s="219"/>
      <c r="E185" s="79" t="str">
        <f>SEKOR!BP176</f>
        <v/>
      </c>
      <c r="F185" s="79" t="str">
        <f>SEKOR!BQ176</f>
        <v/>
      </c>
      <c r="G185" s="79" t="str">
        <f>SEKOR!BT176</f>
        <v/>
      </c>
      <c r="H185" s="79" t="str">
        <f>IF(DATA!$F$18="YA",IF(SEKOR!BR176=0,"",SEKOR!BR176),"")</f>
        <v/>
      </c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>
        <f t="shared" si="21"/>
        <v>0</v>
      </c>
      <c r="AD185" s="79" t="str">
        <f t="shared" si="16"/>
        <v/>
      </c>
      <c r="AE185" s="79" t="str">
        <f t="shared" si="22"/>
        <v/>
      </c>
      <c r="AF185" s="79" t="str">
        <f t="shared" si="17"/>
        <v/>
      </c>
      <c r="AG185" s="79">
        <f t="shared" si="18"/>
        <v>0</v>
      </c>
      <c r="AH185" s="79" t="str">
        <f t="shared" si="23"/>
        <v/>
      </c>
      <c r="AI185" s="79" t="str">
        <f t="shared" si="19"/>
        <v/>
      </c>
      <c r="AJ185" s="79">
        <f>IFERROR(SUM(AG185:AI185)/DATAINFO!$N$7,0)</f>
        <v>0</v>
      </c>
      <c r="AK185" s="155" t="str">
        <f t="shared" si="20"/>
        <v/>
      </c>
    </row>
    <row r="186" spans="1:37" ht="20.100000000000001" hidden="1" customHeight="1" x14ac:dyDescent="0.2">
      <c r="A186" s="67" t="str">
        <f>IF(B186="","",COUNTA($B$12:$B186))</f>
        <v/>
      </c>
      <c r="B186" s="147" t="str">
        <f>IF(Konversi!C185="","",Konversi!C185)</f>
        <v/>
      </c>
      <c r="C186" s="219" t="str">
        <f>IF(Konversi!B185="","",Konversi!B185)</f>
        <v/>
      </c>
      <c r="D186" s="219"/>
      <c r="E186" s="79" t="str">
        <f>SEKOR!BP177</f>
        <v/>
      </c>
      <c r="F186" s="79" t="str">
        <f>SEKOR!BQ177</f>
        <v/>
      </c>
      <c r="G186" s="79" t="str">
        <f>SEKOR!BT177</f>
        <v/>
      </c>
      <c r="H186" s="79" t="str">
        <f>IF(DATA!$F$18="YA",IF(SEKOR!BR177=0,"",SEKOR!BR177),"")</f>
        <v/>
      </c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>
        <f t="shared" si="21"/>
        <v>0</v>
      </c>
      <c r="AD186" s="79" t="str">
        <f t="shared" si="16"/>
        <v/>
      </c>
      <c r="AE186" s="79" t="str">
        <f t="shared" si="22"/>
        <v/>
      </c>
      <c r="AF186" s="79" t="str">
        <f t="shared" si="17"/>
        <v/>
      </c>
      <c r="AG186" s="79">
        <f t="shared" si="18"/>
        <v>0</v>
      </c>
      <c r="AH186" s="79" t="str">
        <f t="shared" si="23"/>
        <v/>
      </c>
      <c r="AI186" s="79" t="str">
        <f t="shared" si="19"/>
        <v/>
      </c>
      <c r="AJ186" s="79">
        <f>IFERROR(SUM(AG186:AI186)/DATAINFO!$N$7,0)</f>
        <v>0</v>
      </c>
      <c r="AK186" s="155" t="str">
        <f t="shared" si="20"/>
        <v/>
      </c>
    </row>
    <row r="187" spans="1:37" ht="20.100000000000001" hidden="1" customHeight="1" x14ac:dyDescent="0.2">
      <c r="A187" s="67" t="str">
        <f>IF(B187="","",COUNTA($B$12:$B187))</f>
        <v/>
      </c>
      <c r="B187" s="147" t="str">
        <f>IF(Konversi!C186="","",Konversi!C186)</f>
        <v/>
      </c>
      <c r="C187" s="219" t="str">
        <f>IF(Konversi!B186="","",Konversi!B186)</f>
        <v/>
      </c>
      <c r="D187" s="219"/>
      <c r="E187" s="79" t="str">
        <f>SEKOR!BP178</f>
        <v/>
      </c>
      <c r="F187" s="79" t="str">
        <f>SEKOR!BQ178</f>
        <v/>
      </c>
      <c r="G187" s="79" t="str">
        <f>SEKOR!BT178</f>
        <v/>
      </c>
      <c r="H187" s="79" t="str">
        <f>IF(DATA!$F$18="YA",IF(SEKOR!BR178=0,"",SEKOR!BR178),"")</f>
        <v/>
      </c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>
        <f t="shared" si="21"/>
        <v>0</v>
      </c>
      <c r="AD187" s="79" t="str">
        <f t="shared" si="16"/>
        <v/>
      </c>
      <c r="AE187" s="79" t="str">
        <f t="shared" si="22"/>
        <v/>
      </c>
      <c r="AF187" s="79" t="str">
        <f t="shared" si="17"/>
        <v/>
      </c>
      <c r="AG187" s="79">
        <f t="shared" si="18"/>
        <v>0</v>
      </c>
      <c r="AH187" s="79" t="str">
        <f t="shared" si="23"/>
        <v/>
      </c>
      <c r="AI187" s="79" t="str">
        <f t="shared" si="19"/>
        <v/>
      </c>
      <c r="AJ187" s="79">
        <f>IFERROR(SUM(AG187:AI187)/DATAINFO!$N$7,0)</f>
        <v>0</v>
      </c>
      <c r="AK187" s="155" t="str">
        <f t="shared" si="20"/>
        <v/>
      </c>
    </row>
    <row r="188" spans="1:37" ht="20.100000000000001" hidden="1" customHeight="1" x14ac:dyDescent="0.2">
      <c r="A188" s="67" t="str">
        <f>IF(B188="","",COUNTA($B$12:$B188))</f>
        <v/>
      </c>
      <c r="B188" s="147" t="str">
        <f>IF(Konversi!C187="","",Konversi!C187)</f>
        <v/>
      </c>
      <c r="C188" s="219" t="str">
        <f>IF(Konversi!B187="","",Konversi!B187)</f>
        <v/>
      </c>
      <c r="D188" s="219"/>
      <c r="E188" s="79" t="str">
        <f>SEKOR!BP179</f>
        <v/>
      </c>
      <c r="F188" s="79" t="str">
        <f>SEKOR!BQ179</f>
        <v/>
      </c>
      <c r="G188" s="79" t="str">
        <f>SEKOR!BT179</f>
        <v/>
      </c>
      <c r="H188" s="79" t="str">
        <f>IF(DATA!$F$18="YA",IF(SEKOR!BR179=0,"",SEKOR!BR179),"")</f>
        <v/>
      </c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>
        <f t="shared" si="21"/>
        <v>0</v>
      </c>
      <c r="AD188" s="79" t="str">
        <f t="shared" si="16"/>
        <v/>
      </c>
      <c r="AE188" s="79" t="str">
        <f t="shared" si="22"/>
        <v/>
      </c>
      <c r="AF188" s="79" t="str">
        <f t="shared" si="17"/>
        <v/>
      </c>
      <c r="AG188" s="79">
        <f t="shared" si="18"/>
        <v>0</v>
      </c>
      <c r="AH188" s="79" t="str">
        <f t="shared" si="23"/>
        <v/>
      </c>
      <c r="AI188" s="79" t="str">
        <f t="shared" si="19"/>
        <v/>
      </c>
      <c r="AJ188" s="79">
        <f>IFERROR(SUM(AG188:AI188)/DATAINFO!$N$7,0)</f>
        <v>0</v>
      </c>
      <c r="AK188" s="155" t="str">
        <f t="shared" si="20"/>
        <v/>
      </c>
    </row>
    <row r="189" spans="1:37" ht="20.100000000000001" hidden="1" customHeight="1" x14ac:dyDescent="0.2">
      <c r="A189" s="67" t="str">
        <f>IF(B189="","",COUNTA($B$12:$B189))</f>
        <v/>
      </c>
      <c r="B189" s="147" t="str">
        <f>IF(Konversi!C188="","",Konversi!C188)</f>
        <v/>
      </c>
      <c r="C189" s="219" t="str">
        <f>IF(Konversi!B188="","",Konversi!B188)</f>
        <v/>
      </c>
      <c r="D189" s="219"/>
      <c r="E189" s="79" t="str">
        <f>SEKOR!BP180</f>
        <v/>
      </c>
      <c r="F189" s="79" t="str">
        <f>SEKOR!BQ180</f>
        <v/>
      </c>
      <c r="G189" s="79" t="str">
        <f>SEKOR!BT180</f>
        <v/>
      </c>
      <c r="H189" s="79" t="str">
        <f>IF(DATA!$F$18="YA",IF(SEKOR!BR180=0,"",SEKOR!BR180),"")</f>
        <v/>
      </c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>
        <f t="shared" si="21"/>
        <v>0</v>
      </c>
      <c r="AD189" s="79" t="str">
        <f t="shared" si="16"/>
        <v/>
      </c>
      <c r="AE189" s="79" t="str">
        <f t="shared" si="22"/>
        <v/>
      </c>
      <c r="AF189" s="79" t="str">
        <f t="shared" si="17"/>
        <v/>
      </c>
      <c r="AG189" s="79">
        <f t="shared" si="18"/>
        <v>0</v>
      </c>
      <c r="AH189" s="79" t="str">
        <f t="shared" si="23"/>
        <v/>
      </c>
      <c r="AI189" s="79" t="str">
        <f t="shared" si="19"/>
        <v/>
      </c>
      <c r="AJ189" s="79">
        <f>IFERROR(SUM(AG189:AI189)/DATAINFO!$N$7,0)</f>
        <v>0</v>
      </c>
      <c r="AK189" s="155" t="str">
        <f t="shared" si="20"/>
        <v/>
      </c>
    </row>
    <row r="190" spans="1:37" ht="20.100000000000001" hidden="1" customHeight="1" x14ac:dyDescent="0.2">
      <c r="A190" s="67" t="str">
        <f>IF(B190="","",COUNTA($B$12:$B190))</f>
        <v/>
      </c>
      <c r="B190" s="147" t="str">
        <f>IF(Konversi!C189="","",Konversi!C189)</f>
        <v/>
      </c>
      <c r="C190" s="219" t="str">
        <f>IF(Konversi!B189="","",Konversi!B189)</f>
        <v/>
      </c>
      <c r="D190" s="219"/>
      <c r="E190" s="79" t="str">
        <f>SEKOR!BP181</f>
        <v/>
      </c>
      <c r="F190" s="79" t="str">
        <f>SEKOR!BQ181</f>
        <v/>
      </c>
      <c r="G190" s="79" t="str">
        <f>SEKOR!BT181</f>
        <v/>
      </c>
      <c r="H190" s="79" t="str">
        <f>IF(DATA!$F$18="YA",IF(SEKOR!BR181=0,"",SEKOR!BR181),"")</f>
        <v/>
      </c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>
        <f t="shared" si="21"/>
        <v>0</v>
      </c>
      <c r="AD190" s="79" t="str">
        <f t="shared" si="16"/>
        <v/>
      </c>
      <c r="AE190" s="79" t="str">
        <f t="shared" si="22"/>
        <v/>
      </c>
      <c r="AF190" s="79" t="str">
        <f t="shared" si="17"/>
        <v/>
      </c>
      <c r="AG190" s="79">
        <f t="shared" si="18"/>
        <v>0</v>
      </c>
      <c r="AH190" s="79" t="str">
        <f t="shared" si="23"/>
        <v/>
      </c>
      <c r="AI190" s="79" t="str">
        <f t="shared" si="19"/>
        <v/>
      </c>
      <c r="AJ190" s="79">
        <f>IFERROR(SUM(AG190:AI190)/DATAINFO!$N$7,0)</f>
        <v>0</v>
      </c>
      <c r="AK190" s="155" t="str">
        <f t="shared" si="20"/>
        <v/>
      </c>
    </row>
    <row r="191" spans="1:37" ht="20.100000000000001" hidden="1" customHeight="1" x14ac:dyDescent="0.2">
      <c r="A191" s="67" t="str">
        <f>IF(B191="","",COUNTA($B$12:$B191))</f>
        <v/>
      </c>
      <c r="B191" s="147" t="str">
        <f>IF(Konversi!C190="","",Konversi!C190)</f>
        <v/>
      </c>
      <c r="C191" s="219" t="str">
        <f>IF(Konversi!B190="","",Konversi!B190)</f>
        <v/>
      </c>
      <c r="D191" s="219"/>
      <c r="E191" s="79" t="str">
        <f>SEKOR!BP182</f>
        <v/>
      </c>
      <c r="F191" s="79" t="str">
        <f>SEKOR!BQ182</f>
        <v/>
      </c>
      <c r="G191" s="79" t="str">
        <f>SEKOR!BT182</f>
        <v/>
      </c>
      <c r="H191" s="79" t="str">
        <f>IF(DATA!$F$18="YA",IF(SEKOR!BR182=0,"",SEKOR!BR182),"")</f>
        <v/>
      </c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>
        <f t="shared" si="21"/>
        <v>0</v>
      </c>
      <c r="AD191" s="79" t="str">
        <f t="shared" si="16"/>
        <v/>
      </c>
      <c r="AE191" s="79" t="str">
        <f t="shared" si="22"/>
        <v/>
      </c>
      <c r="AF191" s="79" t="str">
        <f t="shared" si="17"/>
        <v/>
      </c>
      <c r="AG191" s="79">
        <f t="shared" si="18"/>
        <v>0</v>
      </c>
      <c r="AH191" s="79" t="str">
        <f t="shared" si="23"/>
        <v/>
      </c>
      <c r="AI191" s="79" t="str">
        <f t="shared" si="19"/>
        <v/>
      </c>
      <c r="AJ191" s="79">
        <f>IFERROR(SUM(AG191:AI191)/DATAINFO!$N$7,0)</f>
        <v>0</v>
      </c>
      <c r="AK191" s="155" t="str">
        <f t="shared" si="20"/>
        <v/>
      </c>
    </row>
    <row r="192" spans="1:37" ht="20.100000000000001" hidden="1" customHeight="1" x14ac:dyDescent="0.2">
      <c r="A192" s="67" t="str">
        <f>IF(B192="","",COUNTA($B$12:$B192))</f>
        <v/>
      </c>
      <c r="B192" s="147" t="str">
        <f>IF(Konversi!C191="","",Konversi!C191)</f>
        <v/>
      </c>
      <c r="C192" s="219" t="str">
        <f>IF(Konversi!B191="","",Konversi!B191)</f>
        <v/>
      </c>
      <c r="D192" s="219"/>
      <c r="E192" s="79" t="str">
        <f>SEKOR!BP183</f>
        <v/>
      </c>
      <c r="F192" s="79" t="str">
        <f>SEKOR!BQ183</f>
        <v/>
      </c>
      <c r="G192" s="79" t="str">
        <f>SEKOR!BT183</f>
        <v/>
      </c>
      <c r="H192" s="79" t="str">
        <f>IF(DATA!$F$18="YA",IF(SEKOR!BR183=0,"",SEKOR!BR183),"")</f>
        <v/>
      </c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>
        <f t="shared" si="21"/>
        <v>0</v>
      </c>
      <c r="AD192" s="79" t="str">
        <f t="shared" si="16"/>
        <v/>
      </c>
      <c r="AE192" s="79" t="str">
        <f t="shared" si="22"/>
        <v/>
      </c>
      <c r="AF192" s="79" t="str">
        <f t="shared" si="17"/>
        <v/>
      </c>
      <c r="AG192" s="79">
        <f t="shared" si="18"/>
        <v>0</v>
      </c>
      <c r="AH192" s="79" t="str">
        <f t="shared" si="23"/>
        <v/>
      </c>
      <c r="AI192" s="79" t="str">
        <f t="shared" si="19"/>
        <v/>
      </c>
      <c r="AJ192" s="79">
        <f>IFERROR(SUM(AG192:AI192)/DATAINFO!$N$7,0)</f>
        <v>0</v>
      </c>
      <c r="AK192" s="155" t="str">
        <f t="shared" si="20"/>
        <v/>
      </c>
    </row>
    <row r="193" spans="1:37" ht="20.100000000000001" hidden="1" customHeight="1" x14ac:dyDescent="0.2">
      <c r="A193" s="67" t="str">
        <f>IF(B193="","",COUNTA($B$12:$B193))</f>
        <v/>
      </c>
      <c r="B193" s="147" t="str">
        <f>IF(Konversi!C192="","",Konversi!C192)</f>
        <v/>
      </c>
      <c r="C193" s="219" t="str">
        <f>IF(Konversi!B192="","",Konversi!B192)</f>
        <v/>
      </c>
      <c r="D193" s="219"/>
      <c r="E193" s="79" t="str">
        <f>SEKOR!BP184</f>
        <v/>
      </c>
      <c r="F193" s="79" t="str">
        <f>SEKOR!BQ184</f>
        <v/>
      </c>
      <c r="G193" s="79" t="str">
        <f>SEKOR!BT184</f>
        <v/>
      </c>
      <c r="H193" s="79" t="str">
        <f>IF(DATA!$F$18="YA",IF(SEKOR!BR184=0,"",SEKOR!BR184),"")</f>
        <v/>
      </c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>
        <f t="shared" si="21"/>
        <v>0</v>
      </c>
      <c r="AD193" s="79" t="str">
        <f t="shared" si="16"/>
        <v/>
      </c>
      <c r="AE193" s="79" t="str">
        <f t="shared" si="22"/>
        <v/>
      </c>
      <c r="AF193" s="79" t="str">
        <f t="shared" si="17"/>
        <v/>
      </c>
      <c r="AG193" s="79">
        <f t="shared" si="18"/>
        <v>0</v>
      </c>
      <c r="AH193" s="79" t="str">
        <f t="shared" si="23"/>
        <v/>
      </c>
      <c r="AI193" s="79" t="str">
        <f t="shared" si="19"/>
        <v/>
      </c>
      <c r="AJ193" s="79">
        <f>IFERROR(SUM(AG193:AI193)/DATAINFO!$N$7,0)</f>
        <v>0</v>
      </c>
      <c r="AK193" s="155" t="str">
        <f t="shared" si="20"/>
        <v/>
      </c>
    </row>
    <row r="194" spans="1:37" ht="20.100000000000001" hidden="1" customHeight="1" x14ac:dyDescent="0.2">
      <c r="A194" s="67" t="str">
        <f>IF(B194="","",COUNTA($B$12:$B194))</f>
        <v/>
      </c>
      <c r="B194" s="147" t="str">
        <f>IF(Konversi!C193="","",Konversi!C193)</f>
        <v/>
      </c>
      <c r="C194" s="219" t="str">
        <f>IF(Konversi!B193="","",Konversi!B193)</f>
        <v/>
      </c>
      <c r="D194" s="219"/>
      <c r="E194" s="79" t="str">
        <f>SEKOR!BP185</f>
        <v/>
      </c>
      <c r="F194" s="79" t="str">
        <f>SEKOR!BQ185</f>
        <v/>
      </c>
      <c r="G194" s="79" t="str">
        <f>SEKOR!BT185</f>
        <v/>
      </c>
      <c r="H194" s="79" t="str">
        <f>IF(DATA!$F$18="YA",IF(SEKOR!BR185=0,"",SEKOR!BR185),"")</f>
        <v/>
      </c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>
        <f t="shared" si="21"/>
        <v>0</v>
      </c>
      <c r="AD194" s="79" t="str">
        <f t="shared" si="16"/>
        <v/>
      </c>
      <c r="AE194" s="79" t="str">
        <f t="shared" si="22"/>
        <v/>
      </c>
      <c r="AF194" s="79" t="str">
        <f t="shared" si="17"/>
        <v/>
      </c>
      <c r="AG194" s="79">
        <f t="shared" si="18"/>
        <v>0</v>
      </c>
      <c r="AH194" s="79" t="str">
        <f t="shared" si="23"/>
        <v/>
      </c>
      <c r="AI194" s="79" t="str">
        <f t="shared" si="19"/>
        <v/>
      </c>
      <c r="AJ194" s="79">
        <f>IFERROR(SUM(AG194:AI194)/DATAINFO!$N$7,0)</f>
        <v>0</v>
      </c>
      <c r="AK194" s="155" t="str">
        <f t="shared" si="20"/>
        <v/>
      </c>
    </row>
    <row r="195" spans="1:37" ht="20.100000000000001" hidden="1" customHeight="1" x14ac:dyDescent="0.2">
      <c r="A195" s="67" t="str">
        <f>IF(B195="","",COUNTA($B$12:$B195))</f>
        <v/>
      </c>
      <c r="B195" s="147" t="str">
        <f>IF(Konversi!C194="","",Konversi!C194)</f>
        <v/>
      </c>
      <c r="C195" s="219" t="str">
        <f>IF(Konversi!B194="","",Konversi!B194)</f>
        <v/>
      </c>
      <c r="D195" s="219"/>
      <c r="E195" s="79" t="str">
        <f>SEKOR!BP186</f>
        <v/>
      </c>
      <c r="F195" s="79" t="str">
        <f>SEKOR!BQ186</f>
        <v/>
      </c>
      <c r="G195" s="79" t="str">
        <f>SEKOR!BT186</f>
        <v/>
      </c>
      <c r="H195" s="79" t="str">
        <f>IF(DATA!$F$18="YA",IF(SEKOR!BR186=0,"",SEKOR!BR186),"")</f>
        <v/>
      </c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>
        <f t="shared" si="21"/>
        <v>0</v>
      </c>
      <c r="AD195" s="79" t="str">
        <f t="shared" si="16"/>
        <v/>
      </c>
      <c r="AE195" s="79" t="str">
        <f t="shared" si="22"/>
        <v/>
      </c>
      <c r="AF195" s="79" t="str">
        <f t="shared" si="17"/>
        <v/>
      </c>
      <c r="AG195" s="79">
        <f t="shared" si="18"/>
        <v>0</v>
      </c>
      <c r="AH195" s="79" t="str">
        <f t="shared" si="23"/>
        <v/>
      </c>
      <c r="AI195" s="79" t="str">
        <f t="shared" si="19"/>
        <v/>
      </c>
      <c r="AJ195" s="79">
        <f>IFERROR(SUM(AG195:AI195)/DATAINFO!$N$7,0)</f>
        <v>0</v>
      </c>
      <c r="AK195" s="155" t="str">
        <f t="shared" si="20"/>
        <v/>
      </c>
    </row>
    <row r="196" spans="1:37" ht="20.100000000000001" hidden="1" customHeight="1" x14ac:dyDescent="0.2">
      <c r="A196" s="67" t="str">
        <f>IF(B196="","",COUNTA($B$12:$B196))</f>
        <v/>
      </c>
      <c r="B196" s="147" t="str">
        <f>IF(Konversi!C195="","",Konversi!C195)</f>
        <v/>
      </c>
      <c r="C196" s="219" t="str">
        <f>IF(Konversi!B195="","",Konversi!B195)</f>
        <v/>
      </c>
      <c r="D196" s="219"/>
      <c r="E196" s="79" t="str">
        <f>SEKOR!BP187</f>
        <v/>
      </c>
      <c r="F196" s="79" t="str">
        <f>SEKOR!BQ187</f>
        <v/>
      </c>
      <c r="G196" s="79" t="str">
        <f>SEKOR!BT187</f>
        <v/>
      </c>
      <c r="H196" s="79" t="str">
        <f>IF(DATA!$F$18="YA",IF(SEKOR!BR187=0,"",SEKOR!BR187),"")</f>
        <v/>
      </c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>
        <f t="shared" si="21"/>
        <v>0</v>
      </c>
      <c r="AD196" s="79" t="str">
        <f t="shared" ref="AD196:AD231" si="24">IFERROR(IF($B196="","",(SUM(I196:AB196)/$D$3)*$AD$11),0)</f>
        <v/>
      </c>
      <c r="AE196" s="79" t="str">
        <f t="shared" si="22"/>
        <v/>
      </c>
      <c r="AF196" s="79" t="str">
        <f t="shared" ref="AF196:AF231" si="25">IFERROR(IF($B196="","",IF($D$1="KONVERT","",IF(H196="","",($H196*$AF$11)))),0)</f>
        <v/>
      </c>
      <c r="AG196" s="79">
        <f t="shared" ref="AG196:AG231" si="26">SUM(I196:AB196)/$D$3</f>
        <v>0</v>
      </c>
      <c r="AH196" s="79" t="str">
        <f t="shared" si="23"/>
        <v/>
      </c>
      <c r="AI196" s="79" t="str">
        <f t="shared" ref="AI196:AI231" si="27">IF($B196="","",IF($D$1="KONVERT","",IF(H196="","",$H196)))</f>
        <v/>
      </c>
      <c r="AJ196" s="79">
        <f>IFERROR(SUM(AG196:AI196)/DATAINFO!$N$7,0)</f>
        <v>0</v>
      </c>
      <c r="AK196" s="155" t="str">
        <f t="shared" ref="AK196:AK231" si="28">IF($B196="","",IF(AJ196&gt;0,AJ196,SUM(AD196:AF196)))</f>
        <v/>
      </c>
    </row>
    <row r="197" spans="1:37" ht="20.100000000000001" hidden="1" customHeight="1" x14ac:dyDescent="0.2">
      <c r="A197" s="67" t="str">
        <f>IF(B197="","",COUNTA($B$12:$B197))</f>
        <v/>
      </c>
      <c r="B197" s="147" t="str">
        <f>IF(Konversi!C196="","",Konversi!C196)</f>
        <v/>
      </c>
      <c r="C197" s="219" t="str">
        <f>IF(Konversi!B196="","",Konversi!B196)</f>
        <v/>
      </c>
      <c r="D197" s="219"/>
      <c r="E197" s="79" t="str">
        <f>SEKOR!BP188</f>
        <v/>
      </c>
      <c r="F197" s="79" t="str">
        <f>SEKOR!BQ188</f>
        <v/>
      </c>
      <c r="G197" s="79" t="str">
        <f>SEKOR!BT188</f>
        <v/>
      </c>
      <c r="H197" s="79" t="str">
        <f>IF(DATA!$F$18="YA",IF(SEKOR!BR188=0,"",SEKOR!BR188),"")</f>
        <v/>
      </c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>
        <f t="shared" si="21"/>
        <v>0</v>
      </c>
      <c r="AD197" s="79" t="str">
        <f t="shared" si="24"/>
        <v/>
      </c>
      <c r="AE197" s="79" t="str">
        <f t="shared" si="22"/>
        <v/>
      </c>
      <c r="AF197" s="79" t="str">
        <f t="shared" si="25"/>
        <v/>
      </c>
      <c r="AG197" s="79">
        <f t="shared" si="26"/>
        <v>0</v>
      </c>
      <c r="AH197" s="79" t="str">
        <f t="shared" si="23"/>
        <v/>
      </c>
      <c r="AI197" s="79" t="str">
        <f t="shared" si="27"/>
        <v/>
      </c>
      <c r="AJ197" s="79">
        <f>IFERROR(SUM(AG197:AI197)/DATAINFO!$N$7,0)</f>
        <v>0</v>
      </c>
      <c r="AK197" s="155" t="str">
        <f t="shared" si="28"/>
        <v/>
      </c>
    </row>
    <row r="198" spans="1:37" ht="20.100000000000001" hidden="1" customHeight="1" x14ac:dyDescent="0.2">
      <c r="A198" s="67" t="str">
        <f>IF(B198="","",COUNTA($B$12:$B198))</f>
        <v/>
      </c>
      <c r="B198" s="147" t="str">
        <f>IF(Konversi!C197="","",Konversi!C197)</f>
        <v/>
      </c>
      <c r="C198" s="219" t="str">
        <f>IF(Konversi!B197="","",Konversi!B197)</f>
        <v/>
      </c>
      <c r="D198" s="219"/>
      <c r="E198" s="79" t="str">
        <f>SEKOR!BP189</f>
        <v/>
      </c>
      <c r="F198" s="79" t="str">
        <f>SEKOR!BQ189</f>
        <v/>
      </c>
      <c r="G198" s="79" t="str">
        <f>SEKOR!BT189</f>
        <v/>
      </c>
      <c r="H198" s="79" t="str">
        <f>IF(DATA!$F$18="YA",IF(SEKOR!BR189=0,"",SEKOR!BR189),"")</f>
        <v/>
      </c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>
        <f t="shared" si="21"/>
        <v>0</v>
      </c>
      <c r="AD198" s="79" t="str">
        <f t="shared" si="24"/>
        <v/>
      </c>
      <c r="AE198" s="79" t="str">
        <f t="shared" si="22"/>
        <v/>
      </c>
      <c r="AF198" s="79" t="str">
        <f t="shared" si="25"/>
        <v/>
      </c>
      <c r="AG198" s="79">
        <f t="shared" si="26"/>
        <v>0</v>
      </c>
      <c r="AH198" s="79" t="str">
        <f t="shared" si="23"/>
        <v/>
      </c>
      <c r="AI198" s="79" t="str">
        <f t="shared" si="27"/>
        <v/>
      </c>
      <c r="AJ198" s="79">
        <f>IFERROR(SUM(AG198:AI198)/DATAINFO!$N$7,0)</f>
        <v>0</v>
      </c>
      <c r="AK198" s="155" t="str">
        <f t="shared" si="28"/>
        <v/>
      </c>
    </row>
    <row r="199" spans="1:37" ht="20.100000000000001" hidden="1" customHeight="1" x14ac:dyDescent="0.2">
      <c r="A199" s="67" t="str">
        <f>IF(B199="","",COUNTA($B$12:$B199))</f>
        <v/>
      </c>
      <c r="B199" s="147" t="str">
        <f>IF(Konversi!C198="","",Konversi!C198)</f>
        <v/>
      </c>
      <c r="C199" s="219" t="str">
        <f>IF(Konversi!B198="","",Konversi!B198)</f>
        <v/>
      </c>
      <c r="D199" s="219"/>
      <c r="E199" s="79" t="str">
        <f>SEKOR!BP190</f>
        <v/>
      </c>
      <c r="F199" s="79" t="str">
        <f>SEKOR!BQ190</f>
        <v/>
      </c>
      <c r="G199" s="79" t="str">
        <f>SEKOR!BT190</f>
        <v/>
      </c>
      <c r="H199" s="79" t="str">
        <f>IF(DATA!$F$18="YA",IF(SEKOR!BR190=0,"",SEKOR!BR190),"")</f>
        <v/>
      </c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>
        <f t="shared" si="21"/>
        <v>0</v>
      </c>
      <c r="AD199" s="79" t="str">
        <f t="shared" si="24"/>
        <v/>
      </c>
      <c r="AE199" s="79" t="str">
        <f t="shared" si="22"/>
        <v/>
      </c>
      <c r="AF199" s="79" t="str">
        <f t="shared" si="25"/>
        <v/>
      </c>
      <c r="AG199" s="79">
        <f t="shared" si="26"/>
        <v>0</v>
      </c>
      <c r="AH199" s="79" t="str">
        <f t="shared" si="23"/>
        <v/>
      </c>
      <c r="AI199" s="79" t="str">
        <f t="shared" si="27"/>
        <v/>
      </c>
      <c r="AJ199" s="79">
        <f>IFERROR(SUM(AG199:AI199)/DATAINFO!$N$7,0)</f>
        <v>0</v>
      </c>
      <c r="AK199" s="155" t="str">
        <f t="shared" si="28"/>
        <v/>
      </c>
    </row>
    <row r="200" spans="1:37" ht="20.100000000000001" hidden="1" customHeight="1" x14ac:dyDescent="0.2">
      <c r="A200" s="67" t="str">
        <f>IF(B200="","",COUNTA($B$12:$B200))</f>
        <v/>
      </c>
      <c r="B200" s="147" t="str">
        <f>IF(Konversi!C199="","",Konversi!C199)</f>
        <v/>
      </c>
      <c r="C200" s="219" t="str">
        <f>IF(Konversi!B199="","",Konversi!B199)</f>
        <v/>
      </c>
      <c r="D200" s="219"/>
      <c r="E200" s="79" t="str">
        <f>SEKOR!BP191</f>
        <v/>
      </c>
      <c r="F200" s="79" t="str">
        <f>SEKOR!BQ191</f>
        <v/>
      </c>
      <c r="G200" s="79" t="str">
        <f>SEKOR!BT191</f>
        <v/>
      </c>
      <c r="H200" s="79" t="str">
        <f>IF(DATA!$F$18="YA",IF(SEKOR!BR191=0,"",SEKOR!BR191),"")</f>
        <v/>
      </c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>
        <f t="shared" si="21"/>
        <v>0</v>
      </c>
      <c r="AD200" s="79" t="str">
        <f t="shared" si="24"/>
        <v/>
      </c>
      <c r="AE200" s="79" t="str">
        <f t="shared" si="22"/>
        <v/>
      </c>
      <c r="AF200" s="79" t="str">
        <f t="shared" si="25"/>
        <v/>
      </c>
      <c r="AG200" s="79">
        <f t="shared" si="26"/>
        <v>0</v>
      </c>
      <c r="AH200" s="79" t="str">
        <f t="shared" si="23"/>
        <v/>
      </c>
      <c r="AI200" s="79" t="str">
        <f t="shared" si="27"/>
        <v/>
      </c>
      <c r="AJ200" s="79">
        <f>IFERROR(SUM(AG200:AI200)/DATAINFO!$N$7,0)</f>
        <v>0</v>
      </c>
      <c r="AK200" s="155" t="str">
        <f t="shared" si="28"/>
        <v/>
      </c>
    </row>
    <row r="201" spans="1:37" ht="20.100000000000001" hidden="1" customHeight="1" x14ac:dyDescent="0.2">
      <c r="A201" s="67" t="str">
        <f>IF(B201="","",COUNTA($B$12:$B201))</f>
        <v/>
      </c>
      <c r="B201" s="147" t="str">
        <f>IF(Konversi!C200="","",Konversi!C200)</f>
        <v/>
      </c>
      <c r="C201" s="219" t="str">
        <f>IF(Konversi!B200="","",Konversi!B200)</f>
        <v/>
      </c>
      <c r="D201" s="219"/>
      <c r="E201" s="79" t="str">
        <f>SEKOR!BP192</f>
        <v/>
      </c>
      <c r="F201" s="79" t="str">
        <f>SEKOR!BQ192</f>
        <v/>
      </c>
      <c r="G201" s="79" t="str">
        <f>SEKOR!BT192</f>
        <v/>
      </c>
      <c r="H201" s="79" t="str">
        <f>IF(DATA!$F$18="YA",IF(SEKOR!BR192=0,"",SEKOR!BR192),"")</f>
        <v/>
      </c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>
        <f t="shared" si="21"/>
        <v>0</v>
      </c>
      <c r="AD201" s="79" t="str">
        <f t="shared" si="24"/>
        <v/>
      </c>
      <c r="AE201" s="79" t="str">
        <f t="shared" si="22"/>
        <v/>
      </c>
      <c r="AF201" s="79" t="str">
        <f t="shared" si="25"/>
        <v/>
      </c>
      <c r="AG201" s="79">
        <f t="shared" si="26"/>
        <v>0</v>
      </c>
      <c r="AH201" s="79" t="str">
        <f t="shared" si="23"/>
        <v/>
      </c>
      <c r="AI201" s="79" t="str">
        <f t="shared" si="27"/>
        <v/>
      </c>
      <c r="AJ201" s="79">
        <f>IFERROR(SUM(AG201:AI201)/DATAINFO!$N$7,0)</f>
        <v>0</v>
      </c>
      <c r="AK201" s="155" t="str">
        <f t="shared" si="28"/>
        <v/>
      </c>
    </row>
    <row r="202" spans="1:37" ht="20.100000000000001" hidden="1" customHeight="1" x14ac:dyDescent="0.2">
      <c r="A202" s="67" t="str">
        <f>IF(B202="","",COUNTA($B$12:$B202))</f>
        <v/>
      </c>
      <c r="B202" s="147" t="str">
        <f>IF(Konversi!C201="","",Konversi!C201)</f>
        <v/>
      </c>
      <c r="C202" s="219" t="str">
        <f>IF(Konversi!B201="","",Konversi!B201)</f>
        <v/>
      </c>
      <c r="D202" s="219"/>
      <c r="E202" s="79" t="str">
        <f>SEKOR!BP193</f>
        <v/>
      </c>
      <c r="F202" s="79" t="str">
        <f>SEKOR!BQ193</f>
        <v/>
      </c>
      <c r="G202" s="79" t="str">
        <f>SEKOR!BT193</f>
        <v/>
      </c>
      <c r="H202" s="79" t="str">
        <f>IF(DATA!$F$18="YA",IF(SEKOR!BR193=0,"",SEKOR!BR193),"")</f>
        <v/>
      </c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>
        <f t="shared" si="21"/>
        <v>0</v>
      </c>
      <c r="AD202" s="79" t="str">
        <f t="shared" si="24"/>
        <v/>
      </c>
      <c r="AE202" s="79" t="str">
        <f t="shared" si="22"/>
        <v/>
      </c>
      <c r="AF202" s="79" t="str">
        <f t="shared" si="25"/>
        <v/>
      </c>
      <c r="AG202" s="79">
        <f t="shared" si="26"/>
        <v>0</v>
      </c>
      <c r="AH202" s="79" t="str">
        <f t="shared" si="23"/>
        <v/>
      </c>
      <c r="AI202" s="79" t="str">
        <f t="shared" si="27"/>
        <v/>
      </c>
      <c r="AJ202" s="79">
        <f>IFERROR(SUM(AG202:AI202)/DATAINFO!$N$7,0)</f>
        <v>0</v>
      </c>
      <c r="AK202" s="155" t="str">
        <f t="shared" si="28"/>
        <v/>
      </c>
    </row>
    <row r="203" spans="1:37" ht="20.100000000000001" hidden="1" customHeight="1" x14ac:dyDescent="0.2">
      <c r="A203" s="67" t="str">
        <f>IF(B203="","",COUNTA($B$12:$B203))</f>
        <v/>
      </c>
      <c r="B203" s="147" t="str">
        <f>IF(Konversi!C202="","",Konversi!C202)</f>
        <v/>
      </c>
      <c r="C203" s="219" t="str">
        <f>IF(Konversi!B202="","",Konversi!B202)</f>
        <v/>
      </c>
      <c r="D203" s="219"/>
      <c r="E203" s="79" t="str">
        <f>SEKOR!BP194</f>
        <v/>
      </c>
      <c r="F203" s="79" t="str">
        <f>SEKOR!BQ194</f>
        <v/>
      </c>
      <c r="G203" s="79" t="str">
        <f>SEKOR!BT194</f>
        <v/>
      </c>
      <c r="H203" s="79" t="str">
        <f>IF(DATA!$F$18="YA",IF(SEKOR!BR194=0,"",SEKOR!BR194),"")</f>
        <v/>
      </c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>
        <f t="shared" si="21"/>
        <v>0</v>
      </c>
      <c r="AD203" s="79" t="str">
        <f t="shared" si="24"/>
        <v/>
      </c>
      <c r="AE203" s="79" t="str">
        <f t="shared" si="22"/>
        <v/>
      </c>
      <c r="AF203" s="79" t="str">
        <f t="shared" si="25"/>
        <v/>
      </c>
      <c r="AG203" s="79">
        <f t="shared" si="26"/>
        <v>0</v>
      </c>
      <c r="AH203" s="79" t="str">
        <f t="shared" si="23"/>
        <v/>
      </c>
      <c r="AI203" s="79" t="str">
        <f t="shared" si="27"/>
        <v/>
      </c>
      <c r="AJ203" s="79">
        <f>IFERROR(SUM(AG203:AI203)/DATAINFO!$N$7,0)</f>
        <v>0</v>
      </c>
      <c r="AK203" s="155" t="str">
        <f t="shared" si="28"/>
        <v/>
      </c>
    </row>
    <row r="204" spans="1:37" ht="20.100000000000001" hidden="1" customHeight="1" x14ac:dyDescent="0.2">
      <c r="A204" s="67" t="str">
        <f>IF(B204="","",COUNTA($B$12:$B204))</f>
        <v/>
      </c>
      <c r="B204" s="147" t="str">
        <f>IF(Konversi!C203="","",Konversi!C203)</f>
        <v/>
      </c>
      <c r="C204" s="219" t="str">
        <f>IF(Konversi!B203="","",Konversi!B203)</f>
        <v/>
      </c>
      <c r="D204" s="219"/>
      <c r="E204" s="79" t="str">
        <f>SEKOR!BP195</f>
        <v/>
      </c>
      <c r="F204" s="79" t="str">
        <f>SEKOR!BQ195</f>
        <v/>
      </c>
      <c r="G204" s="79" t="str">
        <f>SEKOR!BT195</f>
        <v/>
      </c>
      <c r="H204" s="79" t="str">
        <f>IF(DATA!$F$18="YA",IF(SEKOR!BR195=0,"",SEKOR!BR195),"")</f>
        <v/>
      </c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>
        <f t="shared" si="21"/>
        <v>0</v>
      </c>
      <c r="AD204" s="79" t="str">
        <f t="shared" si="24"/>
        <v/>
      </c>
      <c r="AE204" s="79" t="str">
        <f t="shared" si="22"/>
        <v/>
      </c>
      <c r="AF204" s="79" t="str">
        <f t="shared" si="25"/>
        <v/>
      </c>
      <c r="AG204" s="79">
        <f t="shared" si="26"/>
        <v>0</v>
      </c>
      <c r="AH204" s="79" t="str">
        <f t="shared" si="23"/>
        <v/>
      </c>
      <c r="AI204" s="79" t="str">
        <f t="shared" si="27"/>
        <v/>
      </c>
      <c r="AJ204" s="79">
        <f>IFERROR(SUM(AG204:AI204)/DATAINFO!$N$7,0)</f>
        <v>0</v>
      </c>
      <c r="AK204" s="155" t="str">
        <f t="shared" si="28"/>
        <v/>
      </c>
    </row>
    <row r="205" spans="1:37" ht="20.100000000000001" hidden="1" customHeight="1" x14ac:dyDescent="0.2">
      <c r="A205" s="67" t="str">
        <f>IF(B205="","",COUNTA($B$12:$B205))</f>
        <v/>
      </c>
      <c r="B205" s="147" t="str">
        <f>IF(Konversi!C204="","",Konversi!C204)</f>
        <v/>
      </c>
      <c r="C205" s="219" t="str">
        <f>IF(Konversi!B204="","",Konversi!B204)</f>
        <v/>
      </c>
      <c r="D205" s="219"/>
      <c r="E205" s="79" t="str">
        <f>SEKOR!BP196</f>
        <v/>
      </c>
      <c r="F205" s="79" t="str">
        <f>SEKOR!BQ196</f>
        <v/>
      </c>
      <c r="G205" s="79" t="str">
        <f>SEKOR!BT196</f>
        <v/>
      </c>
      <c r="H205" s="79" t="str">
        <f>IF(DATA!$F$18="YA",IF(SEKOR!BR196=0,"",SEKOR!BR196),"")</f>
        <v/>
      </c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>
        <f t="shared" ref="AC205:AC231" si="29">IFERROR(SUM(I205:AB205),0)</f>
        <v>0</v>
      </c>
      <c r="AD205" s="79" t="str">
        <f t="shared" si="24"/>
        <v/>
      </c>
      <c r="AE205" s="79" t="str">
        <f t="shared" ref="AE205:AE231" si="30">IFERROR(IF($B205="","",IF($D$1="PAP",($E205*$AE$11),IF($D$1="PAN",($F205*$AE$11),IF($D$1="KONVERT",$G205*$AE$11)))),0)</f>
        <v/>
      </c>
      <c r="AF205" s="79" t="str">
        <f t="shared" si="25"/>
        <v/>
      </c>
      <c r="AG205" s="79">
        <f t="shared" si="26"/>
        <v>0</v>
      </c>
      <c r="AH205" s="79" t="str">
        <f t="shared" ref="AH205:AH231" si="31">IF($B205="","",IF($D$1="PAP",($E205),IF($D$1="PAN",($F205),IF($D$1="KONVERT",$G205))))</f>
        <v/>
      </c>
      <c r="AI205" s="79" t="str">
        <f t="shared" si="27"/>
        <v/>
      </c>
      <c r="AJ205" s="79">
        <f>IFERROR(SUM(AG205:AI205)/DATAINFO!$N$7,0)</f>
        <v>0</v>
      </c>
      <c r="AK205" s="155" t="str">
        <f t="shared" si="28"/>
        <v/>
      </c>
    </row>
    <row r="206" spans="1:37" ht="20.100000000000001" hidden="1" customHeight="1" x14ac:dyDescent="0.2">
      <c r="A206" s="67" t="str">
        <f>IF(B206="","",COUNTA($B$12:$B206))</f>
        <v/>
      </c>
      <c r="B206" s="147" t="str">
        <f>IF(Konversi!C205="","",Konversi!C205)</f>
        <v/>
      </c>
      <c r="C206" s="219" t="str">
        <f>IF(Konversi!B205="","",Konversi!B205)</f>
        <v/>
      </c>
      <c r="D206" s="219"/>
      <c r="E206" s="79" t="str">
        <f>SEKOR!BP197</f>
        <v/>
      </c>
      <c r="F206" s="79" t="str">
        <f>SEKOR!BQ197</f>
        <v/>
      </c>
      <c r="G206" s="79" t="str">
        <f>SEKOR!BT197</f>
        <v/>
      </c>
      <c r="H206" s="79" t="str">
        <f>IF(DATA!$F$18="YA",IF(SEKOR!BR197=0,"",SEKOR!BR197),"")</f>
        <v/>
      </c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>
        <f t="shared" si="29"/>
        <v>0</v>
      </c>
      <c r="AD206" s="79" t="str">
        <f t="shared" si="24"/>
        <v/>
      </c>
      <c r="AE206" s="79" t="str">
        <f t="shared" si="30"/>
        <v/>
      </c>
      <c r="AF206" s="79" t="str">
        <f t="shared" si="25"/>
        <v/>
      </c>
      <c r="AG206" s="79">
        <f t="shared" si="26"/>
        <v>0</v>
      </c>
      <c r="AH206" s="79" t="str">
        <f t="shared" si="31"/>
        <v/>
      </c>
      <c r="AI206" s="79" t="str">
        <f t="shared" si="27"/>
        <v/>
      </c>
      <c r="AJ206" s="79">
        <f>IFERROR(SUM(AG206:AI206)/DATAINFO!$N$7,0)</f>
        <v>0</v>
      </c>
      <c r="AK206" s="155" t="str">
        <f t="shared" si="28"/>
        <v/>
      </c>
    </row>
    <row r="207" spans="1:37" ht="20.100000000000001" hidden="1" customHeight="1" x14ac:dyDescent="0.2">
      <c r="A207" s="67" t="str">
        <f>IF(B207="","",COUNTA($B$12:$B207))</f>
        <v/>
      </c>
      <c r="B207" s="147" t="str">
        <f>IF(Konversi!C206="","",Konversi!C206)</f>
        <v/>
      </c>
      <c r="C207" s="219" t="str">
        <f>IF(Konversi!B206="","",Konversi!B206)</f>
        <v/>
      </c>
      <c r="D207" s="219"/>
      <c r="E207" s="79" t="str">
        <f>SEKOR!BP198</f>
        <v/>
      </c>
      <c r="F207" s="79" t="str">
        <f>SEKOR!BQ198</f>
        <v/>
      </c>
      <c r="G207" s="79" t="str">
        <f>SEKOR!BT198</f>
        <v/>
      </c>
      <c r="H207" s="79" t="str">
        <f>IF(DATA!$F$18="YA",IF(SEKOR!BR198=0,"",SEKOR!BR198),"")</f>
        <v/>
      </c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>
        <f t="shared" si="29"/>
        <v>0</v>
      </c>
      <c r="AD207" s="79" t="str">
        <f t="shared" si="24"/>
        <v/>
      </c>
      <c r="AE207" s="79" t="str">
        <f t="shared" si="30"/>
        <v/>
      </c>
      <c r="AF207" s="79" t="str">
        <f t="shared" si="25"/>
        <v/>
      </c>
      <c r="AG207" s="79">
        <f t="shared" si="26"/>
        <v>0</v>
      </c>
      <c r="AH207" s="79" t="str">
        <f t="shared" si="31"/>
        <v/>
      </c>
      <c r="AI207" s="79" t="str">
        <f t="shared" si="27"/>
        <v/>
      </c>
      <c r="AJ207" s="79">
        <f>IFERROR(SUM(AG207:AI207)/DATAINFO!$N$7,0)</f>
        <v>0</v>
      </c>
      <c r="AK207" s="155" t="str">
        <f t="shared" si="28"/>
        <v/>
      </c>
    </row>
    <row r="208" spans="1:37" ht="20.100000000000001" hidden="1" customHeight="1" x14ac:dyDescent="0.2">
      <c r="A208" s="67" t="str">
        <f>IF(B208="","",COUNTA($B$12:$B208))</f>
        <v/>
      </c>
      <c r="B208" s="147" t="str">
        <f>IF(Konversi!C207="","",Konversi!C207)</f>
        <v/>
      </c>
      <c r="C208" s="219" t="str">
        <f>IF(Konversi!B207="","",Konversi!B207)</f>
        <v/>
      </c>
      <c r="D208" s="219"/>
      <c r="E208" s="79" t="str">
        <f>SEKOR!BP199</f>
        <v/>
      </c>
      <c r="F208" s="79" t="str">
        <f>SEKOR!BQ199</f>
        <v/>
      </c>
      <c r="G208" s="79" t="str">
        <f>SEKOR!BT199</f>
        <v/>
      </c>
      <c r="H208" s="79" t="str">
        <f>IF(DATA!$F$18="YA",IF(SEKOR!BR199=0,"",SEKOR!BR199),"")</f>
        <v/>
      </c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>
        <f t="shared" si="29"/>
        <v>0</v>
      </c>
      <c r="AD208" s="79" t="str">
        <f t="shared" si="24"/>
        <v/>
      </c>
      <c r="AE208" s="79" t="str">
        <f t="shared" si="30"/>
        <v/>
      </c>
      <c r="AF208" s="79" t="str">
        <f t="shared" si="25"/>
        <v/>
      </c>
      <c r="AG208" s="79">
        <f t="shared" si="26"/>
        <v>0</v>
      </c>
      <c r="AH208" s="79" t="str">
        <f t="shared" si="31"/>
        <v/>
      </c>
      <c r="AI208" s="79" t="str">
        <f t="shared" si="27"/>
        <v/>
      </c>
      <c r="AJ208" s="79">
        <f>IFERROR(SUM(AG208:AI208)/DATAINFO!$N$7,0)</f>
        <v>0</v>
      </c>
      <c r="AK208" s="155" t="str">
        <f t="shared" si="28"/>
        <v/>
      </c>
    </row>
    <row r="209" spans="1:37" ht="20.100000000000001" hidden="1" customHeight="1" x14ac:dyDescent="0.2">
      <c r="A209" s="67" t="str">
        <f>IF(B209="","",COUNTA($B$12:$B209))</f>
        <v/>
      </c>
      <c r="B209" s="147" t="str">
        <f>IF(Konversi!C208="","",Konversi!C208)</f>
        <v/>
      </c>
      <c r="C209" s="219" t="str">
        <f>IF(Konversi!B208="","",Konversi!B208)</f>
        <v/>
      </c>
      <c r="D209" s="219"/>
      <c r="E209" s="79" t="str">
        <f>SEKOR!BP200</f>
        <v/>
      </c>
      <c r="F209" s="79" t="str">
        <f>SEKOR!BQ200</f>
        <v/>
      </c>
      <c r="G209" s="79" t="str">
        <f>SEKOR!BT200</f>
        <v/>
      </c>
      <c r="H209" s="79" t="str">
        <f>IF(DATA!$F$18="YA",IF(SEKOR!BR200=0,"",SEKOR!BR200),"")</f>
        <v/>
      </c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>
        <f t="shared" si="29"/>
        <v>0</v>
      </c>
      <c r="AD209" s="79" t="str">
        <f t="shared" si="24"/>
        <v/>
      </c>
      <c r="AE209" s="79" t="str">
        <f t="shared" si="30"/>
        <v/>
      </c>
      <c r="AF209" s="79" t="str">
        <f t="shared" si="25"/>
        <v/>
      </c>
      <c r="AG209" s="79">
        <f t="shared" si="26"/>
        <v>0</v>
      </c>
      <c r="AH209" s="79" t="str">
        <f t="shared" si="31"/>
        <v/>
      </c>
      <c r="AI209" s="79" t="str">
        <f t="shared" si="27"/>
        <v/>
      </c>
      <c r="AJ209" s="79">
        <f>IFERROR(SUM(AG209:AI209)/DATAINFO!$N$7,0)</f>
        <v>0</v>
      </c>
      <c r="AK209" s="155" t="str">
        <f t="shared" si="28"/>
        <v/>
      </c>
    </row>
    <row r="210" spans="1:37" ht="20.100000000000001" hidden="1" customHeight="1" x14ac:dyDescent="0.2">
      <c r="A210" s="67" t="str">
        <f>IF(B210="","",COUNTA($B$12:$B210))</f>
        <v/>
      </c>
      <c r="B210" s="147" t="str">
        <f>IF(Konversi!C209="","",Konversi!C209)</f>
        <v/>
      </c>
      <c r="C210" s="219" t="str">
        <f>IF(Konversi!B209="","",Konversi!B209)</f>
        <v/>
      </c>
      <c r="D210" s="219"/>
      <c r="E210" s="79" t="str">
        <f>SEKOR!BP201</f>
        <v/>
      </c>
      <c r="F210" s="79" t="str">
        <f>SEKOR!BQ201</f>
        <v/>
      </c>
      <c r="G210" s="79" t="str">
        <f>SEKOR!BT201</f>
        <v/>
      </c>
      <c r="H210" s="79" t="str">
        <f>IF(DATA!$F$18="YA",IF(SEKOR!BR201=0,"",SEKOR!BR201),"")</f>
        <v/>
      </c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>
        <f t="shared" si="29"/>
        <v>0</v>
      </c>
      <c r="AD210" s="79" t="str">
        <f t="shared" si="24"/>
        <v/>
      </c>
      <c r="AE210" s="79" t="str">
        <f t="shared" si="30"/>
        <v/>
      </c>
      <c r="AF210" s="79" t="str">
        <f t="shared" si="25"/>
        <v/>
      </c>
      <c r="AG210" s="79">
        <f t="shared" si="26"/>
        <v>0</v>
      </c>
      <c r="AH210" s="79" t="str">
        <f t="shared" si="31"/>
        <v/>
      </c>
      <c r="AI210" s="79" t="str">
        <f t="shared" si="27"/>
        <v/>
      </c>
      <c r="AJ210" s="79">
        <f>IFERROR(SUM(AG210:AI210)/DATAINFO!$N$7,0)</f>
        <v>0</v>
      </c>
      <c r="AK210" s="155" t="str">
        <f t="shared" si="28"/>
        <v/>
      </c>
    </row>
    <row r="211" spans="1:37" ht="20.100000000000001" hidden="1" customHeight="1" x14ac:dyDescent="0.2">
      <c r="A211" s="67" t="str">
        <f>IF(B211="","",COUNTA($B$12:$B211))</f>
        <v/>
      </c>
      <c r="B211" s="147" t="str">
        <f>IF(Konversi!C210="","",Konversi!C210)</f>
        <v/>
      </c>
      <c r="C211" s="219" t="str">
        <f>IF(Konversi!B210="","",Konversi!B210)</f>
        <v/>
      </c>
      <c r="D211" s="219"/>
      <c r="E211" s="79" t="str">
        <f>SEKOR!BP202</f>
        <v/>
      </c>
      <c r="F211" s="79" t="str">
        <f>SEKOR!BQ202</f>
        <v/>
      </c>
      <c r="G211" s="79" t="str">
        <f>SEKOR!BT202</f>
        <v/>
      </c>
      <c r="H211" s="79" t="str">
        <f>IF(DATA!$F$18="YA",IF(SEKOR!BR202=0,"",SEKOR!BR202),"")</f>
        <v/>
      </c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>
        <f t="shared" si="29"/>
        <v>0</v>
      </c>
      <c r="AD211" s="79" t="str">
        <f t="shared" si="24"/>
        <v/>
      </c>
      <c r="AE211" s="79" t="str">
        <f t="shared" si="30"/>
        <v/>
      </c>
      <c r="AF211" s="79" t="str">
        <f t="shared" si="25"/>
        <v/>
      </c>
      <c r="AG211" s="79">
        <f t="shared" si="26"/>
        <v>0</v>
      </c>
      <c r="AH211" s="79" t="str">
        <f t="shared" si="31"/>
        <v/>
      </c>
      <c r="AI211" s="79" t="str">
        <f t="shared" si="27"/>
        <v/>
      </c>
      <c r="AJ211" s="79">
        <f>IFERROR(SUM(AG211:AI211)/DATAINFO!$N$7,0)</f>
        <v>0</v>
      </c>
      <c r="AK211" s="155" t="str">
        <f t="shared" si="28"/>
        <v/>
      </c>
    </row>
    <row r="212" spans="1:37" ht="20.100000000000001" hidden="1" customHeight="1" x14ac:dyDescent="0.2">
      <c r="A212" s="67" t="str">
        <f>IF(B212="","",COUNTA($B$12:$B212))</f>
        <v/>
      </c>
      <c r="B212" s="147" t="str">
        <f>IF(Konversi!C211="","",Konversi!C211)</f>
        <v/>
      </c>
      <c r="C212" s="219" t="str">
        <f>IF(Konversi!B211="","",Konversi!B211)</f>
        <v/>
      </c>
      <c r="D212" s="219"/>
      <c r="E212" s="79" t="str">
        <f>SEKOR!BP203</f>
        <v/>
      </c>
      <c r="F212" s="79" t="str">
        <f>SEKOR!BQ203</f>
        <v/>
      </c>
      <c r="G212" s="79" t="str">
        <f>SEKOR!BT203</f>
        <v/>
      </c>
      <c r="H212" s="79" t="str">
        <f>IF(DATA!$F$18="YA",IF(SEKOR!BR203=0,"",SEKOR!BR203),"")</f>
        <v/>
      </c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>
        <f t="shared" si="29"/>
        <v>0</v>
      </c>
      <c r="AD212" s="79" t="str">
        <f t="shared" si="24"/>
        <v/>
      </c>
      <c r="AE212" s="79" t="str">
        <f t="shared" si="30"/>
        <v/>
      </c>
      <c r="AF212" s="79" t="str">
        <f t="shared" si="25"/>
        <v/>
      </c>
      <c r="AG212" s="79">
        <f t="shared" si="26"/>
        <v>0</v>
      </c>
      <c r="AH212" s="79" t="str">
        <f t="shared" si="31"/>
        <v/>
      </c>
      <c r="AI212" s="79" t="str">
        <f t="shared" si="27"/>
        <v/>
      </c>
      <c r="AJ212" s="79">
        <f>IFERROR(SUM(AG212:AI212)/DATAINFO!$N$7,0)</f>
        <v>0</v>
      </c>
      <c r="AK212" s="155" t="str">
        <f t="shared" si="28"/>
        <v/>
      </c>
    </row>
    <row r="213" spans="1:37" ht="20.100000000000001" hidden="1" customHeight="1" x14ac:dyDescent="0.2">
      <c r="A213" s="67" t="str">
        <f>IF(B213="","",COUNTA($B$12:$B213))</f>
        <v/>
      </c>
      <c r="B213" s="147" t="str">
        <f>IF(Konversi!C212="","",Konversi!C212)</f>
        <v/>
      </c>
      <c r="C213" s="219" t="str">
        <f>IF(Konversi!B212="","",Konversi!B212)</f>
        <v/>
      </c>
      <c r="D213" s="219"/>
      <c r="E213" s="79" t="str">
        <f>SEKOR!BP204</f>
        <v/>
      </c>
      <c r="F213" s="79" t="str">
        <f>SEKOR!BQ204</f>
        <v/>
      </c>
      <c r="G213" s="79" t="str">
        <f>SEKOR!BT204</f>
        <v/>
      </c>
      <c r="H213" s="79" t="str">
        <f>IF(DATA!$F$18="YA",IF(SEKOR!BR204=0,"",SEKOR!BR204),"")</f>
        <v/>
      </c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>
        <f t="shared" si="29"/>
        <v>0</v>
      </c>
      <c r="AD213" s="79" t="str">
        <f t="shared" si="24"/>
        <v/>
      </c>
      <c r="AE213" s="79" t="str">
        <f t="shared" si="30"/>
        <v/>
      </c>
      <c r="AF213" s="79" t="str">
        <f t="shared" si="25"/>
        <v/>
      </c>
      <c r="AG213" s="79">
        <f t="shared" si="26"/>
        <v>0</v>
      </c>
      <c r="AH213" s="79" t="str">
        <f t="shared" si="31"/>
        <v/>
      </c>
      <c r="AI213" s="79" t="str">
        <f t="shared" si="27"/>
        <v/>
      </c>
      <c r="AJ213" s="79">
        <f>IFERROR(SUM(AG213:AI213)/DATAINFO!$N$7,0)</f>
        <v>0</v>
      </c>
      <c r="AK213" s="155" t="str">
        <f t="shared" si="28"/>
        <v/>
      </c>
    </row>
    <row r="214" spans="1:37" ht="20.100000000000001" hidden="1" customHeight="1" x14ac:dyDescent="0.2">
      <c r="A214" s="67" t="str">
        <f>IF(B214="","",COUNTA($B$12:$B214))</f>
        <v/>
      </c>
      <c r="B214" s="147" t="str">
        <f>IF(Konversi!C213="","",Konversi!C213)</f>
        <v/>
      </c>
      <c r="C214" s="219" t="str">
        <f>IF(Konversi!B213="","",Konversi!B213)</f>
        <v/>
      </c>
      <c r="D214" s="219"/>
      <c r="E214" s="79" t="str">
        <f>SEKOR!BP205</f>
        <v/>
      </c>
      <c r="F214" s="79" t="str">
        <f>SEKOR!BQ205</f>
        <v/>
      </c>
      <c r="G214" s="79" t="str">
        <f>SEKOR!BT205</f>
        <v/>
      </c>
      <c r="H214" s="79" t="str">
        <f>IF(DATA!$F$18="YA",IF(SEKOR!BR205=0,"",SEKOR!BR205),"")</f>
        <v/>
      </c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>
        <f t="shared" si="29"/>
        <v>0</v>
      </c>
      <c r="AD214" s="79" t="str">
        <f t="shared" si="24"/>
        <v/>
      </c>
      <c r="AE214" s="79" t="str">
        <f t="shared" si="30"/>
        <v/>
      </c>
      <c r="AF214" s="79" t="str">
        <f t="shared" si="25"/>
        <v/>
      </c>
      <c r="AG214" s="79">
        <f t="shared" si="26"/>
        <v>0</v>
      </c>
      <c r="AH214" s="79" t="str">
        <f t="shared" si="31"/>
        <v/>
      </c>
      <c r="AI214" s="79" t="str">
        <f t="shared" si="27"/>
        <v/>
      </c>
      <c r="AJ214" s="79">
        <f>IFERROR(SUM(AG214:AI214)/DATAINFO!$N$7,0)</f>
        <v>0</v>
      </c>
      <c r="AK214" s="155" t="str">
        <f t="shared" si="28"/>
        <v/>
      </c>
    </row>
    <row r="215" spans="1:37" ht="20.100000000000001" hidden="1" customHeight="1" x14ac:dyDescent="0.2">
      <c r="A215" s="67" t="str">
        <f>IF(B215="","",COUNTA($B$12:$B215))</f>
        <v/>
      </c>
      <c r="B215" s="147" t="str">
        <f>IF(Konversi!C214="","",Konversi!C214)</f>
        <v/>
      </c>
      <c r="C215" s="219" t="str">
        <f>IF(Konversi!B214="","",Konversi!B214)</f>
        <v/>
      </c>
      <c r="D215" s="219"/>
      <c r="E215" s="79" t="str">
        <f>SEKOR!BP206</f>
        <v/>
      </c>
      <c r="F215" s="79" t="str">
        <f>SEKOR!BQ206</f>
        <v/>
      </c>
      <c r="G215" s="79" t="str">
        <f>SEKOR!BT206</f>
        <v/>
      </c>
      <c r="H215" s="79" t="str">
        <f>IF(DATA!$F$18="YA",IF(SEKOR!BR206=0,"",SEKOR!BR206),"")</f>
        <v/>
      </c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>
        <f t="shared" si="29"/>
        <v>0</v>
      </c>
      <c r="AD215" s="79" t="str">
        <f t="shared" si="24"/>
        <v/>
      </c>
      <c r="AE215" s="79" t="str">
        <f t="shared" si="30"/>
        <v/>
      </c>
      <c r="AF215" s="79" t="str">
        <f t="shared" si="25"/>
        <v/>
      </c>
      <c r="AG215" s="79">
        <f t="shared" si="26"/>
        <v>0</v>
      </c>
      <c r="AH215" s="79" t="str">
        <f t="shared" si="31"/>
        <v/>
      </c>
      <c r="AI215" s="79" t="str">
        <f t="shared" si="27"/>
        <v/>
      </c>
      <c r="AJ215" s="79">
        <f>IFERROR(SUM(AG215:AI215)/DATAINFO!$N$7,0)</f>
        <v>0</v>
      </c>
      <c r="AK215" s="155" t="str">
        <f t="shared" si="28"/>
        <v/>
      </c>
    </row>
    <row r="216" spans="1:37" ht="20.100000000000001" hidden="1" customHeight="1" x14ac:dyDescent="0.2">
      <c r="A216" s="67" t="str">
        <f>IF(B216="","",COUNTA($B$12:$B216))</f>
        <v/>
      </c>
      <c r="B216" s="147" t="str">
        <f>IF(Konversi!C215="","",Konversi!C215)</f>
        <v/>
      </c>
      <c r="C216" s="219" t="str">
        <f>IF(Konversi!B215="","",Konversi!B215)</f>
        <v/>
      </c>
      <c r="D216" s="219"/>
      <c r="E216" s="79" t="str">
        <f>SEKOR!BP207</f>
        <v/>
      </c>
      <c r="F216" s="79" t="str">
        <f>SEKOR!BQ207</f>
        <v/>
      </c>
      <c r="G216" s="79" t="str">
        <f>SEKOR!BT207</f>
        <v/>
      </c>
      <c r="H216" s="79" t="str">
        <f>IF(DATA!$F$18="YA",IF(SEKOR!BR207=0,"",SEKOR!BR207),"")</f>
        <v/>
      </c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>
        <f t="shared" si="29"/>
        <v>0</v>
      </c>
      <c r="AD216" s="79" t="str">
        <f t="shared" si="24"/>
        <v/>
      </c>
      <c r="AE216" s="79" t="str">
        <f t="shared" si="30"/>
        <v/>
      </c>
      <c r="AF216" s="79" t="str">
        <f t="shared" si="25"/>
        <v/>
      </c>
      <c r="AG216" s="79">
        <f t="shared" si="26"/>
        <v>0</v>
      </c>
      <c r="AH216" s="79" t="str">
        <f t="shared" si="31"/>
        <v/>
      </c>
      <c r="AI216" s="79" t="str">
        <f t="shared" si="27"/>
        <v/>
      </c>
      <c r="AJ216" s="79">
        <f>IFERROR(SUM(AG216:AI216)/DATAINFO!$N$7,0)</f>
        <v>0</v>
      </c>
      <c r="AK216" s="155" t="str">
        <f t="shared" si="28"/>
        <v/>
      </c>
    </row>
    <row r="217" spans="1:37" ht="20.100000000000001" hidden="1" customHeight="1" x14ac:dyDescent="0.2">
      <c r="A217" s="67" t="str">
        <f>IF(B217="","",COUNTA($B$12:$B217))</f>
        <v/>
      </c>
      <c r="B217" s="147" t="str">
        <f>IF(Konversi!C216="","",Konversi!C216)</f>
        <v/>
      </c>
      <c r="C217" s="219" t="str">
        <f>IF(Konversi!B216="","",Konversi!B216)</f>
        <v/>
      </c>
      <c r="D217" s="219"/>
      <c r="E217" s="79" t="str">
        <f>SEKOR!BP208</f>
        <v/>
      </c>
      <c r="F217" s="79" t="str">
        <f>SEKOR!BQ208</f>
        <v/>
      </c>
      <c r="G217" s="79" t="str">
        <f>SEKOR!BT208</f>
        <v/>
      </c>
      <c r="H217" s="79" t="str">
        <f>IF(DATA!$F$18="YA",IF(SEKOR!BR208=0,"",SEKOR!BR208),"")</f>
        <v/>
      </c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>
        <f t="shared" si="29"/>
        <v>0</v>
      </c>
      <c r="AD217" s="79" t="str">
        <f t="shared" si="24"/>
        <v/>
      </c>
      <c r="AE217" s="79" t="str">
        <f t="shared" si="30"/>
        <v/>
      </c>
      <c r="AF217" s="79" t="str">
        <f t="shared" si="25"/>
        <v/>
      </c>
      <c r="AG217" s="79">
        <f t="shared" si="26"/>
        <v>0</v>
      </c>
      <c r="AH217" s="79" t="str">
        <f t="shared" si="31"/>
        <v/>
      </c>
      <c r="AI217" s="79" t="str">
        <f t="shared" si="27"/>
        <v/>
      </c>
      <c r="AJ217" s="79">
        <f>IFERROR(SUM(AG217:AI217)/DATAINFO!$N$7,0)</f>
        <v>0</v>
      </c>
      <c r="AK217" s="155" t="str">
        <f t="shared" si="28"/>
        <v/>
      </c>
    </row>
    <row r="218" spans="1:37" ht="20.100000000000001" hidden="1" customHeight="1" x14ac:dyDescent="0.2">
      <c r="A218" s="67" t="str">
        <f>IF(B218="","",COUNTA($B$12:$B218))</f>
        <v/>
      </c>
      <c r="B218" s="147" t="str">
        <f>IF(Konversi!C217="","",Konversi!C217)</f>
        <v/>
      </c>
      <c r="C218" s="219" t="str">
        <f>IF(Konversi!B217="","",Konversi!B217)</f>
        <v/>
      </c>
      <c r="D218" s="219"/>
      <c r="E218" s="79" t="str">
        <f>SEKOR!BP209</f>
        <v/>
      </c>
      <c r="F218" s="79" t="str">
        <f>SEKOR!BQ209</f>
        <v/>
      </c>
      <c r="G218" s="79" t="str">
        <f>SEKOR!BT209</f>
        <v/>
      </c>
      <c r="H218" s="79" t="str">
        <f>IF(DATA!$F$18="YA",IF(SEKOR!BR209=0,"",SEKOR!BR209),"")</f>
        <v/>
      </c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>
        <f t="shared" si="29"/>
        <v>0</v>
      </c>
      <c r="AD218" s="79" t="str">
        <f t="shared" si="24"/>
        <v/>
      </c>
      <c r="AE218" s="79" t="str">
        <f t="shared" si="30"/>
        <v/>
      </c>
      <c r="AF218" s="79" t="str">
        <f t="shared" si="25"/>
        <v/>
      </c>
      <c r="AG218" s="79">
        <f t="shared" si="26"/>
        <v>0</v>
      </c>
      <c r="AH218" s="79" t="str">
        <f t="shared" si="31"/>
        <v/>
      </c>
      <c r="AI218" s="79" t="str">
        <f t="shared" si="27"/>
        <v/>
      </c>
      <c r="AJ218" s="79">
        <f>IFERROR(SUM(AG218:AI218)/DATAINFO!$N$7,0)</f>
        <v>0</v>
      </c>
      <c r="AK218" s="155" t="str">
        <f t="shared" si="28"/>
        <v/>
      </c>
    </row>
    <row r="219" spans="1:37" ht="20.100000000000001" hidden="1" customHeight="1" x14ac:dyDescent="0.2">
      <c r="A219" s="67" t="str">
        <f>IF(B219="","",COUNTA($B$12:$B219))</f>
        <v/>
      </c>
      <c r="B219" s="147" t="str">
        <f>IF(Konversi!C218="","",Konversi!C218)</f>
        <v/>
      </c>
      <c r="C219" s="219" t="str">
        <f>IF(Konversi!B218="","",Konversi!B218)</f>
        <v/>
      </c>
      <c r="D219" s="219"/>
      <c r="E219" s="79" t="str">
        <f>SEKOR!BP210</f>
        <v/>
      </c>
      <c r="F219" s="79" t="str">
        <f>SEKOR!BQ210</f>
        <v/>
      </c>
      <c r="G219" s="79" t="str">
        <f>SEKOR!BT210</f>
        <v/>
      </c>
      <c r="H219" s="79" t="str">
        <f>IF(DATA!$F$18="YA",IF(SEKOR!BR210=0,"",SEKOR!BR210),"")</f>
        <v/>
      </c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>
        <f t="shared" si="29"/>
        <v>0</v>
      </c>
      <c r="AD219" s="79" t="str">
        <f t="shared" si="24"/>
        <v/>
      </c>
      <c r="AE219" s="79" t="str">
        <f t="shared" si="30"/>
        <v/>
      </c>
      <c r="AF219" s="79" t="str">
        <f t="shared" si="25"/>
        <v/>
      </c>
      <c r="AG219" s="79">
        <f t="shared" si="26"/>
        <v>0</v>
      </c>
      <c r="AH219" s="79" t="str">
        <f t="shared" si="31"/>
        <v/>
      </c>
      <c r="AI219" s="79" t="str">
        <f t="shared" si="27"/>
        <v/>
      </c>
      <c r="AJ219" s="79">
        <f>IFERROR(SUM(AG219:AI219)/DATAINFO!$N$7,0)</f>
        <v>0</v>
      </c>
      <c r="AK219" s="155" t="str">
        <f t="shared" si="28"/>
        <v/>
      </c>
    </row>
    <row r="220" spans="1:37" ht="20.100000000000001" hidden="1" customHeight="1" x14ac:dyDescent="0.2">
      <c r="A220" s="67" t="str">
        <f>IF(B220="","",COUNTA($B$12:$B220))</f>
        <v/>
      </c>
      <c r="B220" s="147" t="str">
        <f>IF(Konversi!C219="","",Konversi!C219)</f>
        <v/>
      </c>
      <c r="C220" s="219" t="str">
        <f>IF(Konversi!B219="","",Konversi!B219)</f>
        <v/>
      </c>
      <c r="D220" s="219"/>
      <c r="E220" s="79" t="str">
        <f>SEKOR!BP211</f>
        <v/>
      </c>
      <c r="F220" s="79" t="str">
        <f>SEKOR!BQ211</f>
        <v/>
      </c>
      <c r="G220" s="79" t="str">
        <f>SEKOR!BT211</f>
        <v/>
      </c>
      <c r="H220" s="79" t="str">
        <f>IF(DATA!$F$18="YA",IF(SEKOR!BR211=0,"",SEKOR!BR211),"")</f>
        <v/>
      </c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>
        <f t="shared" si="29"/>
        <v>0</v>
      </c>
      <c r="AD220" s="79" t="str">
        <f t="shared" si="24"/>
        <v/>
      </c>
      <c r="AE220" s="79" t="str">
        <f t="shared" si="30"/>
        <v/>
      </c>
      <c r="AF220" s="79" t="str">
        <f t="shared" si="25"/>
        <v/>
      </c>
      <c r="AG220" s="79">
        <f t="shared" si="26"/>
        <v>0</v>
      </c>
      <c r="AH220" s="79" t="str">
        <f t="shared" si="31"/>
        <v/>
      </c>
      <c r="AI220" s="79" t="str">
        <f t="shared" si="27"/>
        <v/>
      </c>
      <c r="AJ220" s="79">
        <f>IFERROR(SUM(AG220:AI220)/DATAINFO!$N$7,0)</f>
        <v>0</v>
      </c>
      <c r="AK220" s="155" t="str">
        <f t="shared" si="28"/>
        <v/>
      </c>
    </row>
    <row r="221" spans="1:37" ht="20.100000000000001" hidden="1" customHeight="1" x14ac:dyDescent="0.2">
      <c r="A221" s="67" t="str">
        <f>IF(B221="","",COUNTA($B$12:$B221))</f>
        <v/>
      </c>
      <c r="B221" s="147" t="str">
        <f>IF(Konversi!C220="","",Konversi!C220)</f>
        <v/>
      </c>
      <c r="C221" s="219" t="str">
        <f>IF(Konversi!B220="","",Konversi!B220)</f>
        <v/>
      </c>
      <c r="D221" s="219"/>
      <c r="E221" s="79" t="str">
        <f>SEKOR!BP212</f>
        <v/>
      </c>
      <c r="F221" s="79" t="str">
        <f>SEKOR!BQ212</f>
        <v/>
      </c>
      <c r="G221" s="79" t="str">
        <f>SEKOR!BT212</f>
        <v/>
      </c>
      <c r="H221" s="79" t="str">
        <f>IF(DATA!$F$18="YA",IF(SEKOR!BR212=0,"",SEKOR!BR212),"")</f>
        <v/>
      </c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>
        <f t="shared" si="29"/>
        <v>0</v>
      </c>
      <c r="AD221" s="79" t="str">
        <f t="shared" si="24"/>
        <v/>
      </c>
      <c r="AE221" s="79" t="str">
        <f t="shared" si="30"/>
        <v/>
      </c>
      <c r="AF221" s="79" t="str">
        <f t="shared" si="25"/>
        <v/>
      </c>
      <c r="AG221" s="79">
        <f t="shared" si="26"/>
        <v>0</v>
      </c>
      <c r="AH221" s="79" t="str">
        <f t="shared" si="31"/>
        <v/>
      </c>
      <c r="AI221" s="79" t="str">
        <f t="shared" si="27"/>
        <v/>
      </c>
      <c r="AJ221" s="79">
        <f>IFERROR(SUM(AG221:AI221)/DATAINFO!$N$7,0)</f>
        <v>0</v>
      </c>
      <c r="AK221" s="155" t="str">
        <f t="shared" si="28"/>
        <v/>
      </c>
    </row>
    <row r="222" spans="1:37" ht="20.100000000000001" hidden="1" customHeight="1" x14ac:dyDescent="0.2">
      <c r="A222" s="67" t="str">
        <f>IF(B222="","",COUNTA($B$12:$B222))</f>
        <v/>
      </c>
      <c r="B222" s="147" t="str">
        <f>IF(Konversi!C221="","",Konversi!C221)</f>
        <v/>
      </c>
      <c r="C222" s="219" t="str">
        <f>IF(Konversi!B221="","",Konversi!B221)</f>
        <v/>
      </c>
      <c r="D222" s="219"/>
      <c r="E222" s="79" t="str">
        <f>SEKOR!BP213</f>
        <v/>
      </c>
      <c r="F222" s="79" t="str">
        <f>SEKOR!BQ213</f>
        <v/>
      </c>
      <c r="G222" s="79" t="str">
        <f>SEKOR!BT213</f>
        <v/>
      </c>
      <c r="H222" s="79" t="str">
        <f>IF(DATA!$F$18="YA",IF(SEKOR!BR213=0,"",SEKOR!BR213),"")</f>
        <v/>
      </c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>
        <f t="shared" si="29"/>
        <v>0</v>
      </c>
      <c r="AD222" s="79" t="str">
        <f t="shared" si="24"/>
        <v/>
      </c>
      <c r="AE222" s="79" t="str">
        <f t="shared" si="30"/>
        <v/>
      </c>
      <c r="AF222" s="79" t="str">
        <f t="shared" si="25"/>
        <v/>
      </c>
      <c r="AG222" s="79">
        <f t="shared" si="26"/>
        <v>0</v>
      </c>
      <c r="AH222" s="79" t="str">
        <f t="shared" si="31"/>
        <v/>
      </c>
      <c r="AI222" s="79" t="str">
        <f t="shared" si="27"/>
        <v/>
      </c>
      <c r="AJ222" s="79">
        <f>IFERROR(SUM(AG222:AI222)/DATAINFO!$N$7,0)</f>
        <v>0</v>
      </c>
      <c r="AK222" s="155" t="str">
        <f t="shared" si="28"/>
        <v/>
      </c>
    </row>
    <row r="223" spans="1:37" ht="20.100000000000001" hidden="1" customHeight="1" x14ac:dyDescent="0.2">
      <c r="A223" s="67" t="str">
        <f>IF(B223="","",COUNTA($B$12:$B223))</f>
        <v/>
      </c>
      <c r="B223" s="147" t="str">
        <f>IF(Konversi!C222="","",Konversi!C222)</f>
        <v/>
      </c>
      <c r="C223" s="219" t="str">
        <f>IF(Konversi!B222="","",Konversi!B222)</f>
        <v/>
      </c>
      <c r="D223" s="219"/>
      <c r="E223" s="79" t="str">
        <f>SEKOR!BP214</f>
        <v/>
      </c>
      <c r="F223" s="79" t="str">
        <f>SEKOR!BQ214</f>
        <v/>
      </c>
      <c r="G223" s="79" t="str">
        <f>SEKOR!BT214</f>
        <v/>
      </c>
      <c r="H223" s="79" t="str">
        <f>IF(DATA!$F$18="YA",IF(SEKOR!BR214=0,"",SEKOR!BR214),"")</f>
        <v/>
      </c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>
        <f t="shared" si="29"/>
        <v>0</v>
      </c>
      <c r="AD223" s="79" t="str">
        <f t="shared" si="24"/>
        <v/>
      </c>
      <c r="AE223" s="79" t="str">
        <f t="shared" si="30"/>
        <v/>
      </c>
      <c r="AF223" s="79" t="str">
        <f t="shared" si="25"/>
        <v/>
      </c>
      <c r="AG223" s="79">
        <f t="shared" si="26"/>
        <v>0</v>
      </c>
      <c r="AH223" s="79" t="str">
        <f t="shared" si="31"/>
        <v/>
      </c>
      <c r="AI223" s="79" t="str">
        <f t="shared" si="27"/>
        <v/>
      </c>
      <c r="AJ223" s="79">
        <f>IFERROR(SUM(AG223:AI223)/DATAINFO!$N$7,0)</f>
        <v>0</v>
      </c>
      <c r="AK223" s="155" t="str">
        <f t="shared" si="28"/>
        <v/>
      </c>
    </row>
    <row r="224" spans="1:37" ht="20.100000000000001" hidden="1" customHeight="1" x14ac:dyDescent="0.2">
      <c r="A224" s="67" t="str">
        <f>IF(B224="","",COUNTA($B$12:$B224))</f>
        <v/>
      </c>
      <c r="B224" s="147" t="str">
        <f>IF(Konversi!C223="","",Konversi!C223)</f>
        <v/>
      </c>
      <c r="C224" s="219" t="str">
        <f>IF(Konversi!B223="","",Konversi!B223)</f>
        <v/>
      </c>
      <c r="D224" s="219"/>
      <c r="E224" s="79" t="str">
        <f>SEKOR!BP215</f>
        <v/>
      </c>
      <c r="F224" s="79" t="str">
        <f>SEKOR!BQ215</f>
        <v/>
      </c>
      <c r="G224" s="79" t="str">
        <f>SEKOR!BT215</f>
        <v/>
      </c>
      <c r="H224" s="79" t="str">
        <f>IF(DATA!$F$18="YA",IF(SEKOR!BR215=0,"",SEKOR!BR215),"")</f>
        <v/>
      </c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>
        <f t="shared" si="29"/>
        <v>0</v>
      </c>
      <c r="AD224" s="79" t="str">
        <f t="shared" si="24"/>
        <v/>
      </c>
      <c r="AE224" s="79" t="str">
        <f t="shared" si="30"/>
        <v/>
      </c>
      <c r="AF224" s="79" t="str">
        <f t="shared" si="25"/>
        <v/>
      </c>
      <c r="AG224" s="79">
        <f t="shared" si="26"/>
        <v>0</v>
      </c>
      <c r="AH224" s="79" t="str">
        <f t="shared" si="31"/>
        <v/>
      </c>
      <c r="AI224" s="79" t="str">
        <f t="shared" si="27"/>
        <v/>
      </c>
      <c r="AJ224" s="79">
        <f>IFERROR(SUM(AG224:AI224)/DATAINFO!$N$7,0)</f>
        <v>0</v>
      </c>
      <c r="AK224" s="155" t="str">
        <f t="shared" si="28"/>
        <v/>
      </c>
    </row>
    <row r="225" spans="1:37" ht="20.100000000000001" hidden="1" customHeight="1" x14ac:dyDescent="0.2">
      <c r="A225" s="67" t="str">
        <f>IF(B225="","",COUNTA($B$12:$B225))</f>
        <v/>
      </c>
      <c r="B225" s="147" t="str">
        <f>IF(Konversi!C224="","",Konversi!C224)</f>
        <v/>
      </c>
      <c r="C225" s="219" t="str">
        <f>IF(Konversi!B224="","",Konversi!B224)</f>
        <v/>
      </c>
      <c r="D225" s="219"/>
      <c r="E225" s="79" t="str">
        <f>SEKOR!BP216</f>
        <v/>
      </c>
      <c r="F225" s="79" t="str">
        <f>SEKOR!BQ216</f>
        <v/>
      </c>
      <c r="G225" s="79" t="str">
        <f>SEKOR!BT216</f>
        <v/>
      </c>
      <c r="H225" s="79" t="str">
        <f>IF(DATA!$F$18="YA",IF(SEKOR!BR216=0,"",SEKOR!BR216),"")</f>
        <v/>
      </c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>
        <f t="shared" si="29"/>
        <v>0</v>
      </c>
      <c r="AD225" s="79" t="str">
        <f t="shared" si="24"/>
        <v/>
      </c>
      <c r="AE225" s="79" t="str">
        <f t="shared" si="30"/>
        <v/>
      </c>
      <c r="AF225" s="79" t="str">
        <f t="shared" si="25"/>
        <v/>
      </c>
      <c r="AG225" s="79">
        <f t="shared" si="26"/>
        <v>0</v>
      </c>
      <c r="AH225" s="79" t="str">
        <f t="shared" si="31"/>
        <v/>
      </c>
      <c r="AI225" s="79" t="str">
        <f t="shared" si="27"/>
        <v/>
      </c>
      <c r="AJ225" s="79">
        <f>IFERROR(SUM(AG225:AI225)/DATAINFO!$N$7,0)</f>
        <v>0</v>
      </c>
      <c r="AK225" s="155" t="str">
        <f t="shared" si="28"/>
        <v/>
      </c>
    </row>
    <row r="226" spans="1:37" ht="20.100000000000001" hidden="1" customHeight="1" x14ac:dyDescent="0.2">
      <c r="A226" s="67" t="str">
        <f>IF(B226="","",COUNTA($B$12:$B226))</f>
        <v/>
      </c>
      <c r="B226" s="147" t="str">
        <f>IF(Konversi!C225="","",Konversi!C225)</f>
        <v/>
      </c>
      <c r="C226" s="219" t="str">
        <f>IF(Konversi!B225="","",Konversi!B225)</f>
        <v/>
      </c>
      <c r="D226" s="219"/>
      <c r="E226" s="79" t="str">
        <f>SEKOR!BP217</f>
        <v/>
      </c>
      <c r="F226" s="79" t="str">
        <f>SEKOR!BQ217</f>
        <v/>
      </c>
      <c r="G226" s="79" t="str">
        <f>SEKOR!BT217</f>
        <v/>
      </c>
      <c r="H226" s="79" t="str">
        <f>IF(DATA!$F$18="YA",IF(SEKOR!BR217=0,"",SEKOR!BR217),"")</f>
        <v/>
      </c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>
        <f t="shared" si="29"/>
        <v>0</v>
      </c>
      <c r="AD226" s="79" t="str">
        <f t="shared" si="24"/>
        <v/>
      </c>
      <c r="AE226" s="79" t="str">
        <f t="shared" si="30"/>
        <v/>
      </c>
      <c r="AF226" s="79" t="str">
        <f t="shared" si="25"/>
        <v/>
      </c>
      <c r="AG226" s="79">
        <f t="shared" si="26"/>
        <v>0</v>
      </c>
      <c r="AH226" s="79" t="str">
        <f t="shared" si="31"/>
        <v/>
      </c>
      <c r="AI226" s="79" t="str">
        <f t="shared" si="27"/>
        <v/>
      </c>
      <c r="AJ226" s="79">
        <f>IFERROR(SUM(AG226:AI226)/DATAINFO!$N$7,0)</f>
        <v>0</v>
      </c>
      <c r="AK226" s="155" t="str">
        <f t="shared" si="28"/>
        <v/>
      </c>
    </row>
    <row r="227" spans="1:37" ht="20.100000000000001" hidden="1" customHeight="1" x14ac:dyDescent="0.2">
      <c r="A227" s="67" t="str">
        <f>IF(B227="","",COUNTA($B$12:$B227))</f>
        <v/>
      </c>
      <c r="B227" s="147" t="str">
        <f>IF(Konversi!C226="","",Konversi!C226)</f>
        <v/>
      </c>
      <c r="C227" s="219" t="str">
        <f>IF(Konversi!B226="","",Konversi!B226)</f>
        <v/>
      </c>
      <c r="D227" s="219"/>
      <c r="E227" s="79" t="str">
        <f>SEKOR!BP218</f>
        <v/>
      </c>
      <c r="F227" s="79" t="str">
        <f>SEKOR!BQ218</f>
        <v/>
      </c>
      <c r="G227" s="79" t="str">
        <f>SEKOR!BT218</f>
        <v/>
      </c>
      <c r="H227" s="79" t="str">
        <f>IF(DATA!$F$18="YA",IF(SEKOR!BR218=0,"",SEKOR!BR218),"")</f>
        <v/>
      </c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>
        <f t="shared" si="29"/>
        <v>0</v>
      </c>
      <c r="AD227" s="79" t="str">
        <f t="shared" si="24"/>
        <v/>
      </c>
      <c r="AE227" s="79" t="str">
        <f t="shared" si="30"/>
        <v/>
      </c>
      <c r="AF227" s="79" t="str">
        <f t="shared" si="25"/>
        <v/>
      </c>
      <c r="AG227" s="79">
        <f t="shared" si="26"/>
        <v>0</v>
      </c>
      <c r="AH227" s="79" t="str">
        <f t="shared" si="31"/>
        <v/>
      </c>
      <c r="AI227" s="79" t="str">
        <f t="shared" si="27"/>
        <v/>
      </c>
      <c r="AJ227" s="79">
        <f>IFERROR(SUM(AG227:AI227)/DATAINFO!$N$7,0)</f>
        <v>0</v>
      </c>
      <c r="AK227" s="155" t="str">
        <f t="shared" si="28"/>
        <v/>
      </c>
    </row>
    <row r="228" spans="1:37" ht="20.100000000000001" hidden="1" customHeight="1" x14ac:dyDescent="0.2">
      <c r="A228" s="67" t="str">
        <f>IF(B228="","",COUNTA($B$12:$B228))</f>
        <v/>
      </c>
      <c r="B228" s="147" t="str">
        <f>IF(Konversi!C227="","",Konversi!C227)</f>
        <v/>
      </c>
      <c r="C228" s="219" t="str">
        <f>IF(Konversi!B227="","",Konversi!B227)</f>
        <v/>
      </c>
      <c r="D228" s="219"/>
      <c r="E228" s="79" t="str">
        <f>SEKOR!BP219</f>
        <v/>
      </c>
      <c r="F228" s="79" t="str">
        <f>SEKOR!BQ219</f>
        <v/>
      </c>
      <c r="G228" s="79" t="str">
        <f>SEKOR!BT219</f>
        <v/>
      </c>
      <c r="H228" s="79" t="str">
        <f>IF(DATA!$F$18="YA",IF(SEKOR!BR219=0,"",SEKOR!BR219),"")</f>
        <v/>
      </c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>
        <f t="shared" si="29"/>
        <v>0</v>
      </c>
      <c r="AD228" s="79" t="str">
        <f t="shared" si="24"/>
        <v/>
      </c>
      <c r="AE228" s="79" t="str">
        <f t="shared" si="30"/>
        <v/>
      </c>
      <c r="AF228" s="79" t="str">
        <f t="shared" si="25"/>
        <v/>
      </c>
      <c r="AG228" s="79">
        <f t="shared" si="26"/>
        <v>0</v>
      </c>
      <c r="AH228" s="79" t="str">
        <f t="shared" si="31"/>
        <v/>
      </c>
      <c r="AI228" s="79" t="str">
        <f t="shared" si="27"/>
        <v/>
      </c>
      <c r="AJ228" s="79">
        <f>IFERROR(SUM(AG228:AI228)/DATAINFO!$N$7,0)</f>
        <v>0</v>
      </c>
      <c r="AK228" s="155" t="str">
        <f t="shared" si="28"/>
        <v/>
      </c>
    </row>
    <row r="229" spans="1:37" ht="20.100000000000001" hidden="1" customHeight="1" x14ac:dyDescent="0.2">
      <c r="A229" s="67" t="str">
        <f>IF(B229="","",COUNTA($B$12:$B229))</f>
        <v/>
      </c>
      <c r="B229" s="147" t="str">
        <f>IF(Konversi!C228="","",Konversi!C228)</f>
        <v/>
      </c>
      <c r="C229" s="219" t="str">
        <f>IF(Konversi!B228="","",Konversi!B228)</f>
        <v/>
      </c>
      <c r="D229" s="219"/>
      <c r="E229" s="79" t="str">
        <f>SEKOR!BP220</f>
        <v/>
      </c>
      <c r="F229" s="79" t="str">
        <f>SEKOR!BQ220</f>
        <v/>
      </c>
      <c r="G229" s="79" t="str">
        <f>SEKOR!BT220</f>
        <v/>
      </c>
      <c r="H229" s="79" t="str">
        <f>IF(DATA!$F$18="YA",IF(SEKOR!BR220=0,"",SEKOR!BR220),"")</f>
        <v/>
      </c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>
        <f t="shared" si="29"/>
        <v>0</v>
      </c>
      <c r="AD229" s="79" t="str">
        <f t="shared" si="24"/>
        <v/>
      </c>
      <c r="AE229" s="79" t="str">
        <f t="shared" si="30"/>
        <v/>
      </c>
      <c r="AF229" s="79" t="str">
        <f t="shared" si="25"/>
        <v/>
      </c>
      <c r="AG229" s="79">
        <f t="shared" si="26"/>
        <v>0</v>
      </c>
      <c r="AH229" s="79" t="str">
        <f t="shared" si="31"/>
        <v/>
      </c>
      <c r="AI229" s="79" t="str">
        <f t="shared" si="27"/>
        <v/>
      </c>
      <c r="AJ229" s="79">
        <f>IFERROR(SUM(AG229:AI229)/DATAINFO!$N$7,0)</f>
        <v>0</v>
      </c>
      <c r="AK229" s="155" t="str">
        <f t="shared" si="28"/>
        <v/>
      </c>
    </row>
    <row r="230" spans="1:37" ht="20.100000000000001" hidden="1" customHeight="1" x14ac:dyDescent="0.2">
      <c r="A230" s="67" t="str">
        <f>IF(B230="","",COUNTA($B$12:$B230))</f>
        <v/>
      </c>
      <c r="B230" s="147" t="str">
        <f>IF(Konversi!C229="","",Konversi!C229)</f>
        <v/>
      </c>
      <c r="C230" s="219" t="str">
        <f>IF(Konversi!B229="","",Konversi!B229)</f>
        <v/>
      </c>
      <c r="D230" s="219"/>
      <c r="E230" s="79" t="str">
        <f>SEKOR!BP221</f>
        <v/>
      </c>
      <c r="F230" s="79" t="str">
        <f>SEKOR!BQ221</f>
        <v/>
      </c>
      <c r="G230" s="79" t="str">
        <f>SEKOR!BT221</f>
        <v/>
      </c>
      <c r="H230" s="79" t="str">
        <f>IF(DATA!$F$18="YA",IF(SEKOR!BR221=0,"",SEKOR!BR221),"")</f>
        <v/>
      </c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>
        <f t="shared" si="29"/>
        <v>0</v>
      </c>
      <c r="AD230" s="79" t="str">
        <f t="shared" si="24"/>
        <v/>
      </c>
      <c r="AE230" s="79" t="str">
        <f t="shared" si="30"/>
        <v/>
      </c>
      <c r="AF230" s="79" t="str">
        <f t="shared" si="25"/>
        <v/>
      </c>
      <c r="AG230" s="79">
        <f t="shared" si="26"/>
        <v>0</v>
      </c>
      <c r="AH230" s="79" t="str">
        <f t="shared" si="31"/>
        <v/>
      </c>
      <c r="AI230" s="79" t="str">
        <f t="shared" si="27"/>
        <v/>
      </c>
      <c r="AJ230" s="79">
        <f>IFERROR(SUM(AG230:AI230)/DATAINFO!$N$7,0)</f>
        <v>0</v>
      </c>
      <c r="AK230" s="155" t="str">
        <f t="shared" si="28"/>
        <v/>
      </c>
    </row>
    <row r="231" spans="1:37" ht="20.100000000000001" hidden="1" customHeight="1" x14ac:dyDescent="0.2">
      <c r="A231" s="67" t="str">
        <f>IF(B231="","",COUNTA($B$12:$B231))</f>
        <v/>
      </c>
      <c r="B231" s="147" t="str">
        <f>IF(Konversi!C230="","",Konversi!C230)</f>
        <v/>
      </c>
      <c r="C231" s="219" t="str">
        <f>IF(Konversi!B230="","",Konversi!B230)</f>
        <v/>
      </c>
      <c r="D231" s="219"/>
      <c r="E231" s="79" t="str">
        <f>SEKOR!BP222</f>
        <v/>
      </c>
      <c r="F231" s="79" t="str">
        <f>SEKOR!BQ222</f>
        <v/>
      </c>
      <c r="G231" s="79" t="str">
        <f>SEKOR!BT222</f>
        <v/>
      </c>
      <c r="H231" s="79" t="str">
        <f>IF(DATA!$F$18="YA",IF(SEKOR!BR222=0,"",SEKOR!BR222),"")</f>
        <v/>
      </c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>
        <f t="shared" si="29"/>
        <v>0</v>
      </c>
      <c r="AD231" s="79" t="str">
        <f t="shared" si="24"/>
        <v/>
      </c>
      <c r="AE231" s="79" t="str">
        <f t="shared" si="30"/>
        <v/>
      </c>
      <c r="AF231" s="79" t="str">
        <f t="shared" si="25"/>
        <v/>
      </c>
      <c r="AG231" s="79">
        <f t="shared" si="26"/>
        <v>0</v>
      </c>
      <c r="AH231" s="79" t="str">
        <f t="shared" si="31"/>
        <v/>
      </c>
      <c r="AI231" s="79" t="str">
        <f t="shared" si="27"/>
        <v/>
      </c>
      <c r="AJ231" s="79">
        <f>IFERROR(SUM(AG231:AI231)/DATAINFO!$N$7,0)</f>
        <v>0</v>
      </c>
      <c r="AK231" s="155" t="str">
        <f t="shared" si="28"/>
        <v/>
      </c>
    </row>
    <row r="232" spans="1:37" ht="20.100000000000001" customHeight="1" x14ac:dyDescent="0.2">
      <c r="A232" s="145"/>
      <c r="B232" s="145"/>
      <c r="C232" s="158"/>
      <c r="D232" s="158"/>
      <c r="E232" s="145"/>
      <c r="F232" s="145"/>
      <c r="G232" s="145"/>
      <c r="H232" s="145"/>
      <c r="AE232" s="145"/>
      <c r="AF232" s="145"/>
      <c r="AG232" s="145"/>
      <c r="AH232" s="145"/>
      <c r="AI232" s="145"/>
      <c r="AJ232" s="145"/>
      <c r="AK232" s="146"/>
    </row>
    <row r="233" spans="1:37" ht="15.75" x14ac:dyDescent="0.25">
      <c r="G233" s="217"/>
      <c r="H233" s="217"/>
      <c r="I233" s="217"/>
      <c r="J233"/>
    </row>
    <row r="234" spans="1:37" ht="15.75" customHeight="1" x14ac:dyDescent="0.2">
      <c r="B234" s="217">
        <f ca="1">Konversi!D233</f>
        <v>45272</v>
      </c>
      <c r="C234" s="217"/>
      <c r="D234" s="217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</row>
    <row r="235" spans="1:37" ht="15.75" customHeight="1" x14ac:dyDescent="0.2">
      <c r="B235" s="176" t="str">
        <f>Konversi!D234</f>
        <v>Guru Mata Pelajaran</v>
      </c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/>
      <c r="N235" s="176"/>
      <c r="O235" s="176"/>
      <c r="P235" s="176"/>
      <c r="Q235" s="176"/>
      <c r="R235" s="176"/>
      <c r="S235" s="176"/>
      <c r="T235" s="176"/>
      <c r="U235" s="176"/>
      <c r="V235" s="176"/>
      <c r="W235" s="176"/>
      <c r="X235" s="176"/>
      <c r="Y235" s="176"/>
      <c r="Z235" s="176"/>
      <c r="AA235" s="176"/>
      <c r="AB235" s="172"/>
      <c r="AC235" s="172"/>
      <c r="AD235" s="172"/>
      <c r="AE235" s="173"/>
      <c r="AF235" s="173"/>
      <c r="AG235" s="173"/>
      <c r="AH235" s="173"/>
      <c r="AI235" s="173"/>
      <c r="AJ235" s="173"/>
      <c r="AK235" s="173"/>
    </row>
    <row r="236" spans="1:37" ht="15.75" x14ac:dyDescent="0.25">
      <c r="G236" s="174"/>
      <c r="H236" s="221"/>
      <c r="I236" s="221"/>
      <c r="J236" s="221"/>
      <c r="K236" s="172"/>
      <c r="L236" s="172"/>
      <c r="M236" s="172"/>
      <c r="N236" s="172"/>
      <c r="O236" s="172"/>
      <c r="P236" s="172"/>
      <c r="Q236" s="172"/>
      <c r="R236" s="172"/>
      <c r="S236" s="172"/>
      <c r="T236" s="172"/>
      <c r="U236" s="172"/>
      <c r="V236" s="172"/>
      <c r="W236" s="172"/>
      <c r="X236" s="172"/>
      <c r="Y236" s="172"/>
      <c r="Z236" s="172"/>
      <c r="AA236" s="172"/>
      <c r="AB236" s="172"/>
      <c r="AC236" s="172"/>
      <c r="AD236" s="172"/>
      <c r="AE236" s="173"/>
      <c r="AF236" s="173"/>
      <c r="AG236" s="173"/>
      <c r="AH236" s="173"/>
      <c r="AI236" s="173"/>
      <c r="AJ236" s="173"/>
      <c r="AK236" s="173"/>
    </row>
    <row r="237" spans="1:37" ht="15.75" x14ac:dyDescent="0.25">
      <c r="G237" s="174"/>
      <c r="H237" s="221"/>
      <c r="I237" s="221"/>
      <c r="J237" s="221"/>
      <c r="K237" s="172"/>
      <c r="L237" s="172"/>
      <c r="M237" s="172"/>
      <c r="N237" s="172"/>
      <c r="O237" s="172"/>
      <c r="P237" s="172"/>
      <c r="Q237" s="172"/>
      <c r="R237" s="172"/>
      <c r="S237" s="172"/>
      <c r="T237" s="172"/>
      <c r="U237" s="172"/>
      <c r="V237" s="172"/>
      <c r="W237" s="172"/>
      <c r="X237" s="172"/>
      <c r="Y237" s="172"/>
      <c r="Z237" s="172"/>
      <c r="AA237" s="172"/>
      <c r="AB237" s="172"/>
      <c r="AC237" s="172"/>
      <c r="AD237" s="172"/>
      <c r="AE237" s="173"/>
      <c r="AF237" s="173"/>
      <c r="AG237" s="173"/>
      <c r="AH237" s="173"/>
      <c r="AI237" s="173"/>
      <c r="AJ237" s="173"/>
      <c r="AK237" s="173"/>
    </row>
    <row r="238" spans="1:37" ht="15.75" x14ac:dyDescent="0.25">
      <c r="G238" s="174"/>
      <c r="H238" s="221"/>
      <c r="I238" s="221"/>
      <c r="J238" s="221"/>
      <c r="K238" s="172"/>
      <c r="L238" s="172"/>
      <c r="M238" s="172"/>
      <c r="N238" s="172"/>
      <c r="O238" s="172"/>
      <c r="P238" s="172"/>
      <c r="Q238" s="172"/>
      <c r="R238" s="172"/>
      <c r="S238" s="172"/>
      <c r="T238" s="172"/>
      <c r="U238" s="172"/>
      <c r="V238" s="172"/>
      <c r="W238" s="172"/>
      <c r="X238" s="172"/>
      <c r="Y238" s="172"/>
      <c r="Z238" s="172"/>
      <c r="AA238" s="172"/>
      <c r="AB238" s="172"/>
      <c r="AC238" s="172"/>
      <c r="AD238" s="172"/>
      <c r="AE238" s="173"/>
      <c r="AF238" s="173"/>
      <c r="AG238" s="173"/>
      <c r="AH238" s="173"/>
      <c r="AI238" s="173"/>
      <c r="AJ238" s="173"/>
      <c r="AK238" s="173"/>
    </row>
    <row r="239" spans="1:37" ht="15.75" customHeight="1" x14ac:dyDescent="0.2">
      <c r="B239" s="176" t="str">
        <f>Konversi!D238</f>
        <v>Abdul Hadi</v>
      </c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6"/>
      <c r="W239" s="176"/>
      <c r="X239" s="176"/>
      <c r="Y239" s="176"/>
      <c r="Z239" s="176"/>
      <c r="AA239" s="176"/>
      <c r="AB239" s="172"/>
      <c r="AC239" s="172"/>
      <c r="AD239" s="172"/>
      <c r="AE239" s="173"/>
      <c r="AF239" s="173"/>
      <c r="AG239" s="173"/>
      <c r="AH239" s="173"/>
      <c r="AI239" s="173"/>
      <c r="AJ239" s="173"/>
      <c r="AK239" s="173"/>
    </row>
  </sheetData>
  <mergeCells count="246">
    <mergeCell ref="AJ10:AJ11"/>
    <mergeCell ref="AG10:AG11"/>
    <mergeCell ref="AH10:AH11"/>
    <mergeCell ref="AI10:AI11"/>
    <mergeCell ref="I10:AC10"/>
    <mergeCell ref="B234:D234"/>
    <mergeCell ref="A10:A11"/>
    <mergeCell ref="B10:B11"/>
    <mergeCell ref="C10:D11"/>
    <mergeCell ref="A8:AK8"/>
    <mergeCell ref="C18:D18"/>
    <mergeCell ref="C19:D19"/>
    <mergeCell ref="C20:D20"/>
    <mergeCell ref="C21:D21"/>
    <mergeCell ref="C22:D22"/>
    <mergeCell ref="C23:D23"/>
    <mergeCell ref="C12:D12"/>
    <mergeCell ref="C13:D13"/>
    <mergeCell ref="C14:D14"/>
    <mergeCell ref="C15:D15"/>
    <mergeCell ref="C16:D16"/>
    <mergeCell ref="C17:D17"/>
    <mergeCell ref="C30:D30"/>
    <mergeCell ref="C31:D31"/>
    <mergeCell ref="C32:D32"/>
    <mergeCell ref="C33:D33"/>
    <mergeCell ref="C34:D34"/>
    <mergeCell ref="C35:D35"/>
    <mergeCell ref="C24:D24"/>
    <mergeCell ref="C25:D25"/>
    <mergeCell ref="C26:D26"/>
    <mergeCell ref="C27:D27"/>
    <mergeCell ref="C28:D28"/>
    <mergeCell ref="C29:D29"/>
    <mergeCell ref="C42:D42"/>
    <mergeCell ref="C43:D43"/>
    <mergeCell ref="C44:D44"/>
    <mergeCell ref="C45:D45"/>
    <mergeCell ref="C46:D46"/>
    <mergeCell ref="C47:D47"/>
    <mergeCell ref="C36:D36"/>
    <mergeCell ref="C37:D37"/>
    <mergeCell ref="C38:D38"/>
    <mergeCell ref="C39:D39"/>
    <mergeCell ref="C40:D40"/>
    <mergeCell ref="C41:D41"/>
    <mergeCell ref="C54:D54"/>
    <mergeCell ref="C55:D55"/>
    <mergeCell ref="C56:D56"/>
    <mergeCell ref="C57:D57"/>
    <mergeCell ref="C58:D58"/>
    <mergeCell ref="C59:D59"/>
    <mergeCell ref="C48:D48"/>
    <mergeCell ref="C49:D49"/>
    <mergeCell ref="C50:D50"/>
    <mergeCell ref="C51:D51"/>
    <mergeCell ref="C52:D52"/>
    <mergeCell ref="C53:D53"/>
    <mergeCell ref="C66:D66"/>
    <mergeCell ref="C67:D67"/>
    <mergeCell ref="C68:D68"/>
    <mergeCell ref="C69:D69"/>
    <mergeCell ref="C70:D70"/>
    <mergeCell ref="C71:D71"/>
    <mergeCell ref="C60:D60"/>
    <mergeCell ref="C61:D61"/>
    <mergeCell ref="C62:D62"/>
    <mergeCell ref="C63:D63"/>
    <mergeCell ref="C64:D64"/>
    <mergeCell ref="C65:D65"/>
    <mergeCell ref="C78:D78"/>
    <mergeCell ref="C79:D79"/>
    <mergeCell ref="C80:D80"/>
    <mergeCell ref="C81:D81"/>
    <mergeCell ref="C82:D82"/>
    <mergeCell ref="C83:D83"/>
    <mergeCell ref="C72:D72"/>
    <mergeCell ref="C73:D73"/>
    <mergeCell ref="C74:D74"/>
    <mergeCell ref="C75:D75"/>
    <mergeCell ref="C76:D76"/>
    <mergeCell ref="C77:D77"/>
    <mergeCell ref="C90:D90"/>
    <mergeCell ref="C91:D91"/>
    <mergeCell ref="C92:D92"/>
    <mergeCell ref="C93:D93"/>
    <mergeCell ref="C94:D94"/>
    <mergeCell ref="C95:D95"/>
    <mergeCell ref="C84:D84"/>
    <mergeCell ref="C85:D85"/>
    <mergeCell ref="C86:D86"/>
    <mergeCell ref="C87:D87"/>
    <mergeCell ref="C88:D88"/>
    <mergeCell ref="C89:D89"/>
    <mergeCell ref="C102:D102"/>
    <mergeCell ref="C103:D103"/>
    <mergeCell ref="C104:D104"/>
    <mergeCell ref="C105:D105"/>
    <mergeCell ref="C106:D106"/>
    <mergeCell ref="C107:D107"/>
    <mergeCell ref="C96:D96"/>
    <mergeCell ref="C97:D97"/>
    <mergeCell ref="C98:D98"/>
    <mergeCell ref="C99:D99"/>
    <mergeCell ref="C100:D100"/>
    <mergeCell ref="C101:D101"/>
    <mergeCell ref="C114:D114"/>
    <mergeCell ref="C115:D115"/>
    <mergeCell ref="C116:D116"/>
    <mergeCell ref="C117:D117"/>
    <mergeCell ref="C118:D118"/>
    <mergeCell ref="C119:D119"/>
    <mergeCell ref="C108:D108"/>
    <mergeCell ref="C109:D109"/>
    <mergeCell ref="C110:D110"/>
    <mergeCell ref="C111:D111"/>
    <mergeCell ref="C112:D112"/>
    <mergeCell ref="C113:D113"/>
    <mergeCell ref="C126:D126"/>
    <mergeCell ref="C127:D127"/>
    <mergeCell ref="C128:D128"/>
    <mergeCell ref="C129:D129"/>
    <mergeCell ref="C130:D130"/>
    <mergeCell ref="C131:D131"/>
    <mergeCell ref="C120:D120"/>
    <mergeCell ref="C121:D121"/>
    <mergeCell ref="C122:D122"/>
    <mergeCell ref="C123:D123"/>
    <mergeCell ref="C124:D124"/>
    <mergeCell ref="C125:D125"/>
    <mergeCell ref="C138:D138"/>
    <mergeCell ref="C139:D139"/>
    <mergeCell ref="C140:D140"/>
    <mergeCell ref="C141:D141"/>
    <mergeCell ref="C142:D142"/>
    <mergeCell ref="C143:D143"/>
    <mergeCell ref="C132:D132"/>
    <mergeCell ref="C133:D133"/>
    <mergeCell ref="C134:D134"/>
    <mergeCell ref="C135:D135"/>
    <mergeCell ref="C136:D136"/>
    <mergeCell ref="C137:D137"/>
    <mergeCell ref="C150:D150"/>
    <mergeCell ref="C151:D151"/>
    <mergeCell ref="C152:D152"/>
    <mergeCell ref="C153:D153"/>
    <mergeCell ref="C154:D154"/>
    <mergeCell ref="C155:D155"/>
    <mergeCell ref="C144:D144"/>
    <mergeCell ref="C145:D145"/>
    <mergeCell ref="C146:D146"/>
    <mergeCell ref="C147:D147"/>
    <mergeCell ref="C148:D148"/>
    <mergeCell ref="C149:D149"/>
    <mergeCell ref="C162:D162"/>
    <mergeCell ref="C163:D163"/>
    <mergeCell ref="C164:D164"/>
    <mergeCell ref="C165:D165"/>
    <mergeCell ref="C166:D166"/>
    <mergeCell ref="C167:D167"/>
    <mergeCell ref="C156:D156"/>
    <mergeCell ref="C157:D157"/>
    <mergeCell ref="C158:D158"/>
    <mergeCell ref="C159:D159"/>
    <mergeCell ref="C160:D160"/>
    <mergeCell ref="C161:D161"/>
    <mergeCell ref="C174:D174"/>
    <mergeCell ref="C175:D175"/>
    <mergeCell ref="C176:D176"/>
    <mergeCell ref="C177:D177"/>
    <mergeCell ref="C178:D178"/>
    <mergeCell ref="C179:D179"/>
    <mergeCell ref="C168:D168"/>
    <mergeCell ref="C169:D169"/>
    <mergeCell ref="C170:D170"/>
    <mergeCell ref="C171:D171"/>
    <mergeCell ref="C172:D172"/>
    <mergeCell ref="C173:D173"/>
    <mergeCell ref="C186:D186"/>
    <mergeCell ref="C187:D187"/>
    <mergeCell ref="C188:D188"/>
    <mergeCell ref="C189:D189"/>
    <mergeCell ref="C190:D190"/>
    <mergeCell ref="C191:D191"/>
    <mergeCell ref="C180:D180"/>
    <mergeCell ref="C181:D181"/>
    <mergeCell ref="C182:D182"/>
    <mergeCell ref="C183:D183"/>
    <mergeCell ref="C184:D184"/>
    <mergeCell ref="C185:D185"/>
    <mergeCell ref="C201:D201"/>
    <mergeCell ref="C202:D202"/>
    <mergeCell ref="C203:D203"/>
    <mergeCell ref="C192:D192"/>
    <mergeCell ref="C193:D193"/>
    <mergeCell ref="C194:D194"/>
    <mergeCell ref="C195:D195"/>
    <mergeCell ref="C196:D196"/>
    <mergeCell ref="C197:D197"/>
    <mergeCell ref="H238:J238"/>
    <mergeCell ref="I7:AB7"/>
    <mergeCell ref="A7:C7"/>
    <mergeCell ref="G233:I233"/>
    <mergeCell ref="H236:J236"/>
    <mergeCell ref="H237:J237"/>
    <mergeCell ref="I1:AB1"/>
    <mergeCell ref="I3:AB3"/>
    <mergeCell ref="I5:AB5"/>
    <mergeCell ref="E10:E11"/>
    <mergeCell ref="F10:F11"/>
    <mergeCell ref="H10:H11"/>
    <mergeCell ref="G10:G11"/>
    <mergeCell ref="C224:D224"/>
    <mergeCell ref="C225:D225"/>
    <mergeCell ref="C226:D226"/>
    <mergeCell ref="C227:D227"/>
    <mergeCell ref="C216:D216"/>
    <mergeCell ref="C217:D217"/>
    <mergeCell ref="C218:D218"/>
    <mergeCell ref="C219:D219"/>
    <mergeCell ref="C220:D220"/>
    <mergeCell ref="C221:D221"/>
    <mergeCell ref="AK10:AK11"/>
    <mergeCell ref="C228:D228"/>
    <mergeCell ref="C229:D229"/>
    <mergeCell ref="C230:D230"/>
    <mergeCell ref="C231:D231"/>
    <mergeCell ref="A1:C1"/>
    <mergeCell ref="A3:C3"/>
    <mergeCell ref="C222:D222"/>
    <mergeCell ref="C223:D223"/>
    <mergeCell ref="C210:D210"/>
    <mergeCell ref="C211:D211"/>
    <mergeCell ref="C212:D212"/>
    <mergeCell ref="C213:D213"/>
    <mergeCell ref="C214:D214"/>
    <mergeCell ref="C215:D215"/>
    <mergeCell ref="C204:D204"/>
    <mergeCell ref="C205:D205"/>
    <mergeCell ref="C206:D206"/>
    <mergeCell ref="C207:D207"/>
    <mergeCell ref="C208:D208"/>
    <mergeCell ref="C209:D209"/>
    <mergeCell ref="C198:D198"/>
    <mergeCell ref="C199:D199"/>
    <mergeCell ref="C200:D200"/>
  </mergeCells>
  <dataValidations count="3">
    <dataValidation type="list" showInputMessage="1" showErrorMessage="1" sqref="D1" xr:uid="{8468380D-B968-4DD8-89EB-84823809EA7E}">
      <formula1>"PAP,PAN,KONVERT"</formula1>
    </dataValidation>
    <dataValidation type="textLength" allowBlank="1" showInputMessage="1" showErrorMessage="1" sqref="D3" xr:uid="{F68E6FB8-DD02-4C96-AEAD-72642903CA8D}">
      <formula1>0</formula1>
      <formula2>20</formula2>
    </dataValidation>
    <dataValidation showInputMessage="1" showErrorMessage="1" sqref="D2" xr:uid="{7BC7685B-C03B-4460-8438-F0D45583EF66}"/>
  </dataValidations>
  <printOptions horizontalCentered="1"/>
  <pageMargins left="0.43307086614173229" right="0.39370078740157483" top="0.39370078740157483" bottom="0.43307086614173229" header="0.31496062992125984" footer="0.23622047244094491"/>
  <pageSetup paperSize="9" scale="75" fitToHeight="0" orientation="portrait" horizontalDpi="0" verticalDpi="0" r:id="rId1"/>
  <headerFooter>
    <oddFooter>&amp;RHalaman &amp;P/&amp;N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lessThan" id="{905C02F4-6B8E-4375-8F53-C506D119DF1E}">
            <xm:f>DATA!$J$12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E12:F231</xm:sqref>
        </x14:conditionalFormatting>
        <x14:conditionalFormatting xmlns:xm="http://schemas.microsoft.com/office/excel/2006/main">
          <x14:cfRule type="cellIs" priority="1" operator="lessThan" id="{B089D24C-9E4F-4D84-B234-AC85D4EA1672}">
            <xm:f>DATA!$J$14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H12:H231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66BE0-06E7-4618-8454-F8BA7EC65D42}">
  <sheetPr codeName="Sheet5"/>
  <dimension ref="A1:P21"/>
  <sheetViews>
    <sheetView workbookViewId="0">
      <selection activeCell="K10" sqref="K10"/>
    </sheetView>
  </sheetViews>
  <sheetFormatPr defaultRowHeight="15" x14ac:dyDescent="0.25"/>
  <cols>
    <col min="1" max="3" width="3.85546875" style="1" customWidth="1"/>
  </cols>
  <sheetData>
    <row r="1" spans="1:16" x14ac:dyDescent="0.25">
      <c r="A1" s="230" t="s">
        <v>253</v>
      </c>
      <c r="B1" s="230"/>
      <c r="C1" s="230"/>
    </row>
    <row r="2" spans="1:16" x14ac:dyDescent="0.25">
      <c r="A2" s="1">
        <v>1</v>
      </c>
      <c r="B2" s="1" t="s">
        <v>26</v>
      </c>
      <c r="C2" s="1">
        <v>1</v>
      </c>
      <c r="J2" s="231" t="s">
        <v>1</v>
      </c>
      <c r="K2" s="231"/>
      <c r="L2" s="231"/>
      <c r="M2" s="231"/>
    </row>
    <row r="3" spans="1:16" x14ac:dyDescent="0.25">
      <c r="A3" s="1">
        <v>2</v>
      </c>
      <c r="B3" s="1" t="s">
        <v>25</v>
      </c>
      <c r="C3" s="1">
        <v>2</v>
      </c>
      <c r="J3" s="33"/>
      <c r="K3" s="35"/>
      <c r="L3" s="36" t="s">
        <v>0</v>
      </c>
      <c r="M3" s="37" t="s">
        <v>1</v>
      </c>
      <c r="O3" s="16"/>
      <c r="P3" s="16"/>
    </row>
    <row r="4" spans="1:16" x14ac:dyDescent="0.25">
      <c r="A4" s="1">
        <v>3</v>
      </c>
      <c r="B4" s="1" t="s">
        <v>27</v>
      </c>
      <c r="C4" s="1">
        <v>3</v>
      </c>
      <c r="J4" s="35" t="s">
        <v>3</v>
      </c>
      <c r="K4" s="35"/>
      <c r="L4" s="38">
        <f>DATA!$S$8</f>
        <v>77.5</v>
      </c>
      <c r="M4" s="38">
        <f>DATA!$W$6</f>
        <v>90</v>
      </c>
      <c r="N4" s="44"/>
    </row>
    <row r="5" spans="1:16" x14ac:dyDescent="0.25">
      <c r="A5" s="1">
        <v>4</v>
      </c>
      <c r="B5" s="1" t="s">
        <v>24</v>
      </c>
      <c r="C5" s="1">
        <v>4</v>
      </c>
      <c r="J5" s="35" t="s">
        <v>4</v>
      </c>
      <c r="K5" s="39"/>
      <c r="L5" s="38">
        <f>DATA!$S$10</f>
        <v>17.5</v>
      </c>
      <c r="M5" s="38">
        <f>DATA!$W$8</f>
        <v>50</v>
      </c>
      <c r="N5" s="45"/>
    </row>
    <row r="6" spans="1:16" x14ac:dyDescent="0.25">
      <c r="A6" s="1">
        <v>5</v>
      </c>
      <c r="B6" s="1" t="s">
        <v>23</v>
      </c>
      <c r="C6" s="1">
        <v>5</v>
      </c>
      <c r="J6" s="40" t="s">
        <v>5</v>
      </c>
      <c r="K6" s="39"/>
      <c r="L6" s="38">
        <f>L4-L5</f>
        <v>60</v>
      </c>
      <c r="M6" s="38">
        <f>M4-M5</f>
        <v>40</v>
      </c>
      <c r="N6" s="45"/>
    </row>
    <row r="7" spans="1:16" x14ac:dyDescent="0.25">
      <c r="C7" s="1">
        <v>0</v>
      </c>
      <c r="J7" s="40" t="s">
        <v>6</v>
      </c>
      <c r="K7" s="39"/>
      <c r="L7" s="38">
        <f>MEDIAN(L4:L5)</f>
        <v>47.5</v>
      </c>
      <c r="M7" s="38">
        <f>MEDIAN(M4:M5)</f>
        <v>70</v>
      </c>
      <c r="N7" s="45"/>
    </row>
    <row r="8" spans="1:16" x14ac:dyDescent="0.25">
      <c r="J8" s="41" t="s">
        <v>7</v>
      </c>
      <c r="K8" s="35"/>
      <c r="L8" s="38">
        <f>IFERROR(M6/L6,0)</f>
        <v>0.66666666666666663</v>
      </c>
      <c r="M8" s="42"/>
      <c r="N8" s="44"/>
    </row>
    <row r="9" spans="1:16" x14ac:dyDescent="0.25">
      <c r="J9" s="41" t="s">
        <v>8</v>
      </c>
      <c r="K9" s="33"/>
      <c r="L9" s="46">
        <f>M7-(L7*L8)</f>
        <v>38.333333333333336</v>
      </c>
      <c r="M9" s="34"/>
    </row>
    <row r="10" spans="1:16" x14ac:dyDescent="0.25">
      <c r="L10" s="43"/>
      <c r="M10" s="43"/>
    </row>
    <row r="14" spans="1:16" x14ac:dyDescent="0.25">
      <c r="J14" s="232" t="s">
        <v>300</v>
      </c>
      <c r="K14" s="232"/>
      <c r="L14" s="232"/>
      <c r="M14" s="232"/>
    </row>
    <row r="15" spans="1:16" x14ac:dyDescent="0.25">
      <c r="J15" s="110"/>
      <c r="K15" s="111"/>
      <c r="L15" s="112" t="s">
        <v>0</v>
      </c>
      <c r="M15" s="113" t="s">
        <v>1</v>
      </c>
    </row>
    <row r="16" spans="1:16" x14ac:dyDescent="0.25">
      <c r="J16" s="111" t="s">
        <v>3</v>
      </c>
      <c r="K16" s="111"/>
      <c r="L16" s="114">
        <f>MAX(SEKOR!$BS$3:$BS$222)</f>
        <v>107.5</v>
      </c>
      <c r="M16" s="114">
        <f>DATA!$W$6</f>
        <v>90</v>
      </c>
    </row>
    <row r="17" spans="10:13" x14ac:dyDescent="0.25">
      <c r="J17" s="111" t="s">
        <v>4</v>
      </c>
      <c r="K17" s="115"/>
      <c r="L17" s="114">
        <f>MIN(SEKOR!$BS$3:$BS$222)</f>
        <v>47.5</v>
      </c>
      <c r="M17" s="114">
        <f>DATA!$W$8</f>
        <v>50</v>
      </c>
    </row>
    <row r="18" spans="10:13" x14ac:dyDescent="0.25">
      <c r="J18" s="116" t="s">
        <v>5</v>
      </c>
      <c r="K18" s="115"/>
      <c r="L18" s="114">
        <f>L16-L17</f>
        <v>60</v>
      </c>
      <c r="M18" s="114">
        <f>M16-M17</f>
        <v>40</v>
      </c>
    </row>
    <row r="19" spans="10:13" x14ac:dyDescent="0.25">
      <c r="J19" s="116" t="s">
        <v>6</v>
      </c>
      <c r="K19" s="115"/>
      <c r="L19" s="114">
        <f>MEDIAN(L16:L17)</f>
        <v>77.5</v>
      </c>
      <c r="M19" s="114">
        <f>MEDIAN(M16:M17)</f>
        <v>70</v>
      </c>
    </row>
    <row r="20" spans="10:13" x14ac:dyDescent="0.25">
      <c r="J20" s="117" t="s">
        <v>7</v>
      </c>
      <c r="K20" s="111"/>
      <c r="L20" s="114">
        <f>IFERROR(M18/L18,0)</f>
        <v>0.66666666666666663</v>
      </c>
      <c r="M20" s="118"/>
    </row>
    <row r="21" spans="10:13" x14ac:dyDescent="0.25">
      <c r="J21" s="117" t="s">
        <v>8</v>
      </c>
      <c r="K21" s="110"/>
      <c r="L21" s="119">
        <f>M19-(L19*L20)</f>
        <v>18.333333333333336</v>
      </c>
      <c r="M21" s="120"/>
    </row>
  </sheetData>
  <sheetProtection algorithmName="SHA-512" hashValue="KXxZ7CT6trAPB7KGSF4S8lR1Oy0LWpENBmmtKALE3aA9Vy/ZMI4OyHE63hbkXAItzQHO/2+U0yBFLeagJxYfwQ==" saltValue="BZ8W29rl6en2skclleznjQ==" spinCount="100000" sheet="1" objects="1" scenarios="1"/>
  <mergeCells count="3">
    <mergeCell ref="A1:C1"/>
    <mergeCell ref="J2:M2"/>
    <mergeCell ref="J14:M1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575E9-569F-4629-9BD1-06F5F0F7DCAF}">
  <sheetPr codeName="Sheet8"/>
  <dimension ref="A8:R57"/>
  <sheetViews>
    <sheetView workbookViewId="0">
      <selection activeCell="S11" sqref="S11"/>
    </sheetView>
  </sheetViews>
  <sheetFormatPr defaultRowHeight="15" x14ac:dyDescent="0.25"/>
  <cols>
    <col min="1" max="1" width="3" bestFit="1" customWidth="1"/>
    <col min="2" max="2" width="2.28515625" bestFit="1" customWidth="1"/>
    <col min="3" max="3" width="4.85546875" customWidth="1"/>
    <col min="4" max="4" width="3" bestFit="1" customWidth="1"/>
    <col min="5" max="5" width="2.28515625" bestFit="1" customWidth="1"/>
    <col min="6" max="6" width="4.85546875" customWidth="1"/>
    <col min="7" max="7" width="3" bestFit="1" customWidth="1"/>
    <col min="8" max="8" width="2.28515625" bestFit="1" customWidth="1"/>
    <col min="9" max="9" width="4.85546875" customWidth="1"/>
    <col min="10" max="10" width="3" bestFit="1" customWidth="1"/>
    <col min="11" max="11" width="2.28515625" bestFit="1" customWidth="1"/>
    <col min="12" max="12" width="4.85546875" customWidth="1"/>
    <col min="13" max="13" width="3" bestFit="1" customWidth="1"/>
    <col min="14" max="14" width="2.28515625" bestFit="1" customWidth="1"/>
    <col min="15" max="15" width="4.85546875" customWidth="1"/>
    <col min="16" max="16" width="3" bestFit="1" customWidth="1"/>
    <col min="17" max="17" width="2.28515625" bestFit="1" customWidth="1"/>
    <col min="18" max="18" width="4.85546875" customWidth="1"/>
  </cols>
  <sheetData>
    <row r="8" spans="1:18" x14ac:dyDescent="0.25">
      <c r="A8" s="131">
        <v>1</v>
      </c>
      <c r="B8" s="134" t="s">
        <v>26</v>
      </c>
      <c r="C8" s="135">
        <f>VLOOKUP(PILGAN!B8,Ujian!$C$233:$BK$237,A$8+1,TRUE)</f>
        <v>8.9285714285714288E-2</v>
      </c>
      <c r="D8" s="131">
        <v>11</v>
      </c>
      <c r="E8" s="134" t="s">
        <v>26</v>
      </c>
      <c r="F8" s="135">
        <f>VLOOKUP(PILGAN!E8,Ujian!$C$233:$BK$237,D$8+1,TRUE)</f>
        <v>7.1428571428571425E-2</v>
      </c>
      <c r="G8" s="131">
        <v>21</v>
      </c>
      <c r="H8" s="134" t="s">
        <v>26</v>
      </c>
      <c r="I8" s="135">
        <f>VLOOKUP(PILGAN!H8,Ujian!$C$233:$BK$237,G$8+1,TRUE)</f>
        <v>0.2857142857142857</v>
      </c>
      <c r="J8" s="131">
        <v>31</v>
      </c>
      <c r="K8" s="134" t="s">
        <v>26</v>
      </c>
      <c r="L8" s="135">
        <f>VLOOKUP(PILGAN!K8,Ujian!$C$233:$BK$237,J$8+1,TRUE)</f>
        <v>0.17857142857142858</v>
      </c>
      <c r="M8" s="131">
        <v>41</v>
      </c>
      <c r="N8" s="134" t="s">
        <v>26</v>
      </c>
      <c r="O8" s="135">
        <f>VLOOKUP(PILGAN!N8,Ujian!$C$233:$BK$237,M$8+1,TRUE)</f>
        <v>3.5714285714285712E-2</v>
      </c>
      <c r="P8" s="131">
        <v>51</v>
      </c>
      <c r="Q8" s="134" t="s">
        <v>26</v>
      </c>
      <c r="R8" s="135">
        <f>VLOOKUP(PILGAN!Q8,Ujian!$C$233:$BK$237,P$8+1,TRUE)</f>
        <v>0</v>
      </c>
    </row>
    <row r="9" spans="1:18" x14ac:dyDescent="0.25">
      <c r="A9" s="132"/>
      <c r="B9" s="134" t="s">
        <v>25</v>
      </c>
      <c r="C9" s="135">
        <f>VLOOKUP(PILGAN!B9,Ujian!$C$233:$BK$237,A$8+1,TRUE)</f>
        <v>3.5714285714285712E-2</v>
      </c>
      <c r="D9" s="132"/>
      <c r="E9" s="134" t="s">
        <v>25</v>
      </c>
      <c r="F9" s="135">
        <f>VLOOKUP(PILGAN!E9,Ujian!$C$233:$BK$237,D$8+1,TRUE)</f>
        <v>0.10714285714285714</v>
      </c>
      <c r="G9" s="132"/>
      <c r="H9" s="134" t="s">
        <v>25</v>
      </c>
      <c r="I9" s="135">
        <f>VLOOKUP(PILGAN!H9,Ujian!$C$233:$BK$237,G$8+1,TRUE)</f>
        <v>0.375</v>
      </c>
      <c r="J9" s="132"/>
      <c r="K9" s="134" t="s">
        <v>25</v>
      </c>
      <c r="L9" s="135">
        <f>VLOOKUP(PILGAN!K9,Ujian!$C$233:$BK$237,J$8+1,TRUE)</f>
        <v>0.375</v>
      </c>
      <c r="M9" s="132"/>
      <c r="N9" s="134" t="s">
        <v>25</v>
      </c>
      <c r="O9" s="135">
        <f>VLOOKUP(PILGAN!N9,Ujian!$C$233:$BK$237,M$8+1,TRUE)</f>
        <v>1.7857142857142856E-2</v>
      </c>
      <c r="P9" s="132"/>
      <c r="Q9" s="134" t="s">
        <v>25</v>
      </c>
      <c r="R9" s="135">
        <f>VLOOKUP(PILGAN!Q9,Ujian!$C$233:$BK$237,P$8+1,TRUE)</f>
        <v>0</v>
      </c>
    </row>
    <row r="10" spans="1:18" x14ac:dyDescent="0.25">
      <c r="A10" s="132"/>
      <c r="B10" s="134" t="s">
        <v>27</v>
      </c>
      <c r="C10" s="135">
        <f>VLOOKUP(PILGAN!B10,Ujian!$C$233:$BK$237,A$8+1,TRUE)</f>
        <v>3.5714285714285712E-2</v>
      </c>
      <c r="D10" s="132"/>
      <c r="E10" s="134" t="s">
        <v>27</v>
      </c>
      <c r="F10" s="135">
        <f>VLOOKUP(PILGAN!E10,Ujian!$C$233:$BK$237,D$8+1,TRUE)</f>
        <v>0.19642857142857142</v>
      </c>
      <c r="G10" s="132"/>
      <c r="H10" s="134" t="s">
        <v>27</v>
      </c>
      <c r="I10" s="135">
        <f>VLOOKUP(PILGAN!H10,Ujian!$C$233:$BK$237,G$8+1,TRUE)</f>
        <v>3.5714285714285712E-2</v>
      </c>
      <c r="J10" s="132"/>
      <c r="K10" s="134" t="s">
        <v>27</v>
      </c>
      <c r="L10" s="135">
        <f>VLOOKUP(PILGAN!K10,Ujian!$C$233:$BK$237,J$8+1,TRUE)</f>
        <v>8.9285714285714288E-2</v>
      </c>
      <c r="M10" s="132"/>
      <c r="N10" s="134" t="s">
        <v>27</v>
      </c>
      <c r="O10" s="135">
        <f>VLOOKUP(PILGAN!N10,Ujian!$C$233:$BK$237,M$8+1,TRUE)</f>
        <v>3.5714285714285712E-2</v>
      </c>
      <c r="P10" s="132"/>
      <c r="Q10" s="134" t="s">
        <v>27</v>
      </c>
      <c r="R10" s="135">
        <f>VLOOKUP(PILGAN!Q10,Ujian!$C$233:$BK$237,P$8+1,TRUE)</f>
        <v>0</v>
      </c>
    </row>
    <row r="11" spans="1:18" x14ac:dyDescent="0.25">
      <c r="A11" s="132"/>
      <c r="B11" s="134" t="s">
        <v>24</v>
      </c>
      <c r="C11" s="135">
        <f>VLOOKUP(PILGAN!B11,Ujian!$C$233:$BK$237,A$8+1,TRUE)</f>
        <v>0.39285714285714285</v>
      </c>
      <c r="D11" s="132"/>
      <c r="E11" s="134" t="s">
        <v>24</v>
      </c>
      <c r="F11" s="135">
        <f>VLOOKUP(PILGAN!E11,Ujian!$C$233:$BK$237,D$8+1,TRUE)</f>
        <v>0.23214285714285715</v>
      </c>
      <c r="G11" s="132"/>
      <c r="H11" s="134" t="s">
        <v>24</v>
      </c>
      <c r="I11" s="135">
        <f>VLOOKUP(PILGAN!H11,Ujian!$C$233:$BK$237,G$8+1,TRUE)</f>
        <v>0.14285714285714285</v>
      </c>
      <c r="J11" s="132"/>
      <c r="K11" s="134" t="s">
        <v>24</v>
      </c>
      <c r="L11" s="135">
        <f>VLOOKUP(PILGAN!K11,Ujian!$C$233:$BK$237,J$8+1,TRUE)</f>
        <v>5.3571428571428568E-2</v>
      </c>
      <c r="M11" s="132"/>
      <c r="N11" s="134" t="s">
        <v>24</v>
      </c>
      <c r="O11" s="135">
        <f>VLOOKUP(PILGAN!N11,Ujian!$C$233:$BK$237,M$8+1,TRUE)</f>
        <v>1.7857142857142856E-2</v>
      </c>
      <c r="P11" s="132"/>
      <c r="Q11" s="134" t="s">
        <v>24</v>
      </c>
      <c r="R11" s="135">
        <f>VLOOKUP(PILGAN!Q11,Ujian!$C$233:$BK$237,P$8+1,TRUE)</f>
        <v>0</v>
      </c>
    </row>
    <row r="12" spans="1:18" x14ac:dyDescent="0.25">
      <c r="A12" s="133"/>
      <c r="B12" s="134" t="s">
        <v>23</v>
      </c>
      <c r="C12" s="135">
        <f>VLOOKUP(PILGAN!B12,Ujian!$C$233:$BK$237,A$8+1,TRUE)</f>
        <v>0.30357142857142855</v>
      </c>
      <c r="D12" s="133"/>
      <c r="E12" s="134" t="s">
        <v>23</v>
      </c>
      <c r="F12" s="135">
        <f>VLOOKUP(PILGAN!E12,Ujian!$C$233:$BK$237,D$8+1,TRUE)</f>
        <v>0.23214285714285715</v>
      </c>
      <c r="G12" s="133"/>
      <c r="H12" s="134" t="s">
        <v>23</v>
      </c>
      <c r="I12" s="135">
        <f>VLOOKUP(PILGAN!H12,Ujian!$C$233:$BK$237,G$8+1,TRUE)</f>
        <v>5.3571428571428568E-2</v>
      </c>
      <c r="J12" s="133"/>
      <c r="K12" s="134" t="s">
        <v>23</v>
      </c>
      <c r="L12" s="135">
        <f>VLOOKUP(PILGAN!K12,Ujian!$C$233:$BK$237,J$8+1,TRUE)</f>
        <v>0.19642857142857142</v>
      </c>
      <c r="M12" s="133"/>
      <c r="N12" s="134" t="s">
        <v>23</v>
      </c>
      <c r="O12" s="135">
        <f>VLOOKUP(PILGAN!N12,Ujian!$C$233:$BK$237,M$8+1,TRUE)</f>
        <v>0.75</v>
      </c>
      <c r="P12" s="133"/>
      <c r="Q12" s="134" t="s">
        <v>23</v>
      </c>
      <c r="R12" s="135">
        <f>VLOOKUP(PILGAN!Q12,Ujian!$C$233:$BK$237,P$8+1,TRUE)</f>
        <v>0</v>
      </c>
    </row>
    <row r="13" spans="1:18" x14ac:dyDescent="0.25">
      <c r="A13" s="131">
        <f>A8+1</f>
        <v>2</v>
      </c>
      <c r="B13" s="134" t="s">
        <v>26</v>
      </c>
      <c r="C13" s="135">
        <f>VLOOKUP(PILGAN!B13,Ujian!$C$233:$BK$237,A$13+1,TRUE)</f>
        <v>0.6785714285714286</v>
      </c>
      <c r="D13" s="131">
        <f>D8+1</f>
        <v>12</v>
      </c>
      <c r="E13" s="134" t="s">
        <v>26</v>
      </c>
      <c r="F13" s="135">
        <f>VLOOKUP(PILGAN!E13,Ujian!$C$233:$BK$237,D$13+1,TRUE)</f>
        <v>5.3571428571428568E-2</v>
      </c>
      <c r="G13" s="131">
        <f>G8+1</f>
        <v>22</v>
      </c>
      <c r="H13" s="134" t="s">
        <v>26</v>
      </c>
      <c r="I13" s="135">
        <f>VLOOKUP(PILGAN!H13,Ujian!$C$233:$BK$237,G$13+1,TRUE)</f>
        <v>0.5892857142857143</v>
      </c>
      <c r="J13" s="131">
        <f>J8+1</f>
        <v>32</v>
      </c>
      <c r="K13" s="134" t="s">
        <v>26</v>
      </c>
      <c r="L13" s="135">
        <f>VLOOKUP(PILGAN!K13,Ujian!$C$233:$BK$237,J$13+1,TRUE)</f>
        <v>0.14285714285714285</v>
      </c>
      <c r="M13" s="131">
        <f>M8+1</f>
        <v>42</v>
      </c>
      <c r="N13" s="134" t="s">
        <v>26</v>
      </c>
      <c r="O13" s="135">
        <f>VLOOKUP(PILGAN!N13,Ujian!$C$233:$BK$237,M$13+1,TRUE)</f>
        <v>5.3571428571428568E-2</v>
      </c>
      <c r="P13" s="131">
        <f>P8+1</f>
        <v>52</v>
      </c>
      <c r="Q13" s="134" t="s">
        <v>26</v>
      </c>
      <c r="R13" s="135">
        <f>VLOOKUP(PILGAN!Q13,Ujian!$C$233:$BK$237,P$13+1,TRUE)</f>
        <v>0</v>
      </c>
    </row>
    <row r="14" spans="1:18" x14ac:dyDescent="0.25">
      <c r="A14" s="132"/>
      <c r="B14" s="134" t="s">
        <v>25</v>
      </c>
      <c r="C14" s="135">
        <f>VLOOKUP(PILGAN!B14,Ujian!$C$233:$BK$237,A$13+1,TRUE)</f>
        <v>7.1428571428571425E-2</v>
      </c>
      <c r="D14" s="132"/>
      <c r="E14" s="134" t="s">
        <v>25</v>
      </c>
      <c r="F14" s="135">
        <f>VLOOKUP(PILGAN!E14,Ujian!$C$233:$BK$237,D$13+1,TRUE)</f>
        <v>0.5714285714285714</v>
      </c>
      <c r="G14" s="132"/>
      <c r="H14" s="134" t="s">
        <v>25</v>
      </c>
      <c r="I14" s="135">
        <f>VLOOKUP(PILGAN!H14,Ujian!$C$233:$BK$237,G$13+1,TRUE)</f>
        <v>8.9285714285714288E-2</v>
      </c>
      <c r="J14" s="132"/>
      <c r="K14" s="134" t="s">
        <v>25</v>
      </c>
      <c r="L14" s="135">
        <f>VLOOKUP(PILGAN!K14,Ujian!$C$233:$BK$237,J$13+1,TRUE)</f>
        <v>0.7142857142857143</v>
      </c>
      <c r="M14" s="132"/>
      <c r="N14" s="134" t="s">
        <v>25</v>
      </c>
      <c r="O14" s="135">
        <f>VLOOKUP(PILGAN!N14,Ujian!$C$233:$BK$237,M$13+1,TRUE)</f>
        <v>0.30357142857142855</v>
      </c>
      <c r="P14" s="132"/>
      <c r="Q14" s="134" t="s">
        <v>25</v>
      </c>
      <c r="R14" s="135">
        <f>VLOOKUP(PILGAN!Q14,Ujian!$C$233:$BK$237,P$13+1,TRUE)</f>
        <v>0</v>
      </c>
    </row>
    <row r="15" spans="1:18" x14ac:dyDescent="0.25">
      <c r="A15" s="132"/>
      <c r="B15" s="134" t="s">
        <v>27</v>
      </c>
      <c r="C15" s="135">
        <f>VLOOKUP(PILGAN!B15,Ujian!$C$233:$BK$237,A$13+1,TRUE)</f>
        <v>1.7857142857142856E-2</v>
      </c>
      <c r="D15" s="132"/>
      <c r="E15" s="134" t="s">
        <v>27</v>
      </c>
      <c r="F15" s="135">
        <f>VLOOKUP(PILGAN!E15,Ujian!$C$233:$BK$237,D$13+1,TRUE)</f>
        <v>7.1428571428571425E-2</v>
      </c>
      <c r="G15" s="132"/>
      <c r="H15" s="134" t="s">
        <v>27</v>
      </c>
      <c r="I15" s="135">
        <f>VLOOKUP(PILGAN!H15,Ujian!$C$233:$BK$237,G$13+1,TRUE)</f>
        <v>1.7857142857142856E-2</v>
      </c>
      <c r="J15" s="132"/>
      <c r="K15" s="134" t="s">
        <v>27</v>
      </c>
      <c r="L15" s="135">
        <f>VLOOKUP(PILGAN!K15,Ujian!$C$233:$BK$237,J$13+1,TRUE)</f>
        <v>1.7857142857142856E-2</v>
      </c>
      <c r="M15" s="132"/>
      <c r="N15" s="134" t="s">
        <v>27</v>
      </c>
      <c r="O15" s="135">
        <f>VLOOKUP(PILGAN!N15,Ujian!$C$233:$BK$237,M$13+1,TRUE)</f>
        <v>0.42857142857142855</v>
      </c>
      <c r="P15" s="132"/>
      <c r="Q15" s="134" t="s">
        <v>27</v>
      </c>
      <c r="R15" s="135">
        <f>VLOOKUP(PILGAN!Q15,Ujian!$C$233:$BK$237,P$13+1,TRUE)</f>
        <v>0</v>
      </c>
    </row>
    <row r="16" spans="1:18" x14ac:dyDescent="0.25">
      <c r="A16" s="132"/>
      <c r="B16" s="134" t="s">
        <v>24</v>
      </c>
      <c r="C16" s="135">
        <f>VLOOKUP(PILGAN!B16,Ujian!$C$233:$BK$237,A$13+1,TRUE)</f>
        <v>3.5714285714285712E-2</v>
      </c>
      <c r="D16" s="132"/>
      <c r="E16" s="134" t="s">
        <v>24</v>
      </c>
      <c r="F16" s="135">
        <f>VLOOKUP(PILGAN!E16,Ujian!$C$233:$BK$237,D$13+1,TRUE)</f>
        <v>1.7857142857142856E-2</v>
      </c>
      <c r="G16" s="132"/>
      <c r="H16" s="134" t="s">
        <v>24</v>
      </c>
      <c r="I16" s="135">
        <f>VLOOKUP(PILGAN!H16,Ujian!$C$233:$BK$237,G$13+1,TRUE)</f>
        <v>3.5714285714285712E-2</v>
      </c>
      <c r="J16" s="132"/>
      <c r="K16" s="134" t="s">
        <v>24</v>
      </c>
      <c r="L16" s="135">
        <f>VLOOKUP(PILGAN!K16,Ujian!$C$233:$BK$237,J$13+1,TRUE)</f>
        <v>0</v>
      </c>
      <c r="M16" s="132"/>
      <c r="N16" s="134" t="s">
        <v>24</v>
      </c>
      <c r="O16" s="135">
        <f>VLOOKUP(PILGAN!N16,Ujian!$C$233:$BK$237,M$13+1,TRUE)</f>
        <v>3.5714285714285712E-2</v>
      </c>
      <c r="P16" s="132"/>
      <c r="Q16" s="134" t="s">
        <v>24</v>
      </c>
      <c r="R16" s="135">
        <f>VLOOKUP(PILGAN!Q16,Ujian!$C$233:$BK$237,P$13+1,TRUE)</f>
        <v>0</v>
      </c>
    </row>
    <row r="17" spans="1:18" x14ac:dyDescent="0.25">
      <c r="A17" s="133"/>
      <c r="B17" s="134" t="s">
        <v>23</v>
      </c>
      <c r="C17" s="135">
        <f>VLOOKUP(PILGAN!B17,Ujian!$C$233:$BK$237,A$13+1,TRUE)</f>
        <v>7.1428571428571425E-2</v>
      </c>
      <c r="D17" s="133"/>
      <c r="E17" s="134" t="s">
        <v>23</v>
      </c>
      <c r="F17" s="135">
        <f>VLOOKUP(PILGAN!E17,Ujian!$C$233:$BK$237,D$13+1,TRUE)</f>
        <v>0.17857142857142858</v>
      </c>
      <c r="G17" s="133"/>
      <c r="H17" s="134" t="s">
        <v>23</v>
      </c>
      <c r="I17" s="135">
        <f>VLOOKUP(PILGAN!H17,Ujian!$C$233:$BK$237,G$13+1,TRUE)</f>
        <v>0.21428571428571427</v>
      </c>
      <c r="J17" s="133"/>
      <c r="K17" s="134" t="s">
        <v>23</v>
      </c>
      <c r="L17" s="135">
        <f>VLOOKUP(PILGAN!K17,Ujian!$C$233:$BK$237,J$13+1,TRUE)</f>
        <v>3.5714285714285712E-2</v>
      </c>
      <c r="M17" s="133"/>
      <c r="N17" s="134" t="s">
        <v>23</v>
      </c>
      <c r="O17" s="135">
        <f>VLOOKUP(PILGAN!N17,Ujian!$C$233:$BK$237,M$13+1,TRUE)</f>
        <v>3.5714285714285712E-2</v>
      </c>
      <c r="P17" s="133"/>
      <c r="Q17" s="134" t="s">
        <v>23</v>
      </c>
      <c r="R17" s="135">
        <f>VLOOKUP(PILGAN!Q17,Ujian!$C$233:$BK$237,P$13+1,TRUE)</f>
        <v>0</v>
      </c>
    </row>
    <row r="18" spans="1:18" x14ac:dyDescent="0.25">
      <c r="A18" s="131">
        <f t="shared" ref="A18" si="0">A13+1</f>
        <v>3</v>
      </c>
      <c r="B18" s="134" t="s">
        <v>26</v>
      </c>
      <c r="C18" s="135">
        <f>VLOOKUP(PILGAN!B18,Ujian!$C$233:$BK$237,A$18+1,TRUE)</f>
        <v>8.9285714285714288E-2</v>
      </c>
      <c r="D18" s="131">
        <f t="shared" ref="D18" si="1">D13+1</f>
        <v>13</v>
      </c>
      <c r="E18" s="134" t="s">
        <v>26</v>
      </c>
      <c r="F18" s="135">
        <f>VLOOKUP(PILGAN!E18,Ujian!$C$233:$BK$237,D$18+1,TRUE)</f>
        <v>0.2857142857142857</v>
      </c>
      <c r="G18" s="131">
        <f t="shared" ref="G18" si="2">G13+1</f>
        <v>23</v>
      </c>
      <c r="H18" s="134" t="s">
        <v>26</v>
      </c>
      <c r="I18" s="135">
        <f>VLOOKUP(PILGAN!H18,Ujian!$C$233:$BK$237,G$18+1,TRUE)</f>
        <v>0.16071428571428573</v>
      </c>
      <c r="J18" s="131">
        <f t="shared" ref="J18" si="3">J13+1</f>
        <v>33</v>
      </c>
      <c r="K18" s="134" t="s">
        <v>26</v>
      </c>
      <c r="L18" s="135">
        <f>VLOOKUP(PILGAN!K18,Ujian!$C$233:$BK$237,J$18+1,TRUE)</f>
        <v>0.10714285714285714</v>
      </c>
      <c r="M18" s="131">
        <f t="shared" ref="M18" si="4">M13+1</f>
        <v>43</v>
      </c>
      <c r="N18" s="134" t="s">
        <v>26</v>
      </c>
      <c r="O18" s="135">
        <f>VLOOKUP(PILGAN!N18,Ujian!$C$233:$BK$237,M$18+1,TRUE)</f>
        <v>0.23214285714285715</v>
      </c>
      <c r="P18" s="131">
        <f t="shared" ref="P18" si="5">P13+1</f>
        <v>53</v>
      </c>
      <c r="Q18" s="134" t="s">
        <v>26</v>
      </c>
      <c r="R18" s="135">
        <f>VLOOKUP(PILGAN!Q18,Ujian!$C$233:$BK$237,P$18+1,TRUE)</f>
        <v>0</v>
      </c>
    </row>
    <row r="19" spans="1:18" x14ac:dyDescent="0.25">
      <c r="A19" s="132"/>
      <c r="B19" s="134" t="s">
        <v>25</v>
      </c>
      <c r="C19" s="135">
        <f>VLOOKUP(PILGAN!B19,Ujian!$C$233:$BK$237,A$18+1,TRUE)</f>
        <v>0.16071428571428573</v>
      </c>
      <c r="D19" s="132"/>
      <c r="E19" s="134" t="s">
        <v>25</v>
      </c>
      <c r="F19" s="135">
        <f>VLOOKUP(PILGAN!E19,Ujian!$C$233:$BK$237,D$18+1,TRUE)</f>
        <v>0.16071428571428573</v>
      </c>
      <c r="G19" s="132"/>
      <c r="H19" s="134" t="s">
        <v>25</v>
      </c>
      <c r="I19" s="135">
        <f>VLOOKUP(PILGAN!H19,Ujian!$C$233:$BK$237,G$18+1,TRUE)</f>
        <v>0.2857142857142857</v>
      </c>
      <c r="J19" s="132"/>
      <c r="K19" s="134" t="s">
        <v>25</v>
      </c>
      <c r="L19" s="135">
        <f>VLOOKUP(PILGAN!K19,Ujian!$C$233:$BK$237,J$18+1,TRUE)</f>
        <v>0.10714285714285714</v>
      </c>
      <c r="M19" s="132"/>
      <c r="N19" s="134" t="s">
        <v>25</v>
      </c>
      <c r="O19" s="135">
        <f>VLOOKUP(PILGAN!N19,Ujian!$C$233:$BK$237,M$18+1,TRUE)</f>
        <v>7.1428571428571425E-2</v>
      </c>
      <c r="P19" s="132"/>
      <c r="Q19" s="134" t="s">
        <v>25</v>
      </c>
      <c r="R19" s="135">
        <f>VLOOKUP(PILGAN!Q19,Ujian!$C$233:$BK$237,P$18+1,TRUE)</f>
        <v>0</v>
      </c>
    </row>
    <row r="20" spans="1:18" x14ac:dyDescent="0.25">
      <c r="A20" s="132"/>
      <c r="B20" s="134" t="s">
        <v>27</v>
      </c>
      <c r="C20" s="135">
        <f>VLOOKUP(PILGAN!B20,Ujian!$C$233:$BK$237,A$18+1,TRUE)</f>
        <v>0.5</v>
      </c>
      <c r="D20" s="132"/>
      <c r="E20" s="134" t="s">
        <v>27</v>
      </c>
      <c r="F20" s="135">
        <f>VLOOKUP(PILGAN!E20,Ujian!$C$233:$BK$237,D$18+1,TRUE)</f>
        <v>7.1428571428571425E-2</v>
      </c>
      <c r="G20" s="132"/>
      <c r="H20" s="134" t="s">
        <v>27</v>
      </c>
      <c r="I20" s="135">
        <f>VLOOKUP(PILGAN!H20,Ujian!$C$233:$BK$237,G$18+1,TRUE)</f>
        <v>3.5714285714285712E-2</v>
      </c>
      <c r="J20" s="132"/>
      <c r="K20" s="134" t="s">
        <v>27</v>
      </c>
      <c r="L20" s="135">
        <f>VLOOKUP(PILGAN!K20,Ujian!$C$233:$BK$237,J$18+1,TRUE)</f>
        <v>0.5892857142857143</v>
      </c>
      <c r="M20" s="132"/>
      <c r="N20" s="134" t="s">
        <v>27</v>
      </c>
      <c r="O20" s="135">
        <f>VLOOKUP(PILGAN!N20,Ujian!$C$233:$BK$237,M$18+1,TRUE)</f>
        <v>0.23214285714285715</v>
      </c>
      <c r="P20" s="132"/>
      <c r="Q20" s="134" t="s">
        <v>27</v>
      </c>
      <c r="R20" s="135">
        <f>VLOOKUP(PILGAN!Q20,Ujian!$C$233:$BK$237,P$18+1,TRUE)</f>
        <v>0</v>
      </c>
    </row>
    <row r="21" spans="1:18" x14ac:dyDescent="0.25">
      <c r="A21" s="132"/>
      <c r="B21" s="134" t="s">
        <v>24</v>
      </c>
      <c r="C21" s="135">
        <f>VLOOKUP(PILGAN!B21,Ujian!$C$233:$BK$237,A$18+1,TRUE)</f>
        <v>0.125</v>
      </c>
      <c r="D21" s="132"/>
      <c r="E21" s="134" t="s">
        <v>24</v>
      </c>
      <c r="F21" s="135">
        <f>VLOOKUP(PILGAN!E21,Ujian!$C$233:$BK$237,D$18+1,TRUE)</f>
        <v>0.2857142857142857</v>
      </c>
      <c r="G21" s="132"/>
      <c r="H21" s="134" t="s">
        <v>24</v>
      </c>
      <c r="I21" s="135">
        <f>VLOOKUP(PILGAN!H21,Ujian!$C$233:$BK$237,G$18+1,TRUE)</f>
        <v>7.1428571428571425E-2</v>
      </c>
      <c r="J21" s="132"/>
      <c r="K21" s="134" t="s">
        <v>24</v>
      </c>
      <c r="L21" s="135">
        <f>VLOOKUP(PILGAN!K21,Ujian!$C$233:$BK$237,J$18+1,TRUE)</f>
        <v>5.3571428571428568E-2</v>
      </c>
      <c r="M21" s="132"/>
      <c r="N21" s="134" t="s">
        <v>24</v>
      </c>
      <c r="O21" s="135">
        <f>VLOOKUP(PILGAN!N21,Ujian!$C$233:$BK$237,M$18+1,TRUE)</f>
        <v>0.125</v>
      </c>
      <c r="P21" s="132"/>
      <c r="Q21" s="134" t="s">
        <v>24</v>
      </c>
      <c r="R21" s="135">
        <f>VLOOKUP(PILGAN!Q21,Ujian!$C$233:$BK$237,P$18+1,TRUE)</f>
        <v>0</v>
      </c>
    </row>
    <row r="22" spans="1:18" x14ac:dyDescent="0.25">
      <c r="A22" s="133"/>
      <c r="B22" s="134" t="s">
        <v>23</v>
      </c>
      <c r="C22" s="135">
        <f>VLOOKUP(PILGAN!B22,Ujian!$C$233:$BK$237,A$18+1,TRUE)</f>
        <v>1.7857142857142856E-2</v>
      </c>
      <c r="D22" s="133"/>
      <c r="E22" s="134" t="s">
        <v>23</v>
      </c>
      <c r="F22" s="135">
        <f>VLOOKUP(PILGAN!E22,Ujian!$C$233:$BK$237,D$18+1,TRUE)</f>
        <v>0.14285714285714285</v>
      </c>
      <c r="G22" s="133"/>
      <c r="H22" s="134" t="s">
        <v>23</v>
      </c>
      <c r="I22" s="135">
        <f>VLOOKUP(PILGAN!H22,Ujian!$C$233:$BK$237,G$18+1,TRUE)</f>
        <v>0.26785714285714285</v>
      </c>
      <c r="J22" s="133"/>
      <c r="K22" s="134" t="s">
        <v>23</v>
      </c>
      <c r="L22" s="135">
        <f>VLOOKUP(PILGAN!K22,Ujian!$C$233:$BK$237,J$18+1,TRUE)</f>
        <v>7.1428571428571425E-2</v>
      </c>
      <c r="M22" s="133"/>
      <c r="N22" s="134" t="s">
        <v>23</v>
      </c>
      <c r="O22" s="135">
        <f>VLOOKUP(PILGAN!N22,Ujian!$C$233:$BK$237,M$18+1,TRUE)</f>
        <v>0.125</v>
      </c>
      <c r="P22" s="133"/>
      <c r="Q22" s="134" t="s">
        <v>23</v>
      </c>
      <c r="R22" s="135">
        <f>VLOOKUP(PILGAN!Q22,Ujian!$C$233:$BK$237,P$18+1,TRUE)</f>
        <v>0</v>
      </c>
    </row>
    <row r="23" spans="1:18" x14ac:dyDescent="0.25">
      <c r="A23" s="131">
        <f t="shared" ref="A23" si="6">A18+1</f>
        <v>4</v>
      </c>
      <c r="B23" s="134" t="s">
        <v>26</v>
      </c>
      <c r="C23" s="135">
        <f>VLOOKUP(PILGAN!B23,Ujian!$C$233:$BK$237,A$23+1,TRUE)</f>
        <v>0.17857142857142858</v>
      </c>
      <c r="D23" s="131">
        <f t="shared" ref="D23" si="7">D18+1</f>
        <v>14</v>
      </c>
      <c r="E23" s="134" t="s">
        <v>26</v>
      </c>
      <c r="F23" s="135">
        <f>VLOOKUP(PILGAN!E23,Ujian!$C$233:$BK$237,D$23+1,TRUE)</f>
        <v>0.10714285714285714</v>
      </c>
      <c r="G23" s="131">
        <f t="shared" ref="G23" si="8">G18+1</f>
        <v>24</v>
      </c>
      <c r="H23" s="134" t="s">
        <v>26</v>
      </c>
      <c r="I23" s="135">
        <f>VLOOKUP(PILGAN!H23,Ujian!$C$233:$BK$237,G$23+1,TRUE)</f>
        <v>3.5714285714285712E-2</v>
      </c>
      <c r="J23" s="131">
        <f t="shared" ref="J23" si="9">J18+1</f>
        <v>34</v>
      </c>
      <c r="K23" s="134" t="s">
        <v>26</v>
      </c>
      <c r="L23" s="135">
        <f>VLOOKUP(PILGAN!K23,Ujian!$C$233:$BK$237,J$23+1,TRUE)</f>
        <v>7.1428571428571425E-2</v>
      </c>
      <c r="M23" s="131">
        <f t="shared" ref="M23" si="10">M18+1</f>
        <v>44</v>
      </c>
      <c r="N23" s="134" t="s">
        <v>26</v>
      </c>
      <c r="O23" s="135">
        <f>VLOOKUP(PILGAN!N23,Ujian!$C$233:$BK$237,M$23+1,TRUE)</f>
        <v>0.5535714285714286</v>
      </c>
      <c r="P23" s="131">
        <f t="shared" ref="P23" si="11">P18+1</f>
        <v>54</v>
      </c>
      <c r="Q23" s="134" t="s">
        <v>26</v>
      </c>
      <c r="R23" s="135">
        <f>VLOOKUP(PILGAN!Q23,Ujian!$C$233:$BK$237,P$23+1,TRUE)</f>
        <v>0</v>
      </c>
    </row>
    <row r="24" spans="1:18" x14ac:dyDescent="0.25">
      <c r="A24" s="132"/>
      <c r="B24" s="134" t="s">
        <v>25</v>
      </c>
      <c r="C24" s="135">
        <f>VLOOKUP(PILGAN!B24,Ujian!$C$233:$BK$237,A$23+1,TRUE)</f>
        <v>0.125</v>
      </c>
      <c r="D24" s="132"/>
      <c r="E24" s="134" t="s">
        <v>25</v>
      </c>
      <c r="F24" s="135">
        <f>VLOOKUP(PILGAN!E24,Ujian!$C$233:$BK$237,D$23+1,TRUE)</f>
        <v>0</v>
      </c>
      <c r="G24" s="132"/>
      <c r="H24" s="134" t="s">
        <v>25</v>
      </c>
      <c r="I24" s="135">
        <f>VLOOKUP(PILGAN!H24,Ujian!$C$233:$BK$237,G$23+1,TRUE)</f>
        <v>0.42857142857142855</v>
      </c>
      <c r="J24" s="132"/>
      <c r="K24" s="134" t="s">
        <v>25</v>
      </c>
      <c r="L24" s="135">
        <f>VLOOKUP(PILGAN!K24,Ujian!$C$233:$BK$237,J$23+1,TRUE)</f>
        <v>7.1428571428571425E-2</v>
      </c>
      <c r="M24" s="132"/>
      <c r="N24" s="134" t="s">
        <v>25</v>
      </c>
      <c r="O24" s="135">
        <f>VLOOKUP(PILGAN!N24,Ujian!$C$233:$BK$237,M$23+1,TRUE)</f>
        <v>0.125</v>
      </c>
      <c r="P24" s="132"/>
      <c r="Q24" s="134" t="s">
        <v>25</v>
      </c>
      <c r="R24" s="135">
        <f>VLOOKUP(PILGAN!Q24,Ujian!$C$233:$BK$237,P$23+1,TRUE)</f>
        <v>0</v>
      </c>
    </row>
    <row r="25" spans="1:18" x14ac:dyDescent="0.25">
      <c r="A25" s="132"/>
      <c r="B25" s="134" t="s">
        <v>27</v>
      </c>
      <c r="C25" s="135">
        <f>VLOOKUP(PILGAN!B25,Ujian!$C$233:$BK$237,A$23+1,TRUE)</f>
        <v>5.3571428571428568E-2</v>
      </c>
      <c r="D25" s="132"/>
      <c r="E25" s="134" t="s">
        <v>27</v>
      </c>
      <c r="F25" s="135">
        <f>VLOOKUP(PILGAN!E25,Ujian!$C$233:$BK$237,D$23+1,TRUE)</f>
        <v>5.3571428571428568E-2</v>
      </c>
      <c r="G25" s="132"/>
      <c r="H25" s="134" t="s">
        <v>27</v>
      </c>
      <c r="I25" s="135">
        <f>VLOOKUP(PILGAN!H25,Ujian!$C$233:$BK$237,G$23+1,TRUE)</f>
        <v>5.3571428571428568E-2</v>
      </c>
      <c r="J25" s="132"/>
      <c r="K25" s="134" t="s">
        <v>27</v>
      </c>
      <c r="L25" s="135">
        <f>VLOOKUP(PILGAN!K25,Ujian!$C$233:$BK$237,J$23+1,TRUE)</f>
        <v>0.26785714285714285</v>
      </c>
      <c r="M25" s="132"/>
      <c r="N25" s="134" t="s">
        <v>27</v>
      </c>
      <c r="O25" s="135">
        <f>VLOOKUP(PILGAN!N25,Ujian!$C$233:$BK$237,M$23+1,TRUE)</f>
        <v>0.16071428571428573</v>
      </c>
      <c r="P25" s="132"/>
      <c r="Q25" s="134" t="s">
        <v>27</v>
      </c>
      <c r="R25" s="135">
        <f>VLOOKUP(PILGAN!Q25,Ujian!$C$233:$BK$237,P$23+1,TRUE)</f>
        <v>0</v>
      </c>
    </row>
    <row r="26" spans="1:18" x14ac:dyDescent="0.25">
      <c r="A26" s="132"/>
      <c r="B26" s="134" t="s">
        <v>24</v>
      </c>
      <c r="C26" s="135">
        <f>VLOOKUP(PILGAN!B26,Ujian!$C$233:$BK$237,A$23+1,TRUE)</f>
        <v>0.5892857142857143</v>
      </c>
      <c r="D26" s="132"/>
      <c r="E26" s="134" t="s">
        <v>24</v>
      </c>
      <c r="F26" s="135">
        <f>VLOOKUP(PILGAN!E26,Ujian!$C$233:$BK$237,D$23+1,TRUE)</f>
        <v>0.625</v>
      </c>
      <c r="G26" s="132"/>
      <c r="H26" s="134" t="s">
        <v>24</v>
      </c>
      <c r="I26" s="135">
        <f>VLOOKUP(PILGAN!H26,Ujian!$C$233:$BK$237,G$23+1,TRUE)</f>
        <v>0.25</v>
      </c>
      <c r="J26" s="132"/>
      <c r="K26" s="134" t="s">
        <v>24</v>
      </c>
      <c r="L26" s="135">
        <f>VLOOKUP(PILGAN!K26,Ujian!$C$233:$BK$237,J$23+1,TRUE)</f>
        <v>7.1428571428571425E-2</v>
      </c>
      <c r="M26" s="132"/>
      <c r="N26" s="134" t="s">
        <v>24</v>
      </c>
      <c r="O26" s="135">
        <f>VLOOKUP(PILGAN!N26,Ujian!$C$233:$BK$237,M$23+1,TRUE)</f>
        <v>7.1428571428571425E-2</v>
      </c>
      <c r="P26" s="132"/>
      <c r="Q26" s="134" t="s">
        <v>24</v>
      </c>
      <c r="R26" s="135">
        <f>VLOOKUP(PILGAN!Q26,Ujian!$C$233:$BK$237,P$23+1,TRUE)</f>
        <v>0</v>
      </c>
    </row>
    <row r="27" spans="1:18" x14ac:dyDescent="0.25">
      <c r="A27" s="133"/>
      <c r="B27" s="134" t="s">
        <v>23</v>
      </c>
      <c r="C27" s="135">
        <f>VLOOKUP(PILGAN!B27,Ujian!$C$233:$BK$237,A$23+1,TRUE)</f>
        <v>0</v>
      </c>
      <c r="D27" s="133"/>
      <c r="E27" s="134" t="s">
        <v>23</v>
      </c>
      <c r="F27" s="135">
        <f>VLOOKUP(PILGAN!E27,Ujian!$C$233:$BK$237,D$23+1,TRUE)</f>
        <v>5.3571428571428568E-2</v>
      </c>
      <c r="G27" s="133"/>
      <c r="H27" s="134" t="s">
        <v>23</v>
      </c>
      <c r="I27" s="135">
        <f>VLOOKUP(PILGAN!H27,Ujian!$C$233:$BK$237,G$23+1,TRUE)</f>
        <v>8.9285714285714288E-2</v>
      </c>
      <c r="J27" s="133"/>
      <c r="K27" s="134" t="s">
        <v>23</v>
      </c>
      <c r="L27" s="135">
        <f>VLOOKUP(PILGAN!K27,Ujian!$C$233:$BK$237,J$23+1,TRUE)</f>
        <v>0.375</v>
      </c>
      <c r="M27" s="133"/>
      <c r="N27" s="134" t="s">
        <v>23</v>
      </c>
      <c r="O27" s="135">
        <f>VLOOKUP(PILGAN!N27,Ujian!$C$233:$BK$237,M$23+1,TRUE)</f>
        <v>5.3571428571428568E-2</v>
      </c>
      <c r="P27" s="133"/>
      <c r="Q27" s="134" t="s">
        <v>23</v>
      </c>
      <c r="R27" s="135">
        <f>VLOOKUP(PILGAN!Q27,Ujian!$C$233:$BK$237,P$23+1,TRUE)</f>
        <v>0</v>
      </c>
    </row>
    <row r="28" spans="1:18" x14ac:dyDescent="0.25">
      <c r="A28" s="131">
        <f t="shared" ref="A28" si="12">A23+1</f>
        <v>5</v>
      </c>
      <c r="B28" s="134" t="s">
        <v>26</v>
      </c>
      <c r="C28" s="135">
        <f>VLOOKUP(PILGAN!B28,Ujian!$C$233:$BK$237,A$28+1,TRUE)</f>
        <v>0</v>
      </c>
      <c r="D28" s="131">
        <f t="shared" ref="D28" si="13">D23+1</f>
        <v>15</v>
      </c>
      <c r="E28" s="134" t="s">
        <v>26</v>
      </c>
      <c r="F28" s="135">
        <f>VLOOKUP(PILGAN!E28,Ujian!$C$233:$BK$237,D$28+1,TRUE)</f>
        <v>7.1428571428571425E-2</v>
      </c>
      <c r="G28" s="131">
        <f t="shared" ref="G28" si="14">G23+1</f>
        <v>25</v>
      </c>
      <c r="H28" s="134" t="s">
        <v>26</v>
      </c>
      <c r="I28" s="135">
        <f>VLOOKUP(PILGAN!H28,Ujian!$C$233:$BK$237,G$28+1,TRUE)</f>
        <v>0.125</v>
      </c>
      <c r="J28" s="131">
        <f t="shared" ref="J28" si="15">J23+1</f>
        <v>35</v>
      </c>
      <c r="K28" s="134" t="s">
        <v>26</v>
      </c>
      <c r="L28" s="135">
        <f>VLOOKUP(PILGAN!K28,Ujian!$C$233:$BK$237,J$28+1,TRUE)</f>
        <v>7.1428571428571425E-2</v>
      </c>
      <c r="M28" s="131">
        <f t="shared" ref="M28" si="16">M23+1</f>
        <v>45</v>
      </c>
      <c r="N28" s="134" t="s">
        <v>26</v>
      </c>
      <c r="O28" s="135">
        <f>VLOOKUP(PILGAN!N28,Ujian!$C$233:$BK$237,M$28+1,TRUE)</f>
        <v>0.10714285714285714</v>
      </c>
      <c r="P28" s="131">
        <f t="shared" ref="P28" si="17">P23+1</f>
        <v>55</v>
      </c>
      <c r="Q28" s="134" t="s">
        <v>26</v>
      </c>
      <c r="R28" s="135">
        <f>VLOOKUP(PILGAN!Q28,Ujian!$C$233:$BK$237,P$28+1,TRUE)</f>
        <v>0</v>
      </c>
    </row>
    <row r="29" spans="1:18" x14ac:dyDescent="0.25">
      <c r="A29" s="132"/>
      <c r="B29" s="134" t="s">
        <v>25</v>
      </c>
      <c r="C29" s="135">
        <f>VLOOKUP(PILGAN!B29,Ujian!$C$233:$BK$237,A$28+1,TRUE)</f>
        <v>5.3571428571428568E-2</v>
      </c>
      <c r="D29" s="132"/>
      <c r="E29" s="134" t="s">
        <v>25</v>
      </c>
      <c r="F29" s="135">
        <f>VLOOKUP(PILGAN!E29,Ujian!$C$233:$BK$237,D$28+1,TRUE)</f>
        <v>3.5714285714285712E-2</v>
      </c>
      <c r="G29" s="132"/>
      <c r="H29" s="134" t="s">
        <v>25</v>
      </c>
      <c r="I29" s="135">
        <f>VLOOKUP(PILGAN!H29,Ujian!$C$233:$BK$237,G$28+1,TRUE)</f>
        <v>0</v>
      </c>
      <c r="J29" s="132"/>
      <c r="K29" s="134" t="s">
        <v>25</v>
      </c>
      <c r="L29" s="135">
        <f>VLOOKUP(PILGAN!K29,Ujian!$C$233:$BK$237,J$28+1,TRUE)</f>
        <v>0.10714285714285714</v>
      </c>
      <c r="M29" s="132"/>
      <c r="N29" s="134" t="s">
        <v>25</v>
      </c>
      <c r="O29" s="135">
        <f>VLOOKUP(PILGAN!N29,Ujian!$C$233:$BK$237,M$28+1,TRUE)</f>
        <v>0.16071428571428573</v>
      </c>
      <c r="P29" s="132"/>
      <c r="Q29" s="134" t="s">
        <v>25</v>
      </c>
      <c r="R29" s="135">
        <f>VLOOKUP(PILGAN!Q29,Ujian!$C$233:$BK$237,P$28+1,TRUE)</f>
        <v>0</v>
      </c>
    </row>
    <row r="30" spans="1:18" x14ac:dyDescent="0.25">
      <c r="A30" s="132"/>
      <c r="B30" s="134" t="s">
        <v>27</v>
      </c>
      <c r="C30" s="135">
        <f>VLOOKUP(PILGAN!B30,Ujian!$C$233:$BK$237,A$28+1,TRUE)</f>
        <v>0.7142857142857143</v>
      </c>
      <c r="D30" s="132"/>
      <c r="E30" s="134" t="s">
        <v>27</v>
      </c>
      <c r="F30" s="135">
        <f>VLOOKUP(PILGAN!E30,Ujian!$C$233:$BK$237,D$28+1,TRUE)</f>
        <v>1.7857142857142856E-2</v>
      </c>
      <c r="G30" s="132"/>
      <c r="H30" s="134" t="s">
        <v>27</v>
      </c>
      <c r="I30" s="135">
        <f>VLOOKUP(PILGAN!H30,Ujian!$C$233:$BK$237,G$28+1,TRUE)</f>
        <v>0.3392857142857143</v>
      </c>
      <c r="J30" s="132"/>
      <c r="K30" s="134" t="s">
        <v>27</v>
      </c>
      <c r="L30" s="135">
        <f>VLOOKUP(PILGAN!K30,Ujian!$C$233:$BK$237,J$28+1,TRUE)</f>
        <v>0.48214285714285715</v>
      </c>
      <c r="M30" s="132"/>
      <c r="N30" s="134" t="s">
        <v>27</v>
      </c>
      <c r="O30" s="135">
        <f>VLOOKUP(PILGAN!N30,Ujian!$C$233:$BK$237,M$28+1,TRUE)</f>
        <v>5.3571428571428568E-2</v>
      </c>
      <c r="P30" s="132"/>
      <c r="Q30" s="134" t="s">
        <v>27</v>
      </c>
      <c r="R30" s="135">
        <f>VLOOKUP(PILGAN!Q30,Ujian!$C$233:$BK$237,P$28+1,TRUE)</f>
        <v>0</v>
      </c>
    </row>
    <row r="31" spans="1:18" x14ac:dyDescent="0.25">
      <c r="A31" s="132"/>
      <c r="B31" s="134" t="s">
        <v>24</v>
      </c>
      <c r="C31" s="135">
        <f>VLOOKUP(PILGAN!B31,Ujian!$C$233:$BK$237,A$28+1,TRUE)</f>
        <v>0.16071428571428573</v>
      </c>
      <c r="D31" s="132"/>
      <c r="E31" s="134" t="s">
        <v>24</v>
      </c>
      <c r="F31" s="135">
        <f>VLOOKUP(PILGAN!E31,Ujian!$C$233:$BK$237,D$28+1,TRUE)</f>
        <v>0.6428571428571429</v>
      </c>
      <c r="G31" s="132"/>
      <c r="H31" s="134" t="s">
        <v>24</v>
      </c>
      <c r="I31" s="135">
        <f>VLOOKUP(PILGAN!H31,Ujian!$C$233:$BK$237,G$28+1,TRUE)</f>
        <v>1.7857142857142856E-2</v>
      </c>
      <c r="J31" s="132"/>
      <c r="K31" s="134" t="s">
        <v>24</v>
      </c>
      <c r="L31" s="135">
        <f>VLOOKUP(PILGAN!K31,Ujian!$C$233:$BK$237,J$28+1,TRUE)</f>
        <v>5.3571428571428568E-2</v>
      </c>
      <c r="M31" s="132"/>
      <c r="N31" s="134" t="s">
        <v>24</v>
      </c>
      <c r="O31" s="135">
        <f>VLOOKUP(PILGAN!N31,Ujian!$C$233:$BK$237,M$28+1,TRUE)</f>
        <v>0.5535714285714286</v>
      </c>
      <c r="P31" s="132"/>
      <c r="Q31" s="134" t="s">
        <v>24</v>
      </c>
      <c r="R31" s="135">
        <f>VLOOKUP(PILGAN!Q31,Ujian!$C$233:$BK$237,P$28+1,TRUE)</f>
        <v>0</v>
      </c>
    </row>
    <row r="32" spans="1:18" x14ac:dyDescent="0.25">
      <c r="A32" s="133"/>
      <c r="B32" s="134" t="s">
        <v>23</v>
      </c>
      <c r="C32" s="135">
        <f>VLOOKUP(PILGAN!B32,Ujian!$C$233:$BK$237,A$28+1,TRUE)</f>
        <v>0</v>
      </c>
      <c r="D32" s="133"/>
      <c r="E32" s="134" t="s">
        <v>23</v>
      </c>
      <c r="F32" s="135">
        <f>VLOOKUP(PILGAN!E32,Ujian!$C$233:$BK$237,D$28+1,TRUE)</f>
        <v>0.14285714285714285</v>
      </c>
      <c r="G32" s="133"/>
      <c r="H32" s="134" t="s">
        <v>23</v>
      </c>
      <c r="I32" s="135">
        <f>VLOOKUP(PILGAN!H32,Ujian!$C$233:$BK$237,G$28+1,TRUE)</f>
        <v>0.42857142857142855</v>
      </c>
      <c r="J32" s="133"/>
      <c r="K32" s="134" t="s">
        <v>23</v>
      </c>
      <c r="L32" s="135">
        <f>VLOOKUP(PILGAN!K32,Ujian!$C$233:$BK$237,J$28+1,TRUE)</f>
        <v>7.1428571428571425E-2</v>
      </c>
      <c r="M32" s="133"/>
      <c r="N32" s="134" t="s">
        <v>23</v>
      </c>
      <c r="O32" s="135">
        <f>VLOOKUP(PILGAN!N32,Ujian!$C$233:$BK$237,M$28+1,TRUE)</f>
        <v>7.1428571428571425E-2</v>
      </c>
      <c r="P32" s="133"/>
      <c r="Q32" s="134" t="s">
        <v>23</v>
      </c>
      <c r="R32" s="135">
        <f>VLOOKUP(PILGAN!Q32,Ujian!$C$233:$BK$237,P$28+1,TRUE)</f>
        <v>0</v>
      </c>
    </row>
    <row r="33" spans="1:18" x14ac:dyDescent="0.25">
      <c r="A33" s="131">
        <f t="shared" ref="A33" si="18">A28+1</f>
        <v>6</v>
      </c>
      <c r="B33" s="134" t="s">
        <v>26</v>
      </c>
      <c r="C33" s="135">
        <f>VLOOKUP(PILGAN!B33,Ujian!$C$233:$BK$237,A$33+1,TRUE)</f>
        <v>0.25</v>
      </c>
      <c r="D33" s="131">
        <f t="shared" ref="D33" si="19">D28+1</f>
        <v>16</v>
      </c>
      <c r="E33" s="134" t="s">
        <v>26</v>
      </c>
      <c r="F33" s="135">
        <f>VLOOKUP(PILGAN!E33,Ujian!$C$233:$BK$237,D$33+1,TRUE)</f>
        <v>0.6428571428571429</v>
      </c>
      <c r="G33" s="131">
        <f t="shared" ref="G33" si="20">G28+1</f>
        <v>26</v>
      </c>
      <c r="H33" s="134" t="s">
        <v>26</v>
      </c>
      <c r="I33" s="135">
        <f>VLOOKUP(PILGAN!H33,Ujian!$C$233:$BK$237,G$33+1,TRUE)</f>
        <v>5.3571428571428568E-2</v>
      </c>
      <c r="J33" s="131">
        <f t="shared" ref="J33" si="21">J28+1</f>
        <v>36</v>
      </c>
      <c r="K33" s="134" t="s">
        <v>26</v>
      </c>
      <c r="L33" s="135">
        <f>VLOOKUP(PILGAN!K33,Ujian!$C$233:$BK$237,J$33+1,TRUE)</f>
        <v>0.10714285714285714</v>
      </c>
      <c r="M33" s="131">
        <f t="shared" ref="M33" si="22">M28+1</f>
        <v>46</v>
      </c>
      <c r="N33" s="134" t="s">
        <v>26</v>
      </c>
      <c r="O33" s="135">
        <f>VLOOKUP(PILGAN!N33,Ujian!$C$233:$BK$237,M$33+1,TRUE)</f>
        <v>0</v>
      </c>
      <c r="P33" s="131">
        <f t="shared" ref="P33" si="23">P28+1</f>
        <v>56</v>
      </c>
      <c r="Q33" s="134" t="s">
        <v>26</v>
      </c>
      <c r="R33" s="135">
        <f>VLOOKUP(PILGAN!Q33,Ujian!$C$233:$BK$237,P$33+1,TRUE)</f>
        <v>0</v>
      </c>
    </row>
    <row r="34" spans="1:18" x14ac:dyDescent="0.25">
      <c r="A34" s="132"/>
      <c r="B34" s="134" t="s">
        <v>25</v>
      </c>
      <c r="C34" s="135">
        <f>VLOOKUP(PILGAN!B34,Ujian!$C$233:$BK$237,A$33+1,TRUE)</f>
        <v>0.4107142857142857</v>
      </c>
      <c r="D34" s="132"/>
      <c r="E34" s="134" t="s">
        <v>25</v>
      </c>
      <c r="F34" s="135">
        <f>VLOOKUP(PILGAN!E34,Ujian!$C$233:$BK$237,D$33+1,TRUE)</f>
        <v>1.7857142857142856E-2</v>
      </c>
      <c r="G34" s="132"/>
      <c r="H34" s="134" t="s">
        <v>25</v>
      </c>
      <c r="I34" s="135">
        <f>VLOOKUP(PILGAN!H34,Ujian!$C$233:$BK$237,G$33+1,TRUE)</f>
        <v>1.7857142857142856E-2</v>
      </c>
      <c r="J34" s="132"/>
      <c r="K34" s="134" t="s">
        <v>25</v>
      </c>
      <c r="L34" s="135">
        <f>VLOOKUP(PILGAN!K34,Ujian!$C$233:$BK$237,J$33+1,TRUE)</f>
        <v>0.17857142857142858</v>
      </c>
      <c r="M34" s="132"/>
      <c r="N34" s="134" t="s">
        <v>25</v>
      </c>
      <c r="O34" s="135">
        <f>VLOOKUP(PILGAN!N34,Ujian!$C$233:$BK$237,M$33+1,TRUE)</f>
        <v>0</v>
      </c>
      <c r="P34" s="132"/>
      <c r="Q34" s="134" t="s">
        <v>25</v>
      </c>
      <c r="R34" s="135">
        <f>VLOOKUP(PILGAN!Q34,Ujian!$C$233:$BK$237,P$33+1,TRUE)</f>
        <v>0</v>
      </c>
    </row>
    <row r="35" spans="1:18" x14ac:dyDescent="0.25">
      <c r="A35" s="132"/>
      <c r="B35" s="134" t="s">
        <v>27</v>
      </c>
      <c r="C35" s="135">
        <f>VLOOKUP(PILGAN!B35,Ujian!$C$233:$BK$237,A$33+1,TRUE)</f>
        <v>0.14285714285714285</v>
      </c>
      <c r="D35" s="132"/>
      <c r="E35" s="134" t="s">
        <v>27</v>
      </c>
      <c r="F35" s="135">
        <f>VLOOKUP(PILGAN!E35,Ujian!$C$233:$BK$237,D$33+1,TRUE)</f>
        <v>0</v>
      </c>
      <c r="G35" s="132"/>
      <c r="H35" s="134" t="s">
        <v>27</v>
      </c>
      <c r="I35" s="135">
        <f>VLOOKUP(PILGAN!H35,Ujian!$C$233:$BK$237,G$33+1,TRUE)</f>
        <v>0.5357142857142857</v>
      </c>
      <c r="J35" s="132"/>
      <c r="K35" s="134" t="s">
        <v>27</v>
      </c>
      <c r="L35" s="135">
        <f>VLOOKUP(PILGAN!K35,Ujian!$C$233:$BK$237,J$33+1,TRUE)</f>
        <v>8.9285714285714288E-2</v>
      </c>
      <c r="M35" s="132"/>
      <c r="N35" s="134" t="s">
        <v>27</v>
      </c>
      <c r="O35" s="135">
        <f>VLOOKUP(PILGAN!N35,Ujian!$C$233:$BK$237,M$33+1,TRUE)</f>
        <v>0</v>
      </c>
      <c r="P35" s="132"/>
      <c r="Q35" s="134" t="s">
        <v>27</v>
      </c>
      <c r="R35" s="135">
        <f>VLOOKUP(PILGAN!Q35,Ujian!$C$233:$BK$237,P$33+1,TRUE)</f>
        <v>0</v>
      </c>
    </row>
    <row r="36" spans="1:18" x14ac:dyDescent="0.25">
      <c r="A36" s="132"/>
      <c r="B36" s="134" t="s">
        <v>24</v>
      </c>
      <c r="C36" s="135">
        <f>VLOOKUP(PILGAN!B36,Ujian!$C$233:$BK$237,A$33+1,TRUE)</f>
        <v>7.1428571428571425E-2</v>
      </c>
      <c r="D36" s="132"/>
      <c r="E36" s="134" t="s">
        <v>24</v>
      </c>
      <c r="F36" s="135">
        <f>VLOOKUP(PILGAN!E36,Ujian!$C$233:$BK$237,D$33+1,TRUE)</f>
        <v>3.5714285714285712E-2</v>
      </c>
      <c r="G36" s="132"/>
      <c r="H36" s="134" t="s">
        <v>24</v>
      </c>
      <c r="I36" s="135">
        <f>VLOOKUP(PILGAN!H36,Ujian!$C$233:$BK$237,G$33+1,TRUE)</f>
        <v>0.125</v>
      </c>
      <c r="J36" s="132"/>
      <c r="K36" s="134" t="s">
        <v>24</v>
      </c>
      <c r="L36" s="135">
        <f>VLOOKUP(PILGAN!K36,Ujian!$C$233:$BK$237,J$33+1,TRUE)</f>
        <v>0.23214285714285715</v>
      </c>
      <c r="M36" s="132"/>
      <c r="N36" s="134" t="s">
        <v>24</v>
      </c>
      <c r="O36" s="135">
        <f>VLOOKUP(PILGAN!N36,Ujian!$C$233:$BK$237,M$33+1,TRUE)</f>
        <v>0</v>
      </c>
      <c r="P36" s="132"/>
      <c r="Q36" s="134" t="s">
        <v>24</v>
      </c>
      <c r="R36" s="135">
        <f>VLOOKUP(PILGAN!Q36,Ujian!$C$233:$BK$237,P$33+1,TRUE)</f>
        <v>0</v>
      </c>
    </row>
    <row r="37" spans="1:18" x14ac:dyDescent="0.25">
      <c r="A37" s="133"/>
      <c r="B37" s="134" t="s">
        <v>23</v>
      </c>
      <c r="C37" s="135">
        <f>VLOOKUP(PILGAN!B37,Ujian!$C$233:$BK$237,A$33+1,TRUE)</f>
        <v>0</v>
      </c>
      <c r="D37" s="133"/>
      <c r="E37" s="134" t="s">
        <v>23</v>
      </c>
      <c r="F37" s="135">
        <f>VLOOKUP(PILGAN!E37,Ujian!$C$233:$BK$237,D$33+1,TRUE)</f>
        <v>0.14285714285714285</v>
      </c>
      <c r="G37" s="133"/>
      <c r="H37" s="134" t="s">
        <v>23</v>
      </c>
      <c r="I37" s="135">
        <f>VLOOKUP(PILGAN!H37,Ujian!$C$233:$BK$237,G$33+1,TRUE)</f>
        <v>8.9285714285714288E-2</v>
      </c>
      <c r="J37" s="133"/>
      <c r="K37" s="134" t="s">
        <v>23</v>
      </c>
      <c r="L37" s="135">
        <f>VLOOKUP(PILGAN!K37,Ujian!$C$233:$BK$237,J$33+1,TRUE)</f>
        <v>0.2857142857142857</v>
      </c>
      <c r="M37" s="133"/>
      <c r="N37" s="134" t="s">
        <v>23</v>
      </c>
      <c r="O37" s="135">
        <f>VLOOKUP(PILGAN!N37,Ujian!$C$233:$BK$237,M$33+1,TRUE)</f>
        <v>0</v>
      </c>
      <c r="P37" s="133"/>
      <c r="Q37" s="134" t="s">
        <v>23</v>
      </c>
      <c r="R37" s="135">
        <f>VLOOKUP(PILGAN!Q37,Ujian!$C$233:$BK$237,P$33+1,TRUE)</f>
        <v>0</v>
      </c>
    </row>
    <row r="38" spans="1:18" x14ac:dyDescent="0.25">
      <c r="A38" s="131">
        <f t="shared" ref="A38" si="24">A33+1</f>
        <v>7</v>
      </c>
      <c r="B38" s="134" t="s">
        <v>26</v>
      </c>
      <c r="C38" s="135">
        <f>VLOOKUP(PILGAN!B38,Ujian!$C$233:$BK$237,A$38+1,TRUE)</f>
        <v>0.6071428571428571</v>
      </c>
      <c r="D38" s="131">
        <f t="shared" ref="D38" si="25">D33+1</f>
        <v>17</v>
      </c>
      <c r="E38" s="134" t="s">
        <v>26</v>
      </c>
      <c r="F38" s="135">
        <f>VLOOKUP(PILGAN!E38,Ujian!$C$233:$BK$237,D$38+1,TRUE)</f>
        <v>0</v>
      </c>
      <c r="G38" s="131">
        <f t="shared" ref="G38" si="26">G33+1</f>
        <v>27</v>
      </c>
      <c r="H38" s="134" t="s">
        <v>26</v>
      </c>
      <c r="I38" s="135">
        <f>VLOOKUP(PILGAN!H38,Ujian!$C$233:$BK$237,G$38+1,TRUE)</f>
        <v>3.5714285714285712E-2</v>
      </c>
      <c r="J38" s="131">
        <f t="shared" ref="J38" si="27">J33+1</f>
        <v>37</v>
      </c>
      <c r="K38" s="134" t="s">
        <v>26</v>
      </c>
      <c r="L38" s="135">
        <f>VLOOKUP(PILGAN!K38,Ujian!$C$233:$BK$237,J$38+1,TRUE)</f>
        <v>3.5714285714285712E-2</v>
      </c>
      <c r="M38" s="131">
        <f t="shared" ref="M38" si="28">M33+1</f>
        <v>47</v>
      </c>
      <c r="N38" s="134" t="s">
        <v>26</v>
      </c>
      <c r="O38" s="135">
        <f>VLOOKUP(PILGAN!N38,Ujian!$C$233:$BK$237,M$38+1,TRUE)</f>
        <v>0</v>
      </c>
      <c r="P38" s="131">
        <f t="shared" ref="P38" si="29">P33+1</f>
        <v>57</v>
      </c>
      <c r="Q38" s="134" t="s">
        <v>26</v>
      </c>
      <c r="R38" s="135">
        <f>VLOOKUP(PILGAN!Q38,Ujian!$C$233:$BK$237,P$38+1,TRUE)</f>
        <v>0</v>
      </c>
    </row>
    <row r="39" spans="1:18" x14ac:dyDescent="0.25">
      <c r="A39" s="132"/>
      <c r="B39" s="134" t="s">
        <v>25</v>
      </c>
      <c r="C39" s="135">
        <f>VLOOKUP(PILGAN!B39,Ujian!$C$233:$BK$237,A$38+1,TRUE)</f>
        <v>8.9285714285714288E-2</v>
      </c>
      <c r="D39" s="132"/>
      <c r="E39" s="134" t="s">
        <v>25</v>
      </c>
      <c r="F39" s="135">
        <f>VLOOKUP(PILGAN!E39,Ujian!$C$233:$BK$237,D$38+1,TRUE)</f>
        <v>1.7857142857142856E-2</v>
      </c>
      <c r="G39" s="132"/>
      <c r="H39" s="134" t="s">
        <v>25</v>
      </c>
      <c r="I39" s="135">
        <f>VLOOKUP(PILGAN!H39,Ujian!$C$233:$BK$237,G$38+1,TRUE)</f>
        <v>0.42857142857142855</v>
      </c>
      <c r="J39" s="132"/>
      <c r="K39" s="134" t="s">
        <v>25</v>
      </c>
      <c r="L39" s="135">
        <f>VLOOKUP(PILGAN!K39,Ujian!$C$233:$BK$237,J$38+1,TRUE)</f>
        <v>5.3571428571428568E-2</v>
      </c>
      <c r="M39" s="132"/>
      <c r="N39" s="134" t="s">
        <v>25</v>
      </c>
      <c r="O39" s="135">
        <f>VLOOKUP(PILGAN!N39,Ujian!$C$233:$BK$237,M$38+1,TRUE)</f>
        <v>0</v>
      </c>
      <c r="P39" s="132"/>
      <c r="Q39" s="134" t="s">
        <v>25</v>
      </c>
      <c r="R39" s="135">
        <f>VLOOKUP(PILGAN!Q39,Ujian!$C$233:$BK$237,P$38+1,TRUE)</f>
        <v>0</v>
      </c>
    </row>
    <row r="40" spans="1:18" x14ac:dyDescent="0.25">
      <c r="A40" s="132"/>
      <c r="B40" s="134" t="s">
        <v>27</v>
      </c>
      <c r="C40" s="135">
        <f>VLOOKUP(PILGAN!B40,Ujian!$C$233:$BK$237,A$38+1,TRUE)</f>
        <v>8.9285714285714288E-2</v>
      </c>
      <c r="D40" s="132"/>
      <c r="E40" s="134" t="s">
        <v>27</v>
      </c>
      <c r="F40" s="135">
        <f>VLOOKUP(PILGAN!E40,Ujian!$C$233:$BK$237,D$38+1,TRUE)</f>
        <v>0.8035714285714286</v>
      </c>
      <c r="G40" s="132"/>
      <c r="H40" s="134" t="s">
        <v>27</v>
      </c>
      <c r="I40" s="135">
        <f>VLOOKUP(PILGAN!H40,Ujian!$C$233:$BK$237,G$38+1,TRUE)</f>
        <v>3.5714285714285712E-2</v>
      </c>
      <c r="J40" s="132"/>
      <c r="K40" s="134" t="s">
        <v>27</v>
      </c>
      <c r="L40" s="135">
        <f>VLOOKUP(PILGAN!K40,Ujian!$C$233:$BK$237,J$38+1,TRUE)</f>
        <v>0.6785714285714286</v>
      </c>
      <c r="M40" s="132"/>
      <c r="N40" s="134" t="s">
        <v>27</v>
      </c>
      <c r="O40" s="135">
        <f>VLOOKUP(PILGAN!N40,Ujian!$C$233:$BK$237,M$38+1,TRUE)</f>
        <v>0</v>
      </c>
      <c r="P40" s="132"/>
      <c r="Q40" s="134" t="s">
        <v>27</v>
      </c>
      <c r="R40" s="135">
        <f>VLOOKUP(PILGAN!Q40,Ujian!$C$233:$BK$237,P$38+1,TRUE)</f>
        <v>0</v>
      </c>
    </row>
    <row r="41" spans="1:18" x14ac:dyDescent="0.25">
      <c r="A41" s="132"/>
      <c r="B41" s="134" t="s">
        <v>24</v>
      </c>
      <c r="C41" s="135">
        <f>VLOOKUP(PILGAN!B41,Ujian!$C$233:$BK$237,A$38+1,TRUE)</f>
        <v>8.9285714285714288E-2</v>
      </c>
      <c r="D41" s="132"/>
      <c r="E41" s="134" t="s">
        <v>24</v>
      </c>
      <c r="F41" s="135">
        <f>VLOOKUP(PILGAN!E41,Ujian!$C$233:$BK$237,D$38+1,TRUE)</f>
        <v>0</v>
      </c>
      <c r="G41" s="132"/>
      <c r="H41" s="134" t="s">
        <v>24</v>
      </c>
      <c r="I41" s="135">
        <f>VLOOKUP(PILGAN!H41,Ujian!$C$233:$BK$237,G$38+1,TRUE)</f>
        <v>0.125</v>
      </c>
      <c r="J41" s="132"/>
      <c r="K41" s="134" t="s">
        <v>24</v>
      </c>
      <c r="L41" s="135">
        <f>VLOOKUP(PILGAN!K41,Ujian!$C$233:$BK$237,J$38+1,TRUE)</f>
        <v>3.5714285714285712E-2</v>
      </c>
      <c r="M41" s="132"/>
      <c r="N41" s="134" t="s">
        <v>24</v>
      </c>
      <c r="O41" s="135">
        <f>VLOOKUP(PILGAN!N41,Ujian!$C$233:$BK$237,M$38+1,TRUE)</f>
        <v>0</v>
      </c>
      <c r="P41" s="132"/>
      <c r="Q41" s="134" t="s">
        <v>24</v>
      </c>
      <c r="R41" s="135">
        <f>VLOOKUP(PILGAN!Q41,Ujian!$C$233:$BK$237,P$38+1,TRUE)</f>
        <v>0</v>
      </c>
    </row>
    <row r="42" spans="1:18" x14ac:dyDescent="0.25">
      <c r="A42" s="133"/>
      <c r="B42" s="134" t="s">
        <v>23</v>
      </c>
      <c r="C42" s="135">
        <f>VLOOKUP(PILGAN!B42,Ujian!$C$233:$BK$237,A$38+1,TRUE)</f>
        <v>5.3571428571428568E-2</v>
      </c>
      <c r="D42" s="133"/>
      <c r="E42" s="134" t="s">
        <v>23</v>
      </c>
      <c r="F42" s="135">
        <f>VLOOKUP(PILGAN!E42,Ujian!$C$233:$BK$237,D$38+1,TRUE)</f>
        <v>7.1428571428571425E-2</v>
      </c>
      <c r="G42" s="133"/>
      <c r="H42" s="134" t="s">
        <v>23</v>
      </c>
      <c r="I42" s="135">
        <f>VLOOKUP(PILGAN!H42,Ujian!$C$233:$BK$237,G$38+1,TRUE)</f>
        <v>0.21428571428571427</v>
      </c>
      <c r="J42" s="133"/>
      <c r="K42" s="134" t="s">
        <v>23</v>
      </c>
      <c r="L42" s="135">
        <f>VLOOKUP(PILGAN!K42,Ujian!$C$233:$BK$237,J$38+1,TRUE)</f>
        <v>7.1428571428571425E-2</v>
      </c>
      <c r="M42" s="133"/>
      <c r="N42" s="134" t="s">
        <v>23</v>
      </c>
      <c r="O42" s="135">
        <f>VLOOKUP(PILGAN!N42,Ujian!$C$233:$BK$237,M$38+1,TRUE)</f>
        <v>0</v>
      </c>
      <c r="P42" s="133"/>
      <c r="Q42" s="134" t="s">
        <v>23</v>
      </c>
      <c r="R42" s="135">
        <f>VLOOKUP(PILGAN!Q42,Ujian!$C$233:$BK$237,P$38+1,TRUE)</f>
        <v>0</v>
      </c>
    </row>
    <row r="43" spans="1:18" x14ac:dyDescent="0.25">
      <c r="A43" s="131">
        <f t="shared" ref="A43" si="30">A38+1</f>
        <v>8</v>
      </c>
      <c r="B43" s="134" t="s">
        <v>26</v>
      </c>
      <c r="C43" s="135">
        <f>VLOOKUP(PILGAN!B43,Ujian!$C$233:$BK$237,A$43+1,TRUE)</f>
        <v>8.9285714285714288E-2</v>
      </c>
      <c r="D43" s="131">
        <f t="shared" ref="D43" si="31">D38+1</f>
        <v>18</v>
      </c>
      <c r="E43" s="134" t="s">
        <v>26</v>
      </c>
      <c r="F43" s="135">
        <f>VLOOKUP(PILGAN!E43,Ujian!$C$233:$BK$237,D$43+1,TRUE)</f>
        <v>1.7857142857142856E-2</v>
      </c>
      <c r="G43" s="131">
        <f t="shared" ref="G43" si="32">G38+1</f>
        <v>28</v>
      </c>
      <c r="H43" s="134" t="s">
        <v>26</v>
      </c>
      <c r="I43" s="135">
        <f>VLOOKUP(PILGAN!H43,Ujian!$C$233:$BK$237,G$43+1,TRUE)</f>
        <v>0.25</v>
      </c>
      <c r="J43" s="131">
        <f t="shared" ref="J43" si="33">J38+1</f>
        <v>38</v>
      </c>
      <c r="K43" s="134" t="s">
        <v>26</v>
      </c>
      <c r="L43" s="135">
        <f>VLOOKUP(PILGAN!K43,Ujian!$C$233:$BK$237,J$43+1,TRUE)</f>
        <v>7.1428571428571425E-2</v>
      </c>
      <c r="M43" s="131">
        <f t="shared" ref="M43" si="34">M38+1</f>
        <v>48</v>
      </c>
      <c r="N43" s="134" t="s">
        <v>26</v>
      </c>
      <c r="O43" s="135">
        <f>VLOOKUP(PILGAN!N43,Ujian!$C$233:$BK$237,M$43+1,TRUE)</f>
        <v>0</v>
      </c>
      <c r="P43" s="131">
        <f t="shared" ref="P43" si="35">P38+1</f>
        <v>58</v>
      </c>
      <c r="Q43" s="134" t="s">
        <v>26</v>
      </c>
      <c r="R43" s="135">
        <f>VLOOKUP(PILGAN!Q43,Ujian!$C$233:$BK$237,P$43+1,TRUE)</f>
        <v>0</v>
      </c>
    </row>
    <row r="44" spans="1:18" x14ac:dyDescent="0.25">
      <c r="A44" s="132"/>
      <c r="B44" s="134" t="s">
        <v>25</v>
      </c>
      <c r="C44" s="135">
        <f>VLOOKUP(PILGAN!B44,Ujian!$C$233:$BK$237,A$43+1,TRUE)</f>
        <v>0.3392857142857143</v>
      </c>
      <c r="D44" s="132"/>
      <c r="E44" s="134" t="s">
        <v>25</v>
      </c>
      <c r="F44" s="135">
        <f>VLOOKUP(PILGAN!E44,Ujian!$C$233:$BK$237,D$43+1,TRUE)</f>
        <v>0.10714285714285714</v>
      </c>
      <c r="G44" s="132"/>
      <c r="H44" s="134" t="s">
        <v>25</v>
      </c>
      <c r="I44" s="135">
        <f>VLOOKUP(PILGAN!H44,Ujian!$C$233:$BK$237,G$43+1,TRUE)</f>
        <v>3.5714285714285712E-2</v>
      </c>
      <c r="J44" s="132"/>
      <c r="K44" s="134" t="s">
        <v>25</v>
      </c>
      <c r="L44" s="135">
        <f>VLOOKUP(PILGAN!K44,Ujian!$C$233:$BK$237,J$43+1,TRUE)</f>
        <v>7.1428571428571425E-2</v>
      </c>
      <c r="M44" s="132"/>
      <c r="N44" s="134" t="s">
        <v>25</v>
      </c>
      <c r="O44" s="135">
        <f>VLOOKUP(PILGAN!N44,Ujian!$C$233:$BK$237,M$43+1,TRUE)</f>
        <v>0</v>
      </c>
      <c r="P44" s="132"/>
      <c r="Q44" s="134" t="s">
        <v>25</v>
      </c>
      <c r="R44" s="135">
        <f>VLOOKUP(PILGAN!Q44,Ujian!$C$233:$BK$237,P$43+1,TRUE)</f>
        <v>0</v>
      </c>
    </row>
    <row r="45" spans="1:18" x14ac:dyDescent="0.25">
      <c r="A45" s="132"/>
      <c r="B45" s="134" t="s">
        <v>27</v>
      </c>
      <c r="C45" s="135">
        <f>VLOOKUP(PILGAN!B45,Ujian!$C$233:$BK$237,A$43+1,TRUE)</f>
        <v>5.3571428571428568E-2</v>
      </c>
      <c r="D45" s="132"/>
      <c r="E45" s="134" t="s">
        <v>27</v>
      </c>
      <c r="F45" s="135">
        <f>VLOOKUP(PILGAN!E45,Ujian!$C$233:$BK$237,D$43+1,TRUE)</f>
        <v>3.5714285714285712E-2</v>
      </c>
      <c r="G45" s="132"/>
      <c r="H45" s="134" t="s">
        <v>27</v>
      </c>
      <c r="I45" s="135">
        <f>VLOOKUP(PILGAN!H45,Ujian!$C$233:$BK$237,G$43+1,TRUE)</f>
        <v>0.39285714285714285</v>
      </c>
      <c r="J45" s="132"/>
      <c r="K45" s="134" t="s">
        <v>27</v>
      </c>
      <c r="L45" s="135">
        <f>VLOOKUP(PILGAN!K45,Ujian!$C$233:$BK$237,J$43+1,TRUE)</f>
        <v>3.5714285714285712E-2</v>
      </c>
      <c r="M45" s="132"/>
      <c r="N45" s="134" t="s">
        <v>27</v>
      </c>
      <c r="O45" s="135">
        <f>VLOOKUP(PILGAN!N45,Ujian!$C$233:$BK$237,M$43+1,TRUE)</f>
        <v>0</v>
      </c>
      <c r="P45" s="132"/>
      <c r="Q45" s="134" t="s">
        <v>27</v>
      </c>
      <c r="R45" s="135">
        <f>VLOOKUP(PILGAN!Q45,Ujian!$C$233:$BK$237,P$43+1,TRUE)</f>
        <v>0</v>
      </c>
    </row>
    <row r="46" spans="1:18" x14ac:dyDescent="0.25">
      <c r="A46" s="132"/>
      <c r="B46" s="134" t="s">
        <v>24</v>
      </c>
      <c r="C46" s="135">
        <f>VLOOKUP(PILGAN!B46,Ujian!$C$233:$BK$237,A$43+1,TRUE)</f>
        <v>0.375</v>
      </c>
      <c r="D46" s="132"/>
      <c r="E46" s="134" t="s">
        <v>24</v>
      </c>
      <c r="F46" s="135">
        <f>VLOOKUP(PILGAN!E46,Ujian!$C$233:$BK$237,D$43+1,TRUE)</f>
        <v>0.21428571428571427</v>
      </c>
      <c r="G46" s="132"/>
      <c r="H46" s="134" t="s">
        <v>24</v>
      </c>
      <c r="I46" s="135">
        <f>VLOOKUP(PILGAN!H46,Ujian!$C$233:$BK$237,G$43+1,TRUE)</f>
        <v>1.7857142857142856E-2</v>
      </c>
      <c r="J46" s="132"/>
      <c r="K46" s="134" t="s">
        <v>24</v>
      </c>
      <c r="L46" s="135">
        <f>VLOOKUP(PILGAN!K46,Ujian!$C$233:$BK$237,J$43+1,TRUE)</f>
        <v>0.6071428571428571</v>
      </c>
      <c r="M46" s="132"/>
      <c r="N46" s="134" t="s">
        <v>24</v>
      </c>
      <c r="O46" s="135">
        <f>VLOOKUP(PILGAN!N46,Ujian!$C$233:$BK$237,M$43+1,TRUE)</f>
        <v>0</v>
      </c>
      <c r="P46" s="132"/>
      <c r="Q46" s="134" t="s">
        <v>24</v>
      </c>
      <c r="R46" s="135">
        <f>VLOOKUP(PILGAN!Q46,Ujian!$C$233:$BK$237,P$43+1,TRUE)</f>
        <v>0</v>
      </c>
    </row>
    <row r="47" spans="1:18" x14ac:dyDescent="0.25">
      <c r="A47" s="133"/>
      <c r="B47" s="134" t="s">
        <v>23</v>
      </c>
      <c r="C47" s="135">
        <f>VLOOKUP(PILGAN!B47,Ujian!$C$233:$BK$237,A$43+1,TRUE)</f>
        <v>1.7857142857142856E-2</v>
      </c>
      <c r="D47" s="133"/>
      <c r="E47" s="134" t="s">
        <v>23</v>
      </c>
      <c r="F47" s="135">
        <f>VLOOKUP(PILGAN!E47,Ujian!$C$233:$BK$237,D$43+1,TRUE)</f>
        <v>0.5</v>
      </c>
      <c r="G47" s="133"/>
      <c r="H47" s="134" t="s">
        <v>23</v>
      </c>
      <c r="I47" s="135">
        <f>VLOOKUP(PILGAN!H47,Ujian!$C$233:$BK$237,G$43+1,TRUE)</f>
        <v>0.17857142857142858</v>
      </c>
      <c r="J47" s="133"/>
      <c r="K47" s="134" t="s">
        <v>23</v>
      </c>
      <c r="L47" s="135">
        <f>VLOOKUP(PILGAN!K47,Ujian!$C$233:$BK$237,J$43+1,TRUE)</f>
        <v>8.9285714285714288E-2</v>
      </c>
      <c r="M47" s="133"/>
      <c r="N47" s="134" t="s">
        <v>23</v>
      </c>
      <c r="O47" s="135">
        <f>VLOOKUP(PILGAN!N47,Ujian!$C$233:$BK$237,M$43+1,TRUE)</f>
        <v>0</v>
      </c>
      <c r="P47" s="133"/>
      <c r="Q47" s="134" t="s">
        <v>23</v>
      </c>
      <c r="R47" s="135">
        <f>VLOOKUP(PILGAN!Q47,Ujian!$C$233:$BK$237,P$43+1,TRUE)</f>
        <v>0</v>
      </c>
    </row>
    <row r="48" spans="1:18" x14ac:dyDescent="0.25">
      <c r="A48" s="131">
        <f t="shared" ref="A48" si="36">A43+1</f>
        <v>9</v>
      </c>
      <c r="B48" s="134" t="s">
        <v>26</v>
      </c>
      <c r="C48" s="135">
        <f>VLOOKUP(PILGAN!B48,Ujian!$C$233:$BK$237,A$48+1,TRUE)</f>
        <v>0.42857142857142855</v>
      </c>
      <c r="D48" s="131">
        <f t="shared" ref="D48" si="37">D43+1</f>
        <v>19</v>
      </c>
      <c r="E48" s="134" t="s">
        <v>26</v>
      </c>
      <c r="F48" s="135">
        <f>VLOOKUP(PILGAN!E48,Ujian!$C$233:$BK$237,D$48+1,TRUE)</f>
        <v>0.10714285714285714</v>
      </c>
      <c r="G48" s="131">
        <f t="shared" ref="G48" si="38">G43+1</f>
        <v>29</v>
      </c>
      <c r="H48" s="134" t="s">
        <v>26</v>
      </c>
      <c r="I48" s="135">
        <f>VLOOKUP(PILGAN!H48,Ujian!$C$233:$BK$237,G$48+1,TRUE)</f>
        <v>3.5714285714285712E-2</v>
      </c>
      <c r="J48" s="131">
        <f t="shared" ref="J48" si="39">J43+1</f>
        <v>39</v>
      </c>
      <c r="K48" s="134" t="s">
        <v>26</v>
      </c>
      <c r="L48" s="135">
        <f>VLOOKUP(PILGAN!K48,Ujian!$C$233:$BK$237,J$48+1,TRUE)</f>
        <v>3.5714285714285712E-2</v>
      </c>
      <c r="M48" s="131">
        <f t="shared" ref="M48" si="40">M43+1</f>
        <v>49</v>
      </c>
      <c r="N48" s="134" t="s">
        <v>26</v>
      </c>
      <c r="O48" s="135">
        <f>VLOOKUP(PILGAN!N48,Ujian!$C$233:$BK$237,M$48+1,TRUE)</f>
        <v>0</v>
      </c>
      <c r="P48" s="131">
        <f t="shared" ref="P48" si="41">P43+1</f>
        <v>59</v>
      </c>
      <c r="Q48" s="134" t="s">
        <v>26</v>
      </c>
      <c r="R48" s="135">
        <f>VLOOKUP(PILGAN!Q48,Ujian!$C$233:$BK$237,P$48+1,TRUE)</f>
        <v>0</v>
      </c>
    </row>
    <row r="49" spans="1:18" x14ac:dyDescent="0.25">
      <c r="A49" s="132"/>
      <c r="B49" s="134" t="s">
        <v>25</v>
      </c>
      <c r="C49" s="135">
        <f>VLOOKUP(PILGAN!B49,Ujian!$C$233:$BK$237,A$48+1,TRUE)</f>
        <v>5.3571428571428568E-2</v>
      </c>
      <c r="D49" s="132"/>
      <c r="E49" s="134" t="s">
        <v>25</v>
      </c>
      <c r="F49" s="135">
        <f>VLOOKUP(PILGAN!E49,Ujian!$C$233:$BK$237,D$48+1,TRUE)</f>
        <v>0.26785714285714285</v>
      </c>
      <c r="G49" s="132"/>
      <c r="H49" s="134" t="s">
        <v>25</v>
      </c>
      <c r="I49" s="135">
        <f>VLOOKUP(PILGAN!H49,Ujian!$C$233:$BK$237,G$48+1,TRUE)</f>
        <v>0.30357142857142855</v>
      </c>
      <c r="J49" s="132"/>
      <c r="K49" s="134" t="s">
        <v>25</v>
      </c>
      <c r="L49" s="135">
        <f>VLOOKUP(PILGAN!K49,Ujian!$C$233:$BK$237,J$48+1,TRUE)</f>
        <v>0.32142857142857145</v>
      </c>
      <c r="M49" s="132"/>
      <c r="N49" s="134" t="s">
        <v>25</v>
      </c>
      <c r="O49" s="135">
        <f>VLOOKUP(PILGAN!N49,Ujian!$C$233:$BK$237,M$48+1,TRUE)</f>
        <v>0</v>
      </c>
      <c r="P49" s="132"/>
      <c r="Q49" s="134" t="s">
        <v>25</v>
      </c>
      <c r="R49" s="135">
        <f>VLOOKUP(PILGAN!Q49,Ujian!$C$233:$BK$237,P$48+1,TRUE)</f>
        <v>0</v>
      </c>
    </row>
    <row r="50" spans="1:18" x14ac:dyDescent="0.25">
      <c r="A50" s="132"/>
      <c r="B50" s="134" t="s">
        <v>27</v>
      </c>
      <c r="C50" s="135">
        <f>VLOOKUP(PILGAN!B50,Ujian!$C$233:$BK$237,A$48+1,TRUE)</f>
        <v>0.16071428571428573</v>
      </c>
      <c r="D50" s="132"/>
      <c r="E50" s="134" t="s">
        <v>27</v>
      </c>
      <c r="F50" s="135">
        <f>VLOOKUP(PILGAN!E50,Ujian!$C$233:$BK$237,D$48+1,TRUE)</f>
        <v>3.5714285714285712E-2</v>
      </c>
      <c r="G50" s="132"/>
      <c r="H50" s="134" t="s">
        <v>27</v>
      </c>
      <c r="I50" s="135">
        <f>VLOOKUP(PILGAN!H50,Ujian!$C$233:$BK$237,G$48+1,TRUE)</f>
        <v>8.9285714285714288E-2</v>
      </c>
      <c r="J50" s="132"/>
      <c r="K50" s="134" t="s">
        <v>27</v>
      </c>
      <c r="L50" s="135">
        <f>VLOOKUP(PILGAN!K50,Ujian!$C$233:$BK$237,J$48+1,TRUE)</f>
        <v>0.48214285714285715</v>
      </c>
      <c r="M50" s="132"/>
      <c r="N50" s="134" t="s">
        <v>27</v>
      </c>
      <c r="O50" s="135">
        <f>VLOOKUP(PILGAN!N50,Ujian!$C$233:$BK$237,M$48+1,TRUE)</f>
        <v>0</v>
      </c>
      <c r="P50" s="132"/>
      <c r="Q50" s="134" t="s">
        <v>27</v>
      </c>
      <c r="R50" s="135">
        <f>VLOOKUP(PILGAN!Q50,Ujian!$C$233:$BK$237,P$48+1,TRUE)</f>
        <v>0</v>
      </c>
    </row>
    <row r="51" spans="1:18" x14ac:dyDescent="0.25">
      <c r="A51" s="132"/>
      <c r="B51" s="134" t="s">
        <v>24</v>
      </c>
      <c r="C51" s="135">
        <f>VLOOKUP(PILGAN!B51,Ujian!$C$233:$BK$237,A$48+1,TRUE)</f>
        <v>0.25</v>
      </c>
      <c r="D51" s="132"/>
      <c r="E51" s="134" t="s">
        <v>24</v>
      </c>
      <c r="F51" s="135">
        <f>VLOOKUP(PILGAN!E51,Ujian!$C$233:$BK$237,D$48+1,TRUE)</f>
        <v>0.5</v>
      </c>
      <c r="G51" s="132"/>
      <c r="H51" s="134" t="s">
        <v>24</v>
      </c>
      <c r="I51" s="135">
        <f>VLOOKUP(PILGAN!H51,Ujian!$C$233:$BK$237,G$48+1,TRUE)</f>
        <v>0.23214285714285715</v>
      </c>
      <c r="J51" s="132"/>
      <c r="K51" s="134" t="s">
        <v>24</v>
      </c>
      <c r="L51" s="135">
        <f>VLOOKUP(PILGAN!K51,Ujian!$C$233:$BK$237,J$48+1,TRUE)</f>
        <v>3.5714285714285712E-2</v>
      </c>
      <c r="M51" s="132"/>
      <c r="N51" s="134" t="s">
        <v>24</v>
      </c>
      <c r="O51" s="135">
        <f>VLOOKUP(PILGAN!N51,Ujian!$C$233:$BK$237,M$48+1,TRUE)</f>
        <v>0</v>
      </c>
      <c r="P51" s="132"/>
      <c r="Q51" s="134" t="s">
        <v>24</v>
      </c>
      <c r="R51" s="135">
        <f>VLOOKUP(PILGAN!Q51,Ujian!$C$233:$BK$237,P$48+1,TRUE)</f>
        <v>0</v>
      </c>
    </row>
    <row r="52" spans="1:18" x14ac:dyDescent="0.25">
      <c r="A52" s="133"/>
      <c r="B52" s="134" t="s">
        <v>23</v>
      </c>
      <c r="C52" s="135">
        <f>VLOOKUP(PILGAN!B52,Ujian!$C$233:$BK$237,A$48+1,TRUE)</f>
        <v>0</v>
      </c>
      <c r="D52" s="133"/>
      <c r="E52" s="134" t="s">
        <v>23</v>
      </c>
      <c r="F52" s="135">
        <f>VLOOKUP(PILGAN!E52,Ujian!$C$233:$BK$237,D$48+1,TRUE)</f>
        <v>0</v>
      </c>
      <c r="G52" s="133"/>
      <c r="H52" s="134" t="s">
        <v>23</v>
      </c>
      <c r="I52" s="135">
        <f>VLOOKUP(PILGAN!H52,Ujian!$C$233:$BK$237,G$48+1,TRUE)</f>
        <v>0.26785714285714285</v>
      </c>
      <c r="J52" s="133"/>
      <c r="K52" s="134" t="s">
        <v>23</v>
      </c>
      <c r="L52" s="135">
        <f>VLOOKUP(PILGAN!K52,Ujian!$C$233:$BK$237,J$48+1,TRUE)</f>
        <v>0</v>
      </c>
      <c r="M52" s="133"/>
      <c r="N52" s="134" t="s">
        <v>23</v>
      </c>
      <c r="O52" s="135">
        <f>VLOOKUP(PILGAN!N52,Ujian!$C$233:$BK$237,M$48+1,TRUE)</f>
        <v>0</v>
      </c>
      <c r="P52" s="133"/>
      <c r="Q52" s="134" t="s">
        <v>23</v>
      </c>
      <c r="R52" s="135">
        <f>VLOOKUP(PILGAN!Q52,Ujian!$C$233:$BK$237,P$48+1,TRUE)</f>
        <v>0</v>
      </c>
    </row>
    <row r="53" spans="1:18" x14ac:dyDescent="0.25">
      <c r="A53" s="131">
        <f t="shared" ref="A53" si="42">A48+1</f>
        <v>10</v>
      </c>
      <c r="B53" s="134" t="s">
        <v>26</v>
      </c>
      <c r="C53" s="135">
        <f>VLOOKUP(PILGAN!B53,Ujian!$C$233:$BK$237,A$53+1,TRUE)</f>
        <v>0.42857142857142855</v>
      </c>
      <c r="D53" s="131">
        <f t="shared" ref="D53" si="43">D48+1</f>
        <v>20</v>
      </c>
      <c r="E53" s="134" t="s">
        <v>26</v>
      </c>
      <c r="F53" s="135">
        <f>VLOOKUP(PILGAN!E53,Ujian!$C$233:$BK$237,D$53+1,TRUE)</f>
        <v>0.14285714285714285</v>
      </c>
      <c r="G53" s="131">
        <f t="shared" ref="G53" si="44">G48+1</f>
        <v>30</v>
      </c>
      <c r="H53" s="134" t="s">
        <v>26</v>
      </c>
      <c r="I53" s="135">
        <f>VLOOKUP(PILGAN!H53,Ujian!$C$233:$BK$237,G$53+1,TRUE)</f>
        <v>5.3571428571428568E-2</v>
      </c>
      <c r="J53" s="131">
        <f t="shared" ref="J53" si="45">J48+1</f>
        <v>40</v>
      </c>
      <c r="K53" s="134" t="s">
        <v>26</v>
      </c>
      <c r="L53" s="135">
        <f>VLOOKUP(PILGAN!K53,Ujian!$C$233:$BK$237,J$53+1,TRUE)</f>
        <v>0.3392857142857143</v>
      </c>
      <c r="M53" s="131">
        <f t="shared" ref="M53" si="46">M48+1</f>
        <v>50</v>
      </c>
      <c r="N53" s="134" t="s">
        <v>26</v>
      </c>
      <c r="O53" s="135">
        <f>VLOOKUP(PILGAN!N53,Ujian!$C$233:$BK$237,M$53+1,TRUE)</f>
        <v>0</v>
      </c>
      <c r="P53" s="131">
        <f t="shared" ref="P53" si="47">P48+1</f>
        <v>60</v>
      </c>
      <c r="Q53" s="134" t="s">
        <v>26</v>
      </c>
      <c r="R53" s="135">
        <f>VLOOKUP(PILGAN!Q53,Ujian!$C$233:$BK$237,P$53+1,TRUE)</f>
        <v>0</v>
      </c>
    </row>
    <row r="54" spans="1:18" x14ac:dyDescent="0.25">
      <c r="A54" s="132"/>
      <c r="B54" s="134" t="s">
        <v>25</v>
      </c>
      <c r="C54" s="135">
        <f>VLOOKUP(PILGAN!B54,Ujian!$C$233:$BK$237,A$53+1,TRUE)</f>
        <v>0</v>
      </c>
      <c r="D54" s="132"/>
      <c r="E54" s="134" t="s">
        <v>25</v>
      </c>
      <c r="F54" s="135">
        <f>VLOOKUP(PILGAN!E54,Ujian!$C$233:$BK$237,D$53+1,TRUE)</f>
        <v>7.1428571428571425E-2</v>
      </c>
      <c r="G54" s="132"/>
      <c r="H54" s="134" t="s">
        <v>25</v>
      </c>
      <c r="I54" s="135">
        <f>VLOOKUP(PILGAN!H54,Ujian!$C$233:$BK$237,G$53+1,TRUE)</f>
        <v>0.10714285714285714</v>
      </c>
      <c r="J54" s="132"/>
      <c r="K54" s="134" t="s">
        <v>25</v>
      </c>
      <c r="L54" s="135">
        <f>VLOOKUP(PILGAN!K54,Ujian!$C$233:$BK$237,J$53+1,TRUE)</f>
        <v>8.9285714285714288E-2</v>
      </c>
      <c r="M54" s="132"/>
      <c r="N54" s="134" t="s">
        <v>25</v>
      </c>
      <c r="O54" s="135">
        <f>VLOOKUP(PILGAN!N54,Ujian!$C$233:$BK$237,M$53+1,TRUE)</f>
        <v>0</v>
      </c>
      <c r="P54" s="132"/>
      <c r="Q54" s="134" t="s">
        <v>25</v>
      </c>
      <c r="R54" s="135">
        <f>VLOOKUP(PILGAN!Q54,Ujian!$C$233:$BK$237,P$53+1,TRUE)</f>
        <v>0</v>
      </c>
    </row>
    <row r="55" spans="1:18" x14ac:dyDescent="0.25">
      <c r="A55" s="132"/>
      <c r="B55" s="134" t="s">
        <v>27</v>
      </c>
      <c r="C55" s="135">
        <f>VLOOKUP(PILGAN!B55,Ujian!$C$233:$BK$237,A$53+1,TRUE)</f>
        <v>3.5714285714285712E-2</v>
      </c>
      <c r="D55" s="132"/>
      <c r="E55" s="134" t="s">
        <v>27</v>
      </c>
      <c r="F55" s="135">
        <f>VLOOKUP(PILGAN!E55,Ujian!$C$233:$BK$237,D$53+1,TRUE)</f>
        <v>5.3571428571428568E-2</v>
      </c>
      <c r="G55" s="132"/>
      <c r="H55" s="134" t="s">
        <v>27</v>
      </c>
      <c r="I55" s="135">
        <f>VLOOKUP(PILGAN!H55,Ujian!$C$233:$BK$237,G$53+1,TRUE)</f>
        <v>0.48214285714285715</v>
      </c>
      <c r="J55" s="132"/>
      <c r="K55" s="134" t="s">
        <v>27</v>
      </c>
      <c r="L55" s="135">
        <f>VLOOKUP(PILGAN!K55,Ujian!$C$233:$BK$237,J$53+1,TRUE)</f>
        <v>8.9285714285714288E-2</v>
      </c>
      <c r="M55" s="132"/>
      <c r="N55" s="134" t="s">
        <v>27</v>
      </c>
      <c r="O55" s="135">
        <f>VLOOKUP(PILGAN!N55,Ujian!$C$233:$BK$237,M$53+1,TRUE)</f>
        <v>0</v>
      </c>
      <c r="P55" s="132"/>
      <c r="Q55" s="134" t="s">
        <v>27</v>
      </c>
      <c r="R55" s="135">
        <f>VLOOKUP(PILGAN!Q55,Ujian!$C$233:$BK$237,P$53+1,TRUE)</f>
        <v>0</v>
      </c>
    </row>
    <row r="56" spans="1:18" x14ac:dyDescent="0.25">
      <c r="A56" s="132"/>
      <c r="B56" s="134" t="s">
        <v>24</v>
      </c>
      <c r="C56" s="135">
        <f>VLOOKUP(PILGAN!B56,Ujian!$C$233:$BK$237,A$53+1,TRUE)</f>
        <v>0.17857142857142858</v>
      </c>
      <c r="D56" s="132"/>
      <c r="E56" s="134" t="s">
        <v>24</v>
      </c>
      <c r="F56" s="135">
        <f>VLOOKUP(PILGAN!E56,Ujian!$C$233:$BK$237,D$53+1,TRUE)</f>
        <v>0.5</v>
      </c>
      <c r="G56" s="132"/>
      <c r="H56" s="134" t="s">
        <v>24</v>
      </c>
      <c r="I56" s="135">
        <f>VLOOKUP(PILGAN!H56,Ujian!$C$233:$BK$237,G$53+1,TRUE)</f>
        <v>0.16071428571428573</v>
      </c>
      <c r="J56" s="132"/>
      <c r="K56" s="134" t="s">
        <v>24</v>
      </c>
      <c r="L56" s="135">
        <f>VLOOKUP(PILGAN!K56,Ujian!$C$233:$BK$237,J$53+1,TRUE)</f>
        <v>0.21428571428571427</v>
      </c>
      <c r="M56" s="132"/>
      <c r="N56" s="134" t="s">
        <v>24</v>
      </c>
      <c r="O56" s="135">
        <f>VLOOKUP(PILGAN!N56,Ujian!$C$233:$BK$237,M$53+1,TRUE)</f>
        <v>0</v>
      </c>
      <c r="P56" s="132"/>
      <c r="Q56" s="134" t="s">
        <v>24</v>
      </c>
      <c r="R56" s="135">
        <f>VLOOKUP(PILGAN!Q56,Ujian!$C$233:$BK$237,P$53+1,TRUE)</f>
        <v>0</v>
      </c>
    </row>
    <row r="57" spans="1:18" x14ac:dyDescent="0.25">
      <c r="A57" s="133"/>
      <c r="B57" s="134" t="s">
        <v>23</v>
      </c>
      <c r="C57" s="135">
        <f>VLOOKUP(PILGAN!B57,Ujian!$C$233:$BK$237,A$53+1,TRUE)</f>
        <v>0.26785714285714285</v>
      </c>
      <c r="D57" s="133"/>
      <c r="E57" s="134" t="s">
        <v>23</v>
      </c>
      <c r="F57" s="135">
        <f>VLOOKUP(PILGAN!E57,Ujian!$C$233:$BK$237,D$53+1,TRUE)</f>
        <v>0.125</v>
      </c>
      <c r="G57" s="133"/>
      <c r="H57" s="134" t="s">
        <v>23</v>
      </c>
      <c r="I57" s="135">
        <f>VLOOKUP(PILGAN!H57,Ujian!$C$233:$BK$237,G$53+1,TRUE)</f>
        <v>5.3571428571428568E-2</v>
      </c>
      <c r="J57" s="133"/>
      <c r="K57" s="134" t="s">
        <v>23</v>
      </c>
      <c r="L57" s="135">
        <f>VLOOKUP(PILGAN!K57,Ujian!$C$233:$BK$237,J$53+1,TRUE)</f>
        <v>5.3571428571428568E-2</v>
      </c>
      <c r="M57" s="133"/>
      <c r="N57" s="134" t="s">
        <v>23</v>
      </c>
      <c r="O57" s="135">
        <f>VLOOKUP(PILGAN!N57,Ujian!$C$233:$BK$237,M$53+1,TRUE)</f>
        <v>0</v>
      </c>
      <c r="P57" s="133"/>
      <c r="Q57" s="134" t="s">
        <v>23</v>
      </c>
      <c r="R57" s="135">
        <f>VLOOKUP(PILGAN!Q57,Ujian!$C$233:$BK$237,P$53+1,TRUE)</f>
        <v>0</v>
      </c>
    </row>
  </sheetData>
  <conditionalFormatting sqref="C8:C57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:C12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C1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C2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C27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8:C32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C3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8:C4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3:C4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:C5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3:C5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5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1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:F2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:F2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4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:F4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8:F5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5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1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I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I2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8:I3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:I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:I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I4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8:I5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3:I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:L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:L2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8:L3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3:L3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L4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L4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:L5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:L5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O5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O1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3:O1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8:O2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3:O2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8:O3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3:O3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8:O4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3:O4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8:O5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3:O5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:R5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:R1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:R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2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:R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:R3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3:R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:R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4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8:R5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3:R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DATAINFO</vt:lpstr>
      <vt:lpstr>SEKOR</vt:lpstr>
      <vt:lpstr>DATA</vt:lpstr>
      <vt:lpstr>Ujian</vt:lpstr>
      <vt:lpstr>Praktik</vt:lpstr>
      <vt:lpstr>Pengumuman</vt:lpstr>
      <vt:lpstr>Konversi</vt:lpstr>
      <vt:lpstr>Tugas</vt:lpstr>
      <vt:lpstr>IF</vt:lpstr>
      <vt:lpstr>PILGAN</vt:lpstr>
      <vt:lpstr>Tugas!Print_Area</vt:lpstr>
      <vt:lpstr>Konversi!Print_Titles</vt:lpstr>
      <vt:lpstr>Pengumuman!Print_Titles</vt:lpstr>
      <vt:lpstr>Tugas!Print_Titles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Triyono</dc:creator>
  <cp:lastModifiedBy>Muhammad Triyono</cp:lastModifiedBy>
  <cp:lastPrinted>2023-12-10T08:47:03Z</cp:lastPrinted>
  <dcterms:created xsi:type="dcterms:W3CDTF">2023-03-14T02:07:01Z</dcterms:created>
  <dcterms:modified xsi:type="dcterms:W3CDTF">2023-12-13T00:21:06Z</dcterms:modified>
</cp:coreProperties>
</file>